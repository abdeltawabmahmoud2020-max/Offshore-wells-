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-105" yWindow="-105" windowWidth="23250" windowHeight="12720" tabRatio="847" firstSheet="1" activeTab="1"/>
  </bookViews>
  <sheets>
    <sheet name="wells group " sheetId="33" state="hidden" r:id="rId1"/>
    <sheet name="DATA BASE" sheetId="14" r:id="rId2"/>
    <sheet name="FIRST PAGE" sheetId="38" r:id="rId3"/>
    <sheet name="DOWN HOLE PUMP" sheetId="39" r:id="rId4"/>
    <sheet name="w.c" sheetId="34" r:id="rId5"/>
    <sheet name="WELLS BLANCE" sheetId="35" r:id="rId6"/>
    <sheet name="PLT. WELL BLANCE" sheetId="36" r:id="rId7"/>
    <sheet name="total pltf" sheetId="37" r:id="rId8"/>
    <sheet name=" Data Lists" sheetId="16" r:id="rId9"/>
  </sheets>
  <externalReferences>
    <externalReference r:id="rId10"/>
    <externalReference r:id="rId11"/>
  </externalReferences>
  <definedNames>
    <definedName name="_C65800">#REF!</definedName>
    <definedName name="_C658000">#REF!</definedName>
    <definedName name="_C66000">#REF!</definedName>
    <definedName name="_C67000">#REF!</definedName>
    <definedName name="_C68000">#REF!</definedName>
    <definedName name="_xlnm._FilterDatabase" localSheetId="0" hidden="1">'wells group '!$B$2:$J$169</definedName>
    <definedName name="_xlnm.Print_Area" localSheetId="3">'DOWN HOLE PUMP'!$A$1:$J$147</definedName>
    <definedName name="_xlnm.Print_Area" localSheetId="2">'FIRST PAGE'!$A$1:$K$75</definedName>
    <definedName name="_xlnm.Print_Area" localSheetId="6">'PLT. WELL BLANCE'!$A$1:$I$188</definedName>
    <definedName name="_xlnm.Print_Area" localSheetId="7">'total pltf'!$A$1:$J$36</definedName>
    <definedName name="_xlnm.Print_Area" localSheetId="4">w.c!$A$1:$F$75</definedName>
    <definedName name="_xlnm.Print_Area" localSheetId="5">'WELLS BLANCE'!$A$1:$H$162</definedName>
    <definedName name="_xlnm.Print_Area" localSheetId="0">'wells group '!$B$2:$J$170</definedName>
    <definedName name="_xlnm.Print_Titles" localSheetId="0">'wells group '!$2:$2</definedName>
  </definedNames>
  <calcPr calcId="162913"/>
</workbook>
</file>

<file path=xl/calcChain.xml><?xml version="1.0" encoding="utf-8"?>
<calcChain xmlns="http://schemas.openxmlformats.org/spreadsheetml/2006/main">
  <c r="B4" i="35" l="1"/>
  <c r="C4" i="35"/>
  <c r="E4" i="35"/>
  <c r="F4" i="35"/>
  <c r="A4" i="35"/>
  <c r="B70" i="35"/>
  <c r="C70" i="35"/>
  <c r="E70" i="35"/>
  <c r="F70" i="35"/>
  <c r="B71" i="35"/>
  <c r="C71" i="35"/>
  <c r="E71" i="35"/>
  <c r="F71" i="35"/>
  <c r="B72" i="35"/>
  <c r="C72" i="35"/>
  <c r="E72" i="35"/>
  <c r="F72" i="35"/>
  <c r="B168" i="36"/>
  <c r="C168" i="36"/>
  <c r="E168" i="36"/>
  <c r="F168" i="36"/>
  <c r="A168" i="36"/>
  <c r="B165" i="36" l="1"/>
  <c r="C165" i="36"/>
  <c r="E165" i="36"/>
  <c r="F165" i="36"/>
  <c r="A165" i="36"/>
  <c r="B158" i="36"/>
  <c r="C158" i="36"/>
  <c r="E158" i="36"/>
  <c r="F158" i="36"/>
  <c r="A158" i="36"/>
  <c r="B157" i="36"/>
  <c r="C157" i="36"/>
  <c r="E157" i="36"/>
  <c r="F157" i="36"/>
  <c r="A157" i="36"/>
  <c r="B139" i="36"/>
  <c r="C139" i="36"/>
  <c r="E139" i="36"/>
  <c r="F139" i="36"/>
  <c r="A139" i="36"/>
  <c r="B135" i="36"/>
  <c r="C135" i="36"/>
  <c r="E135" i="36"/>
  <c r="F135" i="36"/>
  <c r="A135" i="36"/>
  <c r="B110" i="36"/>
  <c r="C110" i="36"/>
  <c r="E110" i="36"/>
  <c r="F110" i="36"/>
  <c r="A110" i="36"/>
  <c r="J146" i="14"/>
  <c r="D110" i="36" s="1"/>
  <c r="M146" i="14"/>
  <c r="G110" i="36" s="1"/>
  <c r="AH146" i="14"/>
  <c r="B104" i="36"/>
  <c r="C104" i="36"/>
  <c r="E104" i="36"/>
  <c r="F104" i="36"/>
  <c r="A104" i="36"/>
  <c r="B102" i="36"/>
  <c r="C102" i="36"/>
  <c r="E102" i="36"/>
  <c r="F102" i="36"/>
  <c r="A102" i="36"/>
  <c r="B49" i="38"/>
  <c r="B94" i="36"/>
  <c r="C94" i="36"/>
  <c r="E94" i="36"/>
  <c r="F94" i="36"/>
  <c r="A94" i="36"/>
  <c r="B93" i="36"/>
  <c r="C93" i="36"/>
  <c r="E93" i="36"/>
  <c r="F93" i="36"/>
  <c r="A93" i="36"/>
  <c r="B85" i="36"/>
  <c r="C85" i="36"/>
  <c r="E85" i="36"/>
  <c r="F85" i="36"/>
  <c r="A85" i="36"/>
  <c r="B81" i="36"/>
  <c r="B82" i="36" s="1"/>
  <c r="C81" i="36"/>
  <c r="E81" i="36"/>
  <c r="E82" i="36" s="1"/>
  <c r="F81" i="36"/>
  <c r="A81" i="36"/>
  <c r="B76" i="36"/>
  <c r="C76" i="36"/>
  <c r="E76" i="36"/>
  <c r="F76" i="36"/>
  <c r="A76" i="36"/>
  <c r="B63" i="36"/>
  <c r="C63" i="36"/>
  <c r="E63" i="36"/>
  <c r="F63" i="36"/>
  <c r="A63" i="36"/>
  <c r="B59" i="36"/>
  <c r="C59" i="36"/>
  <c r="E59" i="36"/>
  <c r="F59" i="36"/>
  <c r="A59" i="36"/>
  <c r="B26" i="36"/>
  <c r="C26" i="36"/>
  <c r="E26" i="36"/>
  <c r="F26" i="36"/>
  <c r="H26" i="36"/>
  <c r="B13" i="36"/>
  <c r="C13" i="36"/>
  <c r="E13" i="36"/>
  <c r="F13" i="36"/>
  <c r="B45" i="34"/>
  <c r="C45" i="34"/>
  <c r="B46" i="34"/>
  <c r="C46" i="34"/>
  <c r="B47" i="34"/>
  <c r="C47" i="34"/>
  <c r="B6" i="36"/>
  <c r="C6" i="36"/>
  <c r="E6" i="36"/>
  <c r="F6" i="36"/>
  <c r="J46" i="14"/>
  <c r="D26" i="36" s="1"/>
  <c r="M46" i="14"/>
  <c r="G26" i="36" s="1"/>
  <c r="AH46" i="14"/>
  <c r="J135" i="14"/>
  <c r="D135" i="36" s="1"/>
  <c r="M135" i="14"/>
  <c r="G135" i="36" s="1"/>
  <c r="AH135" i="14"/>
  <c r="J123" i="14"/>
  <c r="D85" i="36" s="1"/>
  <c r="M123" i="14"/>
  <c r="G85" i="36" s="1"/>
  <c r="AH123" i="14"/>
  <c r="J105" i="14"/>
  <c r="D104" i="36" s="1"/>
  <c r="M105" i="14"/>
  <c r="G104" i="36" s="1"/>
  <c r="AH105" i="14"/>
  <c r="J100" i="14"/>
  <c r="D102" i="36" s="1"/>
  <c r="M100" i="14"/>
  <c r="G102" i="36" s="1"/>
  <c r="AH100" i="14"/>
  <c r="J88" i="14"/>
  <c r="D81" i="36" s="1"/>
  <c r="D82" i="36" s="1"/>
  <c r="M88" i="14"/>
  <c r="G81" i="36" s="1"/>
  <c r="G82" i="36" s="1"/>
  <c r="AH88" i="14"/>
  <c r="F84" i="14"/>
  <c r="J84" i="14"/>
  <c r="D168" i="36" s="1"/>
  <c r="M84" i="14"/>
  <c r="G168" i="36" s="1"/>
  <c r="AH84" i="14"/>
  <c r="J81" i="14"/>
  <c r="D165" i="36" s="1"/>
  <c r="M81" i="14"/>
  <c r="G165" i="36" s="1"/>
  <c r="H165" i="36" s="1"/>
  <c r="AH81" i="14"/>
  <c r="J10" i="14"/>
  <c r="M10" i="14"/>
  <c r="G4" i="35" s="1"/>
  <c r="AH10" i="14"/>
  <c r="G13" i="36" l="1"/>
  <c r="D13" i="36"/>
  <c r="D4" i="35"/>
  <c r="H4" i="35" s="1"/>
  <c r="H110" i="36"/>
  <c r="H102" i="36"/>
  <c r="H135" i="36"/>
  <c r="H104" i="36"/>
  <c r="H85" i="36"/>
  <c r="H81" i="36"/>
  <c r="C135" i="35"/>
  <c r="C136" i="35"/>
  <c r="C137" i="35"/>
  <c r="C138" i="35"/>
  <c r="B135" i="35"/>
  <c r="B136" i="35"/>
  <c r="B137" i="35"/>
  <c r="B138" i="35"/>
  <c r="F135" i="35"/>
  <c r="F136" i="35"/>
  <c r="F137" i="35"/>
  <c r="F138" i="35"/>
  <c r="E135" i="35"/>
  <c r="E136" i="35"/>
  <c r="E137" i="35"/>
  <c r="E138" i="35"/>
  <c r="J139" i="14"/>
  <c r="M139" i="14"/>
  <c r="AH139" i="14"/>
  <c r="J140" i="14"/>
  <c r="M140" i="14"/>
  <c r="AH140" i="14"/>
  <c r="J141" i="14"/>
  <c r="M141" i="14"/>
  <c r="AH141" i="14"/>
  <c r="J138" i="14"/>
  <c r="M138" i="14"/>
  <c r="AH138" i="14"/>
  <c r="J92" i="14"/>
  <c r="D139" i="36" s="1"/>
  <c r="M92" i="14"/>
  <c r="G139" i="36" s="1"/>
  <c r="AH92" i="14"/>
  <c r="J93" i="14"/>
  <c r="D94" i="36" s="1"/>
  <c r="M93" i="14"/>
  <c r="G94" i="36" s="1"/>
  <c r="AH93" i="14"/>
  <c r="J74" i="14"/>
  <c r="M74" i="14"/>
  <c r="AH74" i="14"/>
  <c r="J73" i="14"/>
  <c r="M73" i="14"/>
  <c r="AH73" i="14"/>
  <c r="J72" i="14"/>
  <c r="M72" i="14"/>
  <c r="AH72" i="14"/>
  <c r="H139" i="36" l="1"/>
  <c r="H13" i="36"/>
  <c r="D59" i="36"/>
  <c r="D71" i="35"/>
  <c r="D63" i="36"/>
  <c r="D72" i="35"/>
  <c r="G63" i="36"/>
  <c r="G72" i="35"/>
  <c r="G136" i="35"/>
  <c r="G158" i="36"/>
  <c r="D135" i="35"/>
  <c r="D157" i="36"/>
  <c r="G6" i="36"/>
  <c r="G70" i="35"/>
  <c r="D6" i="36"/>
  <c r="D70" i="35"/>
  <c r="D136" i="35"/>
  <c r="D158" i="36"/>
  <c r="G59" i="36"/>
  <c r="G71" i="35"/>
  <c r="G135" i="35"/>
  <c r="G157" i="36"/>
  <c r="G138" i="35"/>
  <c r="G76" i="36"/>
  <c r="D138" i="35"/>
  <c r="D76" i="36"/>
  <c r="H94" i="36"/>
  <c r="G137" i="35"/>
  <c r="G93" i="36"/>
  <c r="D137" i="35"/>
  <c r="D93" i="36"/>
  <c r="AH8" i="14"/>
  <c r="AH9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5" i="14"/>
  <c r="AH76" i="14"/>
  <c r="AH77" i="14"/>
  <c r="AH78" i="14"/>
  <c r="AH79" i="14"/>
  <c r="AH80" i="14"/>
  <c r="AH82" i="14"/>
  <c r="AH83" i="14"/>
  <c r="AH85" i="14"/>
  <c r="AH86" i="14"/>
  <c r="AH87" i="14"/>
  <c r="AH89" i="14"/>
  <c r="AH90" i="14"/>
  <c r="AH91" i="14"/>
  <c r="AH94" i="14"/>
  <c r="AH95" i="14"/>
  <c r="AH96" i="14"/>
  <c r="AH97" i="14"/>
  <c r="AH98" i="14"/>
  <c r="AH99" i="14"/>
  <c r="AH101" i="14"/>
  <c r="AH102" i="14"/>
  <c r="AH103" i="14"/>
  <c r="AH104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6" i="14"/>
  <c r="AH137" i="14"/>
  <c r="AH142" i="14"/>
  <c r="AH143" i="14"/>
  <c r="AH144" i="14"/>
  <c r="AH145" i="14"/>
  <c r="AH147" i="14"/>
  <c r="AH148" i="14"/>
  <c r="AH149" i="14"/>
  <c r="AH150" i="14"/>
  <c r="AH151" i="14"/>
  <c r="AH152" i="14"/>
  <c r="AH153" i="14"/>
  <c r="H72" i="35" l="1"/>
  <c r="H136" i="35"/>
  <c r="H135" i="35"/>
  <c r="H138" i="35"/>
  <c r="H71" i="35"/>
  <c r="H59" i="36"/>
  <c r="H63" i="36"/>
  <c r="H70" i="35"/>
  <c r="H137" i="35"/>
  <c r="H76" i="36"/>
  <c r="H93" i="36"/>
  <c r="J24" i="37"/>
  <c r="K172" i="36"/>
  <c r="K173" i="36"/>
  <c r="K170" i="36"/>
  <c r="K171" i="36"/>
  <c r="B172" i="36"/>
  <c r="C172" i="36"/>
  <c r="E172" i="36"/>
  <c r="F172" i="36"/>
  <c r="B173" i="36"/>
  <c r="C173" i="36"/>
  <c r="E173" i="36"/>
  <c r="F173" i="36"/>
  <c r="B170" i="36"/>
  <c r="C170" i="36"/>
  <c r="E170" i="36"/>
  <c r="F170" i="36"/>
  <c r="B171" i="36"/>
  <c r="C171" i="36"/>
  <c r="E171" i="36"/>
  <c r="F171" i="36"/>
  <c r="E174" i="36" l="1"/>
  <c r="E24" i="37" s="1"/>
  <c r="G14" i="38" s="1"/>
  <c r="B174" i="36"/>
  <c r="B24" i="37" s="1"/>
  <c r="K174" i="36"/>
  <c r="I24" i="37" s="1"/>
  <c r="J14" i="38" s="1"/>
  <c r="D120" i="39"/>
  <c r="D121" i="39"/>
  <c r="D122" i="39"/>
  <c r="D123" i="39"/>
  <c r="D124" i="39"/>
  <c r="D125" i="39"/>
  <c r="D126" i="39"/>
  <c r="D127" i="39"/>
  <c r="D128" i="39"/>
  <c r="D129" i="39"/>
  <c r="D130" i="39"/>
  <c r="D131" i="39"/>
  <c r="D132" i="39"/>
  <c r="D133" i="39"/>
  <c r="D137" i="39"/>
  <c r="D138" i="39"/>
  <c r="D139" i="39"/>
  <c r="D140" i="39"/>
  <c r="D141" i="39"/>
  <c r="D142" i="39"/>
  <c r="D143" i="39"/>
  <c r="D144" i="39"/>
  <c r="D145" i="39"/>
  <c r="D146" i="39"/>
  <c r="D147" i="39"/>
  <c r="E120" i="39"/>
  <c r="E121" i="39"/>
  <c r="E122" i="39"/>
  <c r="E123" i="39"/>
  <c r="E124" i="39"/>
  <c r="E125" i="39"/>
  <c r="E126" i="39"/>
  <c r="E127" i="39"/>
  <c r="E128" i="39"/>
  <c r="E129" i="39"/>
  <c r="E130" i="39"/>
  <c r="E131" i="39"/>
  <c r="E132" i="39"/>
  <c r="E133" i="39"/>
  <c r="E137" i="39"/>
  <c r="E138" i="39"/>
  <c r="E139" i="39"/>
  <c r="E140" i="39"/>
  <c r="E141" i="39"/>
  <c r="E142" i="39"/>
  <c r="E143" i="39"/>
  <c r="E144" i="39"/>
  <c r="E145" i="39"/>
  <c r="E146" i="39"/>
  <c r="E147" i="39"/>
  <c r="J120" i="39"/>
  <c r="J121" i="39"/>
  <c r="J122" i="39"/>
  <c r="J123" i="39"/>
  <c r="J124" i="39"/>
  <c r="J125" i="39"/>
  <c r="J126" i="39"/>
  <c r="J127" i="39"/>
  <c r="J128" i="39"/>
  <c r="J129" i="39"/>
  <c r="J130" i="39"/>
  <c r="J131" i="39"/>
  <c r="J132" i="39"/>
  <c r="J133" i="39"/>
  <c r="J137" i="39"/>
  <c r="J138" i="39"/>
  <c r="J139" i="39"/>
  <c r="J140" i="39"/>
  <c r="J141" i="39"/>
  <c r="J142" i="39"/>
  <c r="J143" i="39"/>
  <c r="J144" i="39"/>
  <c r="J145" i="39"/>
  <c r="J146" i="39"/>
  <c r="J147" i="39"/>
  <c r="B120" i="39"/>
  <c r="C120" i="39"/>
  <c r="B121" i="39"/>
  <c r="C121" i="39"/>
  <c r="B122" i="39"/>
  <c r="C122" i="39"/>
  <c r="B123" i="39"/>
  <c r="C123" i="39"/>
  <c r="B124" i="39"/>
  <c r="C124" i="39"/>
  <c r="B125" i="39"/>
  <c r="C125" i="39"/>
  <c r="B126" i="39"/>
  <c r="C126" i="39"/>
  <c r="B127" i="39"/>
  <c r="C127" i="39"/>
  <c r="B128" i="39"/>
  <c r="C128" i="39"/>
  <c r="B129" i="39"/>
  <c r="C129" i="39"/>
  <c r="B130" i="39"/>
  <c r="C130" i="39"/>
  <c r="B131" i="39"/>
  <c r="C131" i="39"/>
  <c r="B132" i="39"/>
  <c r="C132" i="39"/>
  <c r="B133" i="39"/>
  <c r="C133" i="39"/>
  <c r="B137" i="39"/>
  <c r="C137" i="39"/>
  <c r="B138" i="39"/>
  <c r="C138" i="39"/>
  <c r="B139" i="39"/>
  <c r="C139" i="39"/>
  <c r="B140" i="39"/>
  <c r="C140" i="39"/>
  <c r="B141" i="39"/>
  <c r="C141" i="39"/>
  <c r="B142" i="39"/>
  <c r="C142" i="39"/>
  <c r="B143" i="39"/>
  <c r="C143" i="39"/>
  <c r="B144" i="39"/>
  <c r="C144" i="39"/>
  <c r="B145" i="39"/>
  <c r="C145" i="39"/>
  <c r="B146" i="39"/>
  <c r="C146" i="39"/>
  <c r="B147" i="39"/>
  <c r="C147" i="39"/>
  <c r="F120" i="39"/>
  <c r="G120" i="39"/>
  <c r="H120" i="39"/>
  <c r="I120" i="39"/>
  <c r="F121" i="39"/>
  <c r="G121" i="39"/>
  <c r="H121" i="39"/>
  <c r="I121" i="39"/>
  <c r="F122" i="39"/>
  <c r="G122" i="39"/>
  <c r="H122" i="39"/>
  <c r="I122" i="39"/>
  <c r="F123" i="39"/>
  <c r="G123" i="39"/>
  <c r="H123" i="39"/>
  <c r="I123" i="39"/>
  <c r="F124" i="39"/>
  <c r="G124" i="39"/>
  <c r="H124" i="39"/>
  <c r="I124" i="39"/>
  <c r="F125" i="39"/>
  <c r="G125" i="39"/>
  <c r="H125" i="39"/>
  <c r="I125" i="39"/>
  <c r="F126" i="39"/>
  <c r="G126" i="39"/>
  <c r="H126" i="39"/>
  <c r="I126" i="39"/>
  <c r="F127" i="39"/>
  <c r="G127" i="39"/>
  <c r="H127" i="39"/>
  <c r="I127" i="39"/>
  <c r="F128" i="39"/>
  <c r="G128" i="39"/>
  <c r="H128" i="39"/>
  <c r="I128" i="39"/>
  <c r="F129" i="39"/>
  <c r="G129" i="39"/>
  <c r="H129" i="39"/>
  <c r="I129" i="39"/>
  <c r="F130" i="39"/>
  <c r="G130" i="39"/>
  <c r="H130" i="39"/>
  <c r="I130" i="39"/>
  <c r="F131" i="39"/>
  <c r="G131" i="39"/>
  <c r="H131" i="39"/>
  <c r="I131" i="39"/>
  <c r="F132" i="39"/>
  <c r="G132" i="39"/>
  <c r="H132" i="39"/>
  <c r="I132" i="39"/>
  <c r="F133" i="39"/>
  <c r="G133" i="39"/>
  <c r="H133" i="39"/>
  <c r="I133" i="39"/>
  <c r="F137" i="39"/>
  <c r="G137" i="39"/>
  <c r="H137" i="39"/>
  <c r="I137" i="39"/>
  <c r="F138" i="39"/>
  <c r="G138" i="39"/>
  <c r="H138" i="39"/>
  <c r="I138" i="39"/>
  <c r="F139" i="39"/>
  <c r="G139" i="39"/>
  <c r="H139" i="39"/>
  <c r="I139" i="39"/>
  <c r="F140" i="39"/>
  <c r="G140" i="39"/>
  <c r="H140" i="39"/>
  <c r="I140" i="39"/>
  <c r="F141" i="39"/>
  <c r="G141" i="39"/>
  <c r="H141" i="39"/>
  <c r="I141" i="39"/>
  <c r="F142" i="39"/>
  <c r="G142" i="39"/>
  <c r="H142" i="39"/>
  <c r="I142" i="39"/>
  <c r="F143" i="39"/>
  <c r="G143" i="39"/>
  <c r="H143" i="39"/>
  <c r="I143" i="39"/>
  <c r="F144" i="39"/>
  <c r="G144" i="39"/>
  <c r="H144" i="39"/>
  <c r="I144" i="39"/>
  <c r="F145" i="39"/>
  <c r="G145" i="39"/>
  <c r="H145" i="39"/>
  <c r="I145" i="39"/>
  <c r="F146" i="39"/>
  <c r="G146" i="39"/>
  <c r="H146" i="39"/>
  <c r="I146" i="39"/>
  <c r="F147" i="39"/>
  <c r="G147" i="39"/>
  <c r="H147" i="39"/>
  <c r="I147" i="39"/>
  <c r="A120" i="39"/>
  <c r="A121" i="39"/>
  <c r="A122" i="39"/>
  <c r="A123" i="39"/>
  <c r="A124" i="39"/>
  <c r="A125" i="39"/>
  <c r="A126" i="39"/>
  <c r="A127" i="39"/>
  <c r="A128" i="39"/>
  <c r="A129" i="39"/>
  <c r="A130" i="39"/>
  <c r="A131" i="39"/>
  <c r="A132" i="39"/>
  <c r="A133" i="39"/>
  <c r="A137" i="39"/>
  <c r="A138" i="39"/>
  <c r="A139" i="39"/>
  <c r="A140" i="39"/>
  <c r="A141" i="39"/>
  <c r="A142" i="39"/>
  <c r="A143" i="39"/>
  <c r="A144" i="39"/>
  <c r="A145" i="39"/>
  <c r="A146" i="39"/>
  <c r="A147" i="39"/>
  <c r="D116" i="39"/>
  <c r="D117" i="39"/>
  <c r="D118" i="39"/>
  <c r="E116" i="39"/>
  <c r="E117" i="39"/>
  <c r="E118" i="39"/>
  <c r="F116" i="39"/>
  <c r="G116" i="39"/>
  <c r="B116" i="39"/>
  <c r="C116" i="39"/>
  <c r="B117" i="39"/>
  <c r="C117" i="39"/>
  <c r="B118" i="39"/>
  <c r="C118" i="39"/>
  <c r="J116" i="39"/>
  <c r="J117" i="39"/>
  <c r="J118" i="39"/>
  <c r="H116" i="39"/>
  <c r="I116" i="39"/>
  <c r="F117" i="39"/>
  <c r="G117" i="39"/>
  <c r="H117" i="39"/>
  <c r="I117" i="39"/>
  <c r="F118" i="39"/>
  <c r="G118" i="39"/>
  <c r="H118" i="39"/>
  <c r="I118" i="39"/>
  <c r="A116" i="39"/>
  <c r="A117" i="39"/>
  <c r="A118" i="39"/>
  <c r="J89" i="39"/>
  <c r="J90" i="39"/>
  <c r="J91" i="39"/>
  <c r="J92" i="39"/>
  <c r="J93" i="39"/>
  <c r="J94" i="39"/>
  <c r="J95" i="39"/>
  <c r="J96" i="39"/>
  <c r="J97" i="39"/>
  <c r="J98" i="39"/>
  <c r="J99" i="39"/>
  <c r="J100" i="39"/>
  <c r="J101" i="39"/>
  <c r="J102" i="39"/>
  <c r="J103" i="39"/>
  <c r="J104" i="39"/>
  <c r="J105" i="39"/>
  <c r="J106" i="39"/>
  <c r="J107" i="39"/>
  <c r="J108" i="39"/>
  <c r="J109" i="39"/>
  <c r="J110" i="39"/>
  <c r="J111" i="39"/>
  <c r="J112" i="39"/>
  <c r="J113" i="39"/>
  <c r="J114" i="39"/>
  <c r="J115" i="39"/>
  <c r="F89" i="39"/>
  <c r="G89" i="39"/>
  <c r="H89" i="39"/>
  <c r="I89" i="39"/>
  <c r="F90" i="39"/>
  <c r="G90" i="39"/>
  <c r="H90" i="39"/>
  <c r="I90" i="39"/>
  <c r="F91" i="39"/>
  <c r="G91" i="39"/>
  <c r="H91" i="39"/>
  <c r="I91" i="39"/>
  <c r="F92" i="39"/>
  <c r="G92" i="39"/>
  <c r="H92" i="39"/>
  <c r="I92" i="39"/>
  <c r="F93" i="39"/>
  <c r="G93" i="39"/>
  <c r="H93" i="39"/>
  <c r="I93" i="39"/>
  <c r="F94" i="39"/>
  <c r="G94" i="39"/>
  <c r="H94" i="39"/>
  <c r="I94" i="39"/>
  <c r="F95" i="39"/>
  <c r="G95" i="39"/>
  <c r="H95" i="39"/>
  <c r="I95" i="39"/>
  <c r="F96" i="39"/>
  <c r="G96" i="39"/>
  <c r="H96" i="39"/>
  <c r="I96" i="39"/>
  <c r="F97" i="39"/>
  <c r="G97" i="39"/>
  <c r="H97" i="39"/>
  <c r="I97" i="39"/>
  <c r="F98" i="39"/>
  <c r="G98" i="39"/>
  <c r="H98" i="39"/>
  <c r="I98" i="39"/>
  <c r="F99" i="39"/>
  <c r="G99" i="39"/>
  <c r="H99" i="39"/>
  <c r="I99" i="39"/>
  <c r="F100" i="39"/>
  <c r="G100" i="39"/>
  <c r="H100" i="39"/>
  <c r="I100" i="39"/>
  <c r="F101" i="39"/>
  <c r="G101" i="39"/>
  <c r="H101" i="39"/>
  <c r="I101" i="39"/>
  <c r="F102" i="39"/>
  <c r="G102" i="39"/>
  <c r="H102" i="39"/>
  <c r="I102" i="39"/>
  <c r="F103" i="39"/>
  <c r="G103" i="39"/>
  <c r="H103" i="39"/>
  <c r="I103" i="39"/>
  <c r="F104" i="39"/>
  <c r="G104" i="39"/>
  <c r="H104" i="39"/>
  <c r="I104" i="39"/>
  <c r="F105" i="39"/>
  <c r="G105" i="39"/>
  <c r="H105" i="39"/>
  <c r="I105" i="39"/>
  <c r="F106" i="39"/>
  <c r="G106" i="39"/>
  <c r="H106" i="39"/>
  <c r="I106" i="39"/>
  <c r="F107" i="39"/>
  <c r="G107" i="39"/>
  <c r="H107" i="39"/>
  <c r="I107" i="39"/>
  <c r="F108" i="39"/>
  <c r="G108" i="39"/>
  <c r="H108" i="39"/>
  <c r="I108" i="39"/>
  <c r="F109" i="39"/>
  <c r="G109" i="39"/>
  <c r="H109" i="39"/>
  <c r="I109" i="39"/>
  <c r="F110" i="39"/>
  <c r="G110" i="39"/>
  <c r="H110" i="39"/>
  <c r="I110" i="39"/>
  <c r="F111" i="39"/>
  <c r="G111" i="39"/>
  <c r="H111" i="39"/>
  <c r="I111" i="39"/>
  <c r="F112" i="39"/>
  <c r="G112" i="39"/>
  <c r="H112" i="39"/>
  <c r="I112" i="39"/>
  <c r="F113" i="39"/>
  <c r="G113" i="39"/>
  <c r="H113" i="39"/>
  <c r="I113" i="39"/>
  <c r="F114" i="39"/>
  <c r="G114" i="39"/>
  <c r="H114" i="39"/>
  <c r="I114" i="39"/>
  <c r="F115" i="39"/>
  <c r="G115" i="39"/>
  <c r="H115" i="39"/>
  <c r="I115" i="39"/>
  <c r="E89" i="39"/>
  <c r="E90" i="39"/>
  <c r="E91" i="39"/>
  <c r="E92" i="39"/>
  <c r="E93" i="39"/>
  <c r="E94" i="39"/>
  <c r="E95" i="39"/>
  <c r="E96" i="39"/>
  <c r="E97" i="39"/>
  <c r="E98" i="39"/>
  <c r="E99" i="39"/>
  <c r="E100" i="39"/>
  <c r="E101" i="39"/>
  <c r="E102" i="39"/>
  <c r="E103" i="39"/>
  <c r="E104" i="39"/>
  <c r="E105" i="39"/>
  <c r="E106" i="39"/>
  <c r="E107" i="39"/>
  <c r="E108" i="39"/>
  <c r="E109" i="39"/>
  <c r="E110" i="39"/>
  <c r="E111" i="39"/>
  <c r="E112" i="39"/>
  <c r="E113" i="39"/>
  <c r="E114" i="39"/>
  <c r="E115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103" i="39"/>
  <c r="D104" i="39"/>
  <c r="D105" i="39"/>
  <c r="D106" i="39"/>
  <c r="D107" i="39"/>
  <c r="D108" i="39"/>
  <c r="D109" i="39"/>
  <c r="D110" i="39"/>
  <c r="D111" i="39"/>
  <c r="D112" i="39"/>
  <c r="D113" i="39"/>
  <c r="D114" i="39"/>
  <c r="D115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A89" i="39"/>
  <c r="A90" i="39"/>
  <c r="A91" i="39"/>
  <c r="A92" i="39"/>
  <c r="A93" i="39"/>
  <c r="A94" i="39"/>
  <c r="A95" i="39"/>
  <c r="A96" i="39"/>
  <c r="A97" i="39"/>
  <c r="A98" i="39"/>
  <c r="A99" i="39"/>
  <c r="A100" i="39"/>
  <c r="A101" i="39"/>
  <c r="A102" i="39"/>
  <c r="A103" i="39"/>
  <c r="A104" i="39"/>
  <c r="A105" i="39"/>
  <c r="A106" i="39"/>
  <c r="A107" i="39"/>
  <c r="A108" i="39"/>
  <c r="A109" i="39"/>
  <c r="A110" i="39"/>
  <c r="A111" i="39"/>
  <c r="A112" i="39"/>
  <c r="A113" i="39"/>
  <c r="A114" i="39"/>
  <c r="A115" i="39"/>
  <c r="J74" i="39"/>
  <c r="J75" i="39"/>
  <c r="J76" i="39"/>
  <c r="J77" i="39"/>
  <c r="J78" i="39"/>
  <c r="J79" i="39"/>
  <c r="J80" i="39"/>
  <c r="J81" i="39"/>
  <c r="J82" i="39"/>
  <c r="J83" i="39"/>
  <c r="J84" i="39"/>
  <c r="J85" i="39"/>
  <c r="J86" i="39"/>
  <c r="J87" i="39"/>
  <c r="G74" i="39"/>
  <c r="H74" i="39"/>
  <c r="I74" i="39"/>
  <c r="G75" i="39"/>
  <c r="H75" i="39"/>
  <c r="I75" i="39"/>
  <c r="G76" i="39"/>
  <c r="H76" i="39"/>
  <c r="I76" i="39"/>
  <c r="G77" i="39"/>
  <c r="H77" i="39"/>
  <c r="I77" i="39"/>
  <c r="G78" i="39"/>
  <c r="H78" i="39"/>
  <c r="I78" i="39"/>
  <c r="G79" i="39"/>
  <c r="H79" i="39"/>
  <c r="I79" i="39"/>
  <c r="G80" i="39"/>
  <c r="H80" i="39"/>
  <c r="I80" i="39"/>
  <c r="G81" i="39"/>
  <c r="H81" i="39"/>
  <c r="I81" i="39"/>
  <c r="G82" i="39"/>
  <c r="H82" i="39"/>
  <c r="I82" i="39"/>
  <c r="G83" i="39"/>
  <c r="H83" i="39"/>
  <c r="I83" i="39"/>
  <c r="G84" i="39"/>
  <c r="H84" i="39"/>
  <c r="I84" i="39"/>
  <c r="G85" i="39"/>
  <c r="H85" i="39"/>
  <c r="I85" i="39"/>
  <c r="G86" i="39"/>
  <c r="H86" i="39"/>
  <c r="I86" i="39"/>
  <c r="G87" i="39"/>
  <c r="H87" i="39"/>
  <c r="I87" i="39"/>
  <c r="F74" i="39"/>
  <c r="F75" i="39"/>
  <c r="F76" i="39"/>
  <c r="F77" i="39"/>
  <c r="F78" i="39"/>
  <c r="F79" i="39"/>
  <c r="F80" i="39"/>
  <c r="F81" i="39"/>
  <c r="F82" i="39"/>
  <c r="F83" i="39"/>
  <c r="F84" i="39"/>
  <c r="F85" i="39"/>
  <c r="F86" i="39"/>
  <c r="F87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B74" i="39"/>
  <c r="B75" i="39"/>
  <c r="B76" i="39"/>
  <c r="B77" i="39"/>
  <c r="B78" i="39"/>
  <c r="B79" i="39"/>
  <c r="B80" i="39"/>
  <c r="B81" i="39"/>
  <c r="B82" i="39"/>
  <c r="B83" i="39"/>
  <c r="B84" i="39"/>
  <c r="B85" i="39"/>
  <c r="B86" i="39"/>
  <c r="B87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E74" i="39"/>
  <c r="E75" i="39"/>
  <c r="E76" i="39"/>
  <c r="E77" i="39"/>
  <c r="E78" i="39"/>
  <c r="E79" i="39"/>
  <c r="E80" i="39"/>
  <c r="E81" i="39"/>
  <c r="E82" i="39"/>
  <c r="E83" i="39"/>
  <c r="E84" i="39"/>
  <c r="E85" i="39"/>
  <c r="E86" i="39"/>
  <c r="E87" i="39"/>
  <c r="A74" i="39"/>
  <c r="A75" i="39"/>
  <c r="A76" i="39"/>
  <c r="A77" i="39"/>
  <c r="A78" i="39"/>
  <c r="A79" i="39"/>
  <c r="A80" i="39"/>
  <c r="A81" i="39"/>
  <c r="A82" i="39"/>
  <c r="A83" i="39"/>
  <c r="A84" i="39"/>
  <c r="A85" i="39"/>
  <c r="A86" i="39"/>
  <c r="A87" i="39"/>
  <c r="J60" i="39"/>
  <c r="J61" i="39"/>
  <c r="J62" i="39"/>
  <c r="J63" i="39"/>
  <c r="J64" i="39"/>
  <c r="J65" i="39"/>
  <c r="J66" i="39"/>
  <c r="J67" i="39"/>
  <c r="J68" i="39"/>
  <c r="J69" i="39"/>
  <c r="I60" i="39"/>
  <c r="I61" i="39"/>
  <c r="I62" i="39"/>
  <c r="I63" i="39"/>
  <c r="I64" i="39"/>
  <c r="I65" i="39"/>
  <c r="I66" i="39"/>
  <c r="I67" i="39"/>
  <c r="I68" i="39"/>
  <c r="I69" i="39"/>
  <c r="H60" i="39"/>
  <c r="H61" i="39"/>
  <c r="H62" i="39"/>
  <c r="H63" i="39"/>
  <c r="H64" i="39"/>
  <c r="H65" i="39"/>
  <c r="H66" i="39"/>
  <c r="H67" i="39"/>
  <c r="H68" i="39"/>
  <c r="H69" i="39"/>
  <c r="F60" i="39"/>
  <c r="G60" i="39"/>
  <c r="F61" i="39"/>
  <c r="G61" i="39"/>
  <c r="F62" i="39"/>
  <c r="G62" i="39"/>
  <c r="F63" i="39"/>
  <c r="G63" i="39"/>
  <c r="F64" i="39"/>
  <c r="G64" i="39"/>
  <c r="F65" i="39"/>
  <c r="G65" i="39"/>
  <c r="F66" i="39"/>
  <c r="G66" i="39"/>
  <c r="F67" i="39"/>
  <c r="G67" i="39"/>
  <c r="F68" i="39"/>
  <c r="G68" i="39"/>
  <c r="F69" i="39"/>
  <c r="G6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D60" i="39"/>
  <c r="D61" i="39"/>
  <c r="D62" i="39"/>
  <c r="D63" i="39"/>
  <c r="D64" i="39"/>
  <c r="D65" i="39"/>
  <c r="D66" i="39"/>
  <c r="D67" i="39"/>
  <c r="D68" i="39"/>
  <c r="D69" i="39"/>
  <c r="E60" i="39"/>
  <c r="E61" i="39"/>
  <c r="E62" i="39"/>
  <c r="E63" i="39"/>
  <c r="E64" i="39"/>
  <c r="E65" i="39"/>
  <c r="E66" i="39"/>
  <c r="E67" i="39"/>
  <c r="E68" i="39"/>
  <c r="E69" i="39"/>
  <c r="A60" i="39"/>
  <c r="A61" i="39"/>
  <c r="A62" i="39"/>
  <c r="A63" i="39"/>
  <c r="A64" i="39"/>
  <c r="A65" i="39"/>
  <c r="A66" i="39"/>
  <c r="A67" i="39"/>
  <c r="A68" i="39"/>
  <c r="A69" i="39"/>
  <c r="J31" i="39"/>
  <c r="J32" i="39"/>
  <c r="J33" i="39"/>
  <c r="J34" i="39"/>
  <c r="J35" i="39"/>
  <c r="J36" i="39"/>
  <c r="J37" i="39"/>
  <c r="J38" i="39"/>
  <c r="J39" i="39"/>
  <c r="J40" i="39"/>
  <c r="J41" i="39"/>
  <c r="J42" i="39"/>
  <c r="J43" i="39"/>
  <c r="J44" i="39"/>
  <c r="J45" i="39"/>
  <c r="J46" i="39"/>
  <c r="J47" i="39"/>
  <c r="J48" i="39"/>
  <c r="J49" i="39"/>
  <c r="J50" i="39"/>
  <c r="J51" i="39"/>
  <c r="J52" i="39"/>
  <c r="J53" i="39"/>
  <c r="J54" i="39"/>
  <c r="J55" i="39"/>
  <c r="J56" i="39"/>
  <c r="J57" i="39"/>
  <c r="J58" i="39"/>
  <c r="I31" i="39"/>
  <c r="I32" i="39"/>
  <c r="I33" i="39"/>
  <c r="I34" i="39"/>
  <c r="I35" i="39"/>
  <c r="I36" i="39"/>
  <c r="I37" i="39"/>
  <c r="I38" i="39"/>
  <c r="I39" i="39"/>
  <c r="I40" i="39"/>
  <c r="I41" i="39"/>
  <c r="I42" i="39"/>
  <c r="I43" i="39"/>
  <c r="I44" i="39"/>
  <c r="I45" i="39"/>
  <c r="I46" i="39"/>
  <c r="I47" i="39"/>
  <c r="I48" i="39"/>
  <c r="I49" i="39"/>
  <c r="I50" i="39"/>
  <c r="I51" i="39"/>
  <c r="I52" i="39"/>
  <c r="I53" i="39"/>
  <c r="I54" i="39"/>
  <c r="I55" i="39"/>
  <c r="I56" i="39"/>
  <c r="I57" i="39"/>
  <c r="I58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A31" i="39"/>
  <c r="A32" i="39"/>
  <c r="A33" i="39"/>
  <c r="A34" i="39"/>
  <c r="A35" i="39"/>
  <c r="A36" i="39"/>
  <c r="A37" i="39"/>
  <c r="A38" i="39"/>
  <c r="A39" i="39"/>
  <c r="A40" i="39"/>
  <c r="A41" i="39"/>
  <c r="A42" i="39"/>
  <c r="A43" i="39"/>
  <c r="A44" i="39"/>
  <c r="A45" i="39"/>
  <c r="A46" i="39"/>
  <c r="A47" i="39"/>
  <c r="A48" i="39"/>
  <c r="A49" i="39"/>
  <c r="A50" i="39"/>
  <c r="A51" i="39"/>
  <c r="A52" i="39"/>
  <c r="A53" i="39"/>
  <c r="A54" i="39"/>
  <c r="A55" i="39"/>
  <c r="A56" i="39"/>
  <c r="A57" i="39"/>
  <c r="A58" i="39"/>
  <c r="I2" i="39"/>
  <c r="I3" i="39"/>
  <c r="I4" i="39"/>
  <c r="I5" i="39"/>
  <c r="I6" i="39"/>
  <c r="I7" i="39"/>
  <c r="I8" i="39"/>
  <c r="I9" i="39"/>
  <c r="I10" i="39"/>
  <c r="I11" i="39"/>
  <c r="I12" i="39"/>
  <c r="I13" i="39"/>
  <c r="I14" i="39"/>
  <c r="I15" i="39"/>
  <c r="I16" i="39"/>
  <c r="I17" i="39"/>
  <c r="I18" i="39"/>
  <c r="I19" i="39"/>
  <c r="I20" i="39"/>
  <c r="I21" i="39"/>
  <c r="I22" i="39"/>
  <c r="I23" i="39"/>
  <c r="I24" i="39"/>
  <c r="I25" i="39"/>
  <c r="I26" i="39"/>
  <c r="I27" i="39"/>
  <c r="I28" i="39"/>
  <c r="I29" i="39"/>
  <c r="J2" i="39"/>
  <c r="J3" i="39"/>
  <c r="J4" i="39"/>
  <c r="J5" i="39"/>
  <c r="J6" i="39"/>
  <c r="J7" i="39"/>
  <c r="J8" i="39"/>
  <c r="J9" i="39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H2" i="39"/>
  <c r="H3" i="39"/>
  <c r="H4" i="39"/>
  <c r="H5" i="39"/>
  <c r="H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G2" i="39"/>
  <c r="G3" i="39"/>
  <c r="G4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F2" i="39"/>
  <c r="F3" i="39"/>
  <c r="F4" i="39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E2" i="39"/>
  <c r="E3" i="39"/>
  <c r="E4" i="39"/>
  <c r="E5" i="39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D2" i="39"/>
  <c r="D3" i="39"/>
  <c r="D4" i="39"/>
  <c r="D5" i="39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C2" i="39"/>
  <c r="C3" i="39"/>
  <c r="C4" i="39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B2" i="39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A2" i="39"/>
  <c r="A3" i="39"/>
  <c r="A4" i="39"/>
  <c r="A5" i="39"/>
  <c r="A6" i="39"/>
  <c r="A7" i="39"/>
  <c r="A8" i="39"/>
  <c r="A9" i="39"/>
  <c r="A10" i="39"/>
  <c r="A11" i="39"/>
  <c r="A12" i="39"/>
  <c r="A13" i="39"/>
  <c r="A14" i="39"/>
  <c r="A15" i="39"/>
  <c r="A16" i="39"/>
  <c r="A17" i="39"/>
  <c r="A18" i="39"/>
  <c r="A19" i="39"/>
  <c r="A20" i="39"/>
  <c r="A21" i="39"/>
  <c r="A22" i="39"/>
  <c r="A23" i="39"/>
  <c r="A24" i="39"/>
  <c r="A25" i="39"/>
  <c r="A26" i="39"/>
  <c r="A27" i="39"/>
  <c r="A28" i="39"/>
  <c r="A29" i="39"/>
  <c r="J74" i="38"/>
  <c r="J73" i="38"/>
  <c r="J72" i="38"/>
  <c r="J71" i="38"/>
  <c r="J70" i="38"/>
  <c r="J69" i="38"/>
  <c r="J63" i="38"/>
  <c r="J62" i="38"/>
  <c r="J61" i="38"/>
  <c r="J60" i="38"/>
  <c r="J59" i="38"/>
  <c r="J58" i="38"/>
  <c r="J57" i="38"/>
  <c r="J56" i="38"/>
  <c r="J55" i="38" l="1"/>
  <c r="J54" i="38"/>
  <c r="J53" i="38"/>
  <c r="J52" i="38"/>
  <c r="J50" i="38"/>
  <c r="J51" i="38"/>
  <c r="J49" i="38"/>
  <c r="J48" i="38"/>
  <c r="J47" i="38"/>
  <c r="H75" i="38"/>
  <c r="H47" i="38"/>
  <c r="H48" i="38"/>
  <c r="H49" i="38"/>
  <c r="H50" i="38"/>
  <c r="H51" i="38"/>
  <c r="H52" i="38"/>
  <c r="H53" i="38"/>
  <c r="H54" i="38"/>
  <c r="H55" i="38"/>
  <c r="H56" i="38"/>
  <c r="H57" i="38"/>
  <c r="H58" i="38"/>
  <c r="H59" i="38"/>
  <c r="H60" i="38"/>
  <c r="H61" i="38"/>
  <c r="H62" i="38"/>
  <c r="H63" i="38"/>
  <c r="H64" i="38"/>
  <c r="H65" i="38"/>
  <c r="H66" i="38"/>
  <c r="H67" i="38"/>
  <c r="H68" i="38"/>
  <c r="H69" i="38"/>
  <c r="H70" i="38"/>
  <c r="H71" i="38"/>
  <c r="H72" i="38"/>
  <c r="H73" i="38"/>
  <c r="H74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47" i="38"/>
  <c r="F48" i="38"/>
  <c r="F49" i="38"/>
  <c r="F50" i="38"/>
  <c r="F51" i="38"/>
  <c r="F52" i="38"/>
  <c r="F53" i="38"/>
  <c r="F54" i="38"/>
  <c r="D73" i="38"/>
  <c r="D74" i="38"/>
  <c r="D75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B47" i="38"/>
  <c r="B48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K20" i="38" l="1"/>
  <c r="L161" i="14" l="1"/>
  <c r="J45" i="38" s="1"/>
  <c r="F161" i="14"/>
  <c r="D45" i="38" s="1"/>
  <c r="L160" i="14"/>
  <c r="J44" i="38" s="1"/>
  <c r="F160" i="14"/>
  <c r="D44" i="38" s="1"/>
  <c r="L159" i="14" l="1"/>
  <c r="J43" i="38" s="1"/>
  <c r="F159" i="14"/>
  <c r="D43" i="38" s="1"/>
  <c r="L158" i="14"/>
  <c r="J42" i="38" s="1"/>
  <c r="F158" i="14"/>
  <c r="D42" i="38" s="1"/>
  <c r="F157" i="14"/>
  <c r="D41" i="38" s="1"/>
  <c r="G157" i="14"/>
  <c r="L157" i="14"/>
  <c r="J41" i="38" s="1"/>
  <c r="M157" i="14"/>
  <c r="K44" i="36" l="1"/>
  <c r="E7" i="38" s="1"/>
  <c r="K109" i="36"/>
  <c r="J7" i="38" s="1"/>
  <c r="K175" i="36"/>
  <c r="K176" i="36"/>
  <c r="K177" i="36"/>
  <c r="K178" i="36"/>
  <c r="K179" i="36"/>
  <c r="K180" i="36"/>
  <c r="K167" i="36"/>
  <c r="K168" i="36"/>
  <c r="K166" i="36"/>
  <c r="K161" i="36"/>
  <c r="K162" i="36"/>
  <c r="K163" i="36"/>
  <c r="K164" i="36"/>
  <c r="K155" i="36"/>
  <c r="K156" i="36"/>
  <c r="K153" i="36"/>
  <c r="K154" i="36"/>
  <c r="K152" i="36"/>
  <c r="K151" i="36"/>
  <c r="K149" i="36"/>
  <c r="K150" i="36"/>
  <c r="K148" i="36"/>
  <c r="K146" i="36"/>
  <c r="K147" i="36"/>
  <c r="K145" i="36"/>
  <c r="K143" i="36"/>
  <c r="K142" i="36"/>
  <c r="K141" i="36"/>
  <c r="K140" i="36"/>
  <c r="K138" i="36"/>
  <c r="K136" i="36"/>
  <c r="K134" i="36"/>
  <c r="K133" i="36"/>
  <c r="K132" i="36"/>
  <c r="K131" i="36"/>
  <c r="K129" i="36"/>
  <c r="K130" i="36"/>
  <c r="K128" i="36"/>
  <c r="K127" i="36"/>
  <c r="K124" i="36"/>
  <c r="K123" i="36"/>
  <c r="K122" i="36"/>
  <c r="K119" i="36"/>
  <c r="K120" i="36"/>
  <c r="K121" i="36"/>
  <c r="K117" i="36"/>
  <c r="K116" i="36"/>
  <c r="K113" i="36"/>
  <c r="K114" i="36"/>
  <c r="K115" i="36"/>
  <c r="K105" i="36"/>
  <c r="K106" i="36"/>
  <c r="K103" i="36"/>
  <c r="K111" i="36"/>
  <c r="K112" i="36" s="1"/>
  <c r="J8" i="38" s="1"/>
  <c r="K100" i="36"/>
  <c r="K99" i="36"/>
  <c r="K95" i="36"/>
  <c r="K96" i="36"/>
  <c r="K92" i="36"/>
  <c r="K91" i="36"/>
  <c r="K90" i="36"/>
  <c r="K89" i="36"/>
  <c r="K88" i="36"/>
  <c r="K86" i="36"/>
  <c r="K84" i="36"/>
  <c r="K83" i="36"/>
  <c r="K80" i="36"/>
  <c r="K79" i="36"/>
  <c r="K78" i="36"/>
  <c r="K75" i="36"/>
  <c r="K74" i="36"/>
  <c r="K73" i="36"/>
  <c r="K72" i="36"/>
  <c r="K71" i="36"/>
  <c r="K68" i="36"/>
  <c r="K69" i="36" s="1"/>
  <c r="K65" i="36"/>
  <c r="K66" i="36"/>
  <c r="K62" i="36"/>
  <c r="K61" i="36"/>
  <c r="K58" i="36"/>
  <c r="K56" i="36"/>
  <c r="K57" i="36"/>
  <c r="K54" i="36"/>
  <c r="K55" i="36"/>
  <c r="K53" i="36"/>
  <c r="K52" i="36"/>
  <c r="K51" i="36"/>
  <c r="K49" i="36"/>
  <c r="K50" i="36"/>
  <c r="K48" i="36"/>
  <c r="K46" i="36"/>
  <c r="E8" i="38" s="1"/>
  <c r="K34" i="36"/>
  <c r="K33" i="36"/>
  <c r="K32" i="36"/>
  <c r="K31" i="36"/>
  <c r="K30" i="36"/>
  <c r="K29" i="36"/>
  <c r="K27" i="36"/>
  <c r="K25" i="36"/>
  <c r="I15" i="37" l="1"/>
  <c r="I7" i="37"/>
  <c r="I8" i="37"/>
  <c r="K28" i="36"/>
  <c r="E5" i="38" s="1"/>
  <c r="I10" i="37"/>
  <c r="E10" i="38"/>
  <c r="K35" i="36"/>
  <c r="K107" i="36"/>
  <c r="K144" i="36"/>
  <c r="J16" i="38" s="1"/>
  <c r="K64" i="36"/>
  <c r="J12" i="38" s="1"/>
  <c r="K97" i="36"/>
  <c r="J5" i="38" s="1"/>
  <c r="K101" i="36"/>
  <c r="J6" i="38" s="1"/>
  <c r="K118" i="36"/>
  <c r="J9" i="38" s="1"/>
  <c r="K77" i="36"/>
  <c r="J3" i="38" s="1"/>
  <c r="K87" i="36"/>
  <c r="J4" i="38" s="1"/>
  <c r="K60" i="36"/>
  <c r="E14" i="38" s="1"/>
  <c r="K82" i="36"/>
  <c r="E16" i="38" s="1"/>
  <c r="K125" i="36"/>
  <c r="J13" i="38" s="1"/>
  <c r="K137" i="36"/>
  <c r="E18" i="38" s="1"/>
  <c r="K159" i="36"/>
  <c r="J17" i="38" s="1"/>
  <c r="K181" i="36"/>
  <c r="I16" i="37"/>
  <c r="K169" i="36"/>
  <c r="J18" i="38" s="1"/>
  <c r="K67" i="36"/>
  <c r="E9" i="38" s="1"/>
  <c r="K22" i="36"/>
  <c r="K19" i="36"/>
  <c r="K20" i="36"/>
  <c r="K21" i="36"/>
  <c r="K18" i="36"/>
  <c r="K17" i="36"/>
  <c r="K15" i="36"/>
  <c r="K14" i="36"/>
  <c r="K11" i="36"/>
  <c r="K10" i="36"/>
  <c r="K9" i="36"/>
  <c r="K8" i="36"/>
  <c r="K2" i="36"/>
  <c r="K3" i="36"/>
  <c r="K4" i="36"/>
  <c r="K5" i="36"/>
  <c r="K16" i="36" l="1"/>
  <c r="E3" i="38" s="1"/>
  <c r="I5" i="37"/>
  <c r="I13" i="37"/>
  <c r="J11" i="38"/>
  <c r="E20" i="38"/>
  <c r="J19" i="38"/>
  <c r="J15" i="38"/>
  <c r="I29" i="37"/>
  <c r="E17" i="38"/>
  <c r="E19" i="38" s="1"/>
  <c r="I6" i="37"/>
  <c r="E6" i="38"/>
  <c r="I31" i="37"/>
  <c r="I9" i="37"/>
  <c r="I25" i="37"/>
  <c r="I11" i="37"/>
  <c r="I33" i="37"/>
  <c r="I36" i="37"/>
  <c r="I28" i="37"/>
  <c r="I23" i="37"/>
  <c r="I32" i="37"/>
  <c r="I17" i="37"/>
  <c r="K7" i="36"/>
  <c r="E12" i="38" s="1"/>
  <c r="I22" i="37"/>
  <c r="I30" i="37"/>
  <c r="I12" i="37"/>
  <c r="I14" i="37"/>
  <c r="K12" i="36"/>
  <c r="E13" i="38" s="1"/>
  <c r="K23" i="36"/>
  <c r="E4" i="38" s="1"/>
  <c r="J9" i="37"/>
  <c r="J21" i="37"/>
  <c r="J3" i="37"/>
  <c r="J4" i="37"/>
  <c r="J5" i="37"/>
  <c r="J6" i="37"/>
  <c r="J7" i="37"/>
  <c r="J8" i="37"/>
  <c r="J22" i="37"/>
  <c r="J23" i="37"/>
  <c r="J10" i="37"/>
  <c r="J11" i="37"/>
  <c r="J28" i="37"/>
  <c r="J12" i="37"/>
  <c r="J13" i="37"/>
  <c r="J14" i="37"/>
  <c r="J29" i="37"/>
  <c r="J15" i="37"/>
  <c r="J16" i="37"/>
  <c r="J17" i="37"/>
  <c r="J25" i="37"/>
  <c r="J30" i="37"/>
  <c r="J31" i="37"/>
  <c r="J32" i="37"/>
  <c r="J33" i="37"/>
  <c r="J36" i="37"/>
  <c r="J20" i="37"/>
  <c r="C36" i="37"/>
  <c r="I3" i="37" l="1"/>
  <c r="H27" i="38"/>
  <c r="K184" i="36"/>
  <c r="K185" i="36" s="1"/>
  <c r="C36" i="38" s="1"/>
  <c r="E11" i="38"/>
  <c r="H23" i="38" s="1"/>
  <c r="E15" i="38"/>
  <c r="H25" i="38" s="1"/>
  <c r="I34" i="37"/>
  <c r="I21" i="37"/>
  <c r="I20" i="37"/>
  <c r="I4" i="37"/>
  <c r="I18" i="37" l="1"/>
  <c r="I26" i="37"/>
  <c r="B175" i="36"/>
  <c r="C175" i="36"/>
  <c r="E175" i="36"/>
  <c r="F175" i="36"/>
  <c r="B176" i="36"/>
  <c r="C176" i="36"/>
  <c r="E176" i="36"/>
  <c r="F176" i="36"/>
  <c r="B177" i="36"/>
  <c r="C177" i="36"/>
  <c r="E177" i="36"/>
  <c r="F177" i="36"/>
  <c r="B178" i="36"/>
  <c r="C178" i="36"/>
  <c r="E178" i="36"/>
  <c r="F178" i="36"/>
  <c r="B179" i="36"/>
  <c r="C179" i="36"/>
  <c r="E179" i="36"/>
  <c r="F179" i="36"/>
  <c r="B180" i="36"/>
  <c r="C180" i="36"/>
  <c r="E180" i="36"/>
  <c r="F180" i="36"/>
  <c r="B167" i="36"/>
  <c r="C167" i="36"/>
  <c r="E167" i="36"/>
  <c r="F167" i="36"/>
  <c r="B166" i="36"/>
  <c r="C166" i="36"/>
  <c r="E166" i="36"/>
  <c r="F166" i="36"/>
  <c r="B161" i="36"/>
  <c r="C161" i="36"/>
  <c r="E161" i="36"/>
  <c r="F161" i="36"/>
  <c r="B162" i="36"/>
  <c r="C162" i="36"/>
  <c r="E162" i="36"/>
  <c r="F162" i="36"/>
  <c r="B163" i="36"/>
  <c r="C163" i="36"/>
  <c r="E163" i="36"/>
  <c r="F163" i="36"/>
  <c r="B164" i="36"/>
  <c r="C164" i="36"/>
  <c r="E164" i="36"/>
  <c r="F164" i="36"/>
  <c r="B155" i="36"/>
  <c r="C155" i="36"/>
  <c r="E155" i="36"/>
  <c r="F155" i="36"/>
  <c r="B156" i="36"/>
  <c r="C156" i="36"/>
  <c r="E156" i="36"/>
  <c r="F156" i="36"/>
  <c r="B153" i="36"/>
  <c r="C153" i="36"/>
  <c r="E153" i="36"/>
  <c r="F153" i="36"/>
  <c r="B154" i="36"/>
  <c r="C154" i="36"/>
  <c r="E154" i="36"/>
  <c r="F154" i="36"/>
  <c r="B152" i="36"/>
  <c r="C152" i="36"/>
  <c r="E152" i="36"/>
  <c r="F152" i="36"/>
  <c r="B151" i="36"/>
  <c r="C151" i="36"/>
  <c r="E151" i="36"/>
  <c r="F151" i="36"/>
  <c r="B149" i="36"/>
  <c r="C149" i="36"/>
  <c r="E149" i="36"/>
  <c r="F149" i="36"/>
  <c r="B150" i="36"/>
  <c r="C150" i="36"/>
  <c r="E150" i="36"/>
  <c r="F150" i="36"/>
  <c r="B148" i="36"/>
  <c r="C148" i="36"/>
  <c r="E148" i="36"/>
  <c r="F148" i="36"/>
  <c r="B146" i="36"/>
  <c r="C146" i="36"/>
  <c r="E146" i="36"/>
  <c r="F146" i="36"/>
  <c r="B147" i="36"/>
  <c r="C147" i="36"/>
  <c r="E147" i="36"/>
  <c r="F147" i="36"/>
  <c r="B145" i="36"/>
  <c r="C145" i="36"/>
  <c r="E145" i="36"/>
  <c r="F145" i="36"/>
  <c r="B143" i="36"/>
  <c r="C143" i="36"/>
  <c r="E143" i="36"/>
  <c r="F143" i="36"/>
  <c r="B142" i="36"/>
  <c r="C142" i="36"/>
  <c r="E142" i="36"/>
  <c r="F142" i="36"/>
  <c r="B141" i="36"/>
  <c r="C141" i="36"/>
  <c r="E141" i="36"/>
  <c r="F141" i="36"/>
  <c r="B140" i="36"/>
  <c r="C140" i="36"/>
  <c r="E140" i="36"/>
  <c r="F140" i="36"/>
  <c r="B138" i="36"/>
  <c r="C138" i="36"/>
  <c r="E138" i="36"/>
  <c r="F138" i="36"/>
  <c r="G137" i="36"/>
  <c r="D137" i="36"/>
  <c r="D30" i="37" s="1"/>
  <c r="B137" i="36"/>
  <c r="B30" i="37" s="1"/>
  <c r="E137" i="36"/>
  <c r="H128" i="36"/>
  <c r="H129" i="36"/>
  <c r="H130" i="36"/>
  <c r="H131" i="36"/>
  <c r="H132" i="36"/>
  <c r="H133" i="36"/>
  <c r="H134" i="36"/>
  <c r="H136" i="36"/>
  <c r="H127" i="36"/>
  <c r="B121" i="36"/>
  <c r="C121" i="36"/>
  <c r="E121" i="36"/>
  <c r="F121" i="36"/>
  <c r="B124" i="36"/>
  <c r="C124" i="36"/>
  <c r="E124" i="36"/>
  <c r="F124" i="36"/>
  <c r="B123" i="36"/>
  <c r="C123" i="36"/>
  <c r="E123" i="36"/>
  <c r="F123" i="36"/>
  <c r="B122" i="36"/>
  <c r="C122" i="36"/>
  <c r="E122" i="36"/>
  <c r="F122" i="36"/>
  <c r="B119" i="36"/>
  <c r="C119" i="36"/>
  <c r="E119" i="36"/>
  <c r="F119" i="36"/>
  <c r="B120" i="36"/>
  <c r="C120" i="36"/>
  <c r="E120" i="36"/>
  <c r="F120" i="36"/>
  <c r="B117" i="36"/>
  <c r="C117" i="36"/>
  <c r="E117" i="36"/>
  <c r="F117" i="36"/>
  <c r="B116" i="36"/>
  <c r="C116" i="36"/>
  <c r="E116" i="36"/>
  <c r="F116" i="36"/>
  <c r="B113" i="36"/>
  <c r="C113" i="36"/>
  <c r="E113" i="36"/>
  <c r="F113" i="36"/>
  <c r="B114" i="36"/>
  <c r="C114" i="36"/>
  <c r="E114" i="36"/>
  <c r="F114" i="36"/>
  <c r="B115" i="36"/>
  <c r="C115" i="36"/>
  <c r="E115" i="36"/>
  <c r="F115" i="36"/>
  <c r="B111" i="36"/>
  <c r="C111" i="36"/>
  <c r="E111" i="36"/>
  <c r="G8" i="38" s="1"/>
  <c r="F111" i="36"/>
  <c r="B108" i="36"/>
  <c r="B109" i="36" s="1"/>
  <c r="B15" i="37" s="1"/>
  <c r="C108" i="36"/>
  <c r="E108" i="36"/>
  <c r="E109" i="36" s="1"/>
  <c r="G7" i="38" s="1"/>
  <c r="F108" i="36"/>
  <c r="B105" i="36"/>
  <c r="C105" i="36"/>
  <c r="E105" i="36"/>
  <c r="F105" i="36"/>
  <c r="B106" i="36"/>
  <c r="C106" i="36"/>
  <c r="E106" i="36"/>
  <c r="F106" i="36"/>
  <c r="B103" i="36"/>
  <c r="C103" i="36"/>
  <c r="E103" i="36"/>
  <c r="F103" i="36"/>
  <c r="E159" i="36" l="1"/>
  <c r="G17" i="38" s="1"/>
  <c r="B159" i="36"/>
  <c r="B32" i="37" s="1"/>
  <c r="C30" i="37"/>
  <c r="D18" i="38"/>
  <c r="G30" i="37"/>
  <c r="B18" i="38"/>
  <c r="E30" i="37"/>
  <c r="H137" i="36"/>
  <c r="E107" i="36"/>
  <c r="B17" i="38" s="1"/>
  <c r="E15" i="37"/>
  <c r="B112" i="36"/>
  <c r="B16" i="37"/>
  <c r="E112" i="36"/>
  <c r="E16" i="37"/>
  <c r="E181" i="36"/>
  <c r="B169" i="36"/>
  <c r="B33" i="37" s="1"/>
  <c r="B181" i="36"/>
  <c r="E144" i="36"/>
  <c r="G16" i="38" s="1"/>
  <c r="E169" i="36"/>
  <c r="G18" i="38" s="1"/>
  <c r="B144" i="36"/>
  <c r="B31" i="37" s="1"/>
  <c r="B107" i="36"/>
  <c r="B29" i="37" s="1"/>
  <c r="E125" i="36"/>
  <c r="G13" i="38" s="1"/>
  <c r="B125" i="36"/>
  <c r="B25" i="37" s="1"/>
  <c r="B118" i="36"/>
  <c r="B17" i="37" s="1"/>
  <c r="E118" i="36"/>
  <c r="G9" i="38" s="1"/>
  <c r="B100" i="36"/>
  <c r="C100" i="36"/>
  <c r="E100" i="36"/>
  <c r="F100" i="36"/>
  <c r="B99" i="36"/>
  <c r="C99" i="36"/>
  <c r="E99" i="36"/>
  <c r="F99" i="36"/>
  <c r="M75" i="14"/>
  <c r="G99" i="36" s="1"/>
  <c r="B95" i="36"/>
  <c r="C95" i="36"/>
  <c r="E95" i="36"/>
  <c r="F95" i="36"/>
  <c r="B96" i="36"/>
  <c r="C96" i="36"/>
  <c r="E96" i="36"/>
  <c r="F96" i="36"/>
  <c r="B92" i="36"/>
  <c r="C92" i="36"/>
  <c r="E92" i="36"/>
  <c r="F92" i="36"/>
  <c r="B91" i="36"/>
  <c r="C91" i="36"/>
  <c r="E91" i="36"/>
  <c r="F91" i="36"/>
  <c r="B90" i="36"/>
  <c r="C90" i="36"/>
  <c r="E90" i="36"/>
  <c r="F90" i="36"/>
  <c r="B89" i="36"/>
  <c r="C89" i="36"/>
  <c r="E89" i="36"/>
  <c r="F89" i="36"/>
  <c r="B88" i="36"/>
  <c r="C88" i="36"/>
  <c r="E88" i="36"/>
  <c r="F88" i="36"/>
  <c r="B86" i="36"/>
  <c r="C86" i="36"/>
  <c r="E86" i="36"/>
  <c r="F86" i="36"/>
  <c r="B84" i="36"/>
  <c r="C84" i="36"/>
  <c r="E84" i="36"/>
  <c r="F84" i="36"/>
  <c r="B83" i="36"/>
  <c r="C83" i="36"/>
  <c r="E83" i="36"/>
  <c r="F83" i="36"/>
  <c r="H80" i="36"/>
  <c r="H79" i="36"/>
  <c r="H78" i="36"/>
  <c r="D28" i="37"/>
  <c r="B28" i="37"/>
  <c r="B75" i="36"/>
  <c r="C75" i="36"/>
  <c r="E75" i="36"/>
  <c r="F75" i="36"/>
  <c r="B74" i="36"/>
  <c r="C74" i="36"/>
  <c r="E74" i="36"/>
  <c r="F74" i="36"/>
  <c r="B73" i="36"/>
  <c r="C73" i="36"/>
  <c r="E73" i="36"/>
  <c r="F73" i="36"/>
  <c r="B72" i="36"/>
  <c r="C72" i="36"/>
  <c r="E72" i="36"/>
  <c r="F72" i="36"/>
  <c r="B71" i="36"/>
  <c r="C71" i="36"/>
  <c r="E71" i="36"/>
  <c r="F71" i="36"/>
  <c r="B68" i="36"/>
  <c r="B69" i="36" s="1"/>
  <c r="B10" i="37" s="1"/>
  <c r="C68" i="36"/>
  <c r="E68" i="36"/>
  <c r="E69" i="36" s="1"/>
  <c r="B10" i="38" s="1"/>
  <c r="F68" i="36"/>
  <c r="B65" i="36"/>
  <c r="C65" i="36"/>
  <c r="E65" i="36"/>
  <c r="F65" i="36"/>
  <c r="B66" i="36"/>
  <c r="C66" i="36"/>
  <c r="E66" i="36"/>
  <c r="F66" i="36"/>
  <c r="B62" i="36"/>
  <c r="C62" i="36"/>
  <c r="E62" i="36"/>
  <c r="F62" i="36"/>
  <c r="B61" i="36"/>
  <c r="C61" i="36"/>
  <c r="E61" i="36"/>
  <c r="F61" i="36"/>
  <c r="B58" i="36"/>
  <c r="C58" i="36"/>
  <c r="E58" i="36"/>
  <c r="F58" i="36"/>
  <c r="B56" i="36"/>
  <c r="C56" i="36"/>
  <c r="E56" i="36"/>
  <c r="F56" i="36"/>
  <c r="B57" i="36"/>
  <c r="C57" i="36"/>
  <c r="E57" i="36"/>
  <c r="F57" i="36"/>
  <c r="B54" i="36"/>
  <c r="C54" i="36"/>
  <c r="E54" i="36"/>
  <c r="F54" i="36"/>
  <c r="B55" i="36"/>
  <c r="C55" i="36"/>
  <c r="E55" i="36"/>
  <c r="F55" i="36"/>
  <c r="B53" i="36"/>
  <c r="C53" i="36"/>
  <c r="E53" i="36"/>
  <c r="F53" i="36"/>
  <c r="B52" i="36"/>
  <c r="C52" i="36"/>
  <c r="E52" i="36"/>
  <c r="F52" i="36"/>
  <c r="B51" i="36"/>
  <c r="C51" i="36"/>
  <c r="E51" i="36"/>
  <c r="F51" i="36"/>
  <c r="B49" i="36"/>
  <c r="C49" i="36"/>
  <c r="E49" i="36"/>
  <c r="F49" i="36"/>
  <c r="B50" i="36"/>
  <c r="C50" i="36"/>
  <c r="E50" i="36"/>
  <c r="F50" i="36"/>
  <c r="B48" i="36"/>
  <c r="C48" i="36"/>
  <c r="E48" i="36"/>
  <c r="F48" i="36"/>
  <c r="B45" i="36"/>
  <c r="B46" i="36" s="1"/>
  <c r="B8" i="37" s="1"/>
  <c r="C45" i="36"/>
  <c r="E45" i="36"/>
  <c r="E46" i="36" s="1"/>
  <c r="B8" i="38" s="1"/>
  <c r="F45" i="36"/>
  <c r="B43" i="36"/>
  <c r="C43" i="36"/>
  <c r="E43" i="36"/>
  <c r="F43" i="36"/>
  <c r="B41" i="36"/>
  <c r="C41" i="36"/>
  <c r="E41" i="36"/>
  <c r="F41" i="36"/>
  <c r="B42" i="36"/>
  <c r="C42" i="36"/>
  <c r="E42" i="36"/>
  <c r="F42" i="36"/>
  <c r="B40" i="36"/>
  <c r="C40" i="36"/>
  <c r="E40" i="36"/>
  <c r="F40" i="36"/>
  <c r="B39" i="36"/>
  <c r="C39" i="36"/>
  <c r="E39" i="36"/>
  <c r="F39" i="36"/>
  <c r="B38" i="36"/>
  <c r="C38" i="36"/>
  <c r="E38" i="36"/>
  <c r="F38" i="36"/>
  <c r="B37" i="36"/>
  <c r="C37" i="36"/>
  <c r="E37" i="36"/>
  <c r="F37" i="36"/>
  <c r="B36" i="36"/>
  <c r="C36" i="36"/>
  <c r="E36" i="36"/>
  <c r="F36" i="36"/>
  <c r="B34" i="36"/>
  <c r="C34" i="36"/>
  <c r="E34" i="36"/>
  <c r="F34" i="36"/>
  <c r="B33" i="36"/>
  <c r="C33" i="36"/>
  <c r="E33" i="36"/>
  <c r="F33" i="36"/>
  <c r="B32" i="36"/>
  <c r="C32" i="36"/>
  <c r="E32" i="36"/>
  <c r="F32" i="36"/>
  <c r="B31" i="36"/>
  <c r="C31" i="36"/>
  <c r="E31" i="36"/>
  <c r="F31" i="36"/>
  <c r="B30" i="36"/>
  <c r="C30" i="36"/>
  <c r="E30" i="36"/>
  <c r="F30" i="36"/>
  <c r="B29" i="36"/>
  <c r="C29" i="36"/>
  <c r="E29" i="36"/>
  <c r="F29" i="36"/>
  <c r="B64" i="36" l="1"/>
  <c r="B23" i="37" s="1"/>
  <c r="E64" i="36"/>
  <c r="G12" i="38" s="1"/>
  <c r="G15" i="38" s="1"/>
  <c r="H82" i="36"/>
  <c r="E60" i="36"/>
  <c r="B14" i="38" s="1"/>
  <c r="B60" i="36"/>
  <c r="E77" i="36"/>
  <c r="G3" i="38" s="1"/>
  <c r="B77" i="36"/>
  <c r="B11" i="37" s="1"/>
  <c r="C28" i="37"/>
  <c r="B16" i="38"/>
  <c r="B19" i="38" s="1"/>
  <c r="E28" i="37"/>
  <c r="D16" i="38"/>
  <c r="G28" i="37"/>
  <c r="F30" i="37"/>
  <c r="H30" i="37"/>
  <c r="C18" i="38"/>
  <c r="E32" i="37"/>
  <c r="B87" i="36"/>
  <c r="B12" i="37" s="1"/>
  <c r="E101" i="36"/>
  <c r="G6" i="38" s="1"/>
  <c r="B101" i="36"/>
  <c r="B14" i="37" s="1"/>
  <c r="B36" i="37"/>
  <c r="B20" i="38"/>
  <c r="E29" i="37"/>
  <c r="G19" i="38"/>
  <c r="E25" i="37"/>
  <c r="E33" i="37"/>
  <c r="E36" i="37"/>
  <c r="E8" i="37"/>
  <c r="E10" i="37"/>
  <c r="E17" i="37"/>
  <c r="E31" i="37"/>
  <c r="B34" i="37"/>
  <c r="B35" i="37" s="1"/>
  <c r="E35" i="36"/>
  <c r="B6" i="38" s="1"/>
  <c r="B44" i="36"/>
  <c r="B7" i="37" s="1"/>
  <c r="B35" i="36"/>
  <c r="B6" i="37" s="1"/>
  <c r="E44" i="36"/>
  <c r="B7" i="38" s="1"/>
  <c r="B97" i="36"/>
  <c r="B13" i="37" s="1"/>
  <c r="E97" i="36"/>
  <c r="G5" i="38" s="1"/>
  <c r="E87" i="36"/>
  <c r="G4" i="38" s="1"/>
  <c r="E67" i="36"/>
  <c r="B9" i="38" s="1"/>
  <c r="B67" i="36"/>
  <c r="B9" i="37" s="1"/>
  <c r="B22" i="37"/>
  <c r="B27" i="36"/>
  <c r="C27" i="36"/>
  <c r="E27" i="36"/>
  <c r="F27" i="36"/>
  <c r="B25" i="36"/>
  <c r="C25" i="36"/>
  <c r="E25" i="36"/>
  <c r="F25" i="36"/>
  <c r="B22" i="36"/>
  <c r="C22" i="36"/>
  <c r="E22" i="36"/>
  <c r="F22" i="36"/>
  <c r="B19" i="36"/>
  <c r="C19" i="36"/>
  <c r="E19" i="36"/>
  <c r="F19" i="36"/>
  <c r="B20" i="36"/>
  <c r="C20" i="36"/>
  <c r="E20" i="36"/>
  <c r="F20" i="36"/>
  <c r="B21" i="36"/>
  <c r="C21" i="36"/>
  <c r="E21" i="36"/>
  <c r="F21" i="36"/>
  <c r="B18" i="36"/>
  <c r="C18" i="36"/>
  <c r="E18" i="36"/>
  <c r="F18" i="36"/>
  <c r="B17" i="36"/>
  <c r="C17" i="36"/>
  <c r="E17" i="36"/>
  <c r="F17" i="36"/>
  <c r="B15" i="36"/>
  <c r="C15" i="36"/>
  <c r="E15" i="36"/>
  <c r="F15" i="36"/>
  <c r="B14" i="36"/>
  <c r="C14" i="36"/>
  <c r="E14" i="36"/>
  <c r="F14" i="36"/>
  <c r="B8" i="36"/>
  <c r="C8" i="36"/>
  <c r="E8" i="36"/>
  <c r="F8" i="36"/>
  <c r="B9" i="36"/>
  <c r="C9" i="36"/>
  <c r="E9" i="36"/>
  <c r="F9" i="36"/>
  <c r="B10" i="36"/>
  <c r="C10" i="36"/>
  <c r="E10" i="36"/>
  <c r="F10" i="36"/>
  <c r="B11" i="36"/>
  <c r="C11" i="36"/>
  <c r="E11" i="36"/>
  <c r="F11" i="36"/>
  <c r="B5" i="36"/>
  <c r="C5" i="36"/>
  <c r="E5" i="36"/>
  <c r="F5" i="36"/>
  <c r="B4" i="36"/>
  <c r="C4" i="36"/>
  <c r="E4" i="36"/>
  <c r="F4" i="36"/>
  <c r="B3" i="36"/>
  <c r="C3" i="36"/>
  <c r="E3" i="36"/>
  <c r="F3" i="36"/>
  <c r="B2" i="36"/>
  <c r="C2" i="36"/>
  <c r="E2" i="36"/>
  <c r="F2" i="36"/>
  <c r="F54" i="35"/>
  <c r="F34" i="35"/>
  <c r="B7" i="36" l="1"/>
  <c r="B20" i="37" s="1"/>
  <c r="E16" i="36"/>
  <c r="E7" i="36"/>
  <c r="B12" i="38" s="1"/>
  <c r="C16" i="38"/>
  <c r="B27" i="38"/>
  <c r="B28" i="38" s="1"/>
  <c r="H28" i="37"/>
  <c r="F28" i="37"/>
  <c r="E14" i="37"/>
  <c r="G11" i="38"/>
  <c r="E34" i="37"/>
  <c r="E35" i="37" s="1"/>
  <c r="E9" i="37"/>
  <c r="E11" i="37"/>
  <c r="E6" i="37"/>
  <c r="E12" i="37"/>
  <c r="E7" i="37"/>
  <c r="E23" i="37"/>
  <c r="E13" i="37"/>
  <c r="E22" i="37"/>
  <c r="E23" i="36"/>
  <c r="B4" i="38" s="1"/>
  <c r="B23" i="36"/>
  <c r="B4" i="37" s="1"/>
  <c r="B16" i="36"/>
  <c r="B3" i="37" s="1"/>
  <c r="B12" i="36"/>
  <c r="B21" i="37" s="1"/>
  <c r="E28" i="36"/>
  <c r="B5" i="38" s="1"/>
  <c r="B28" i="36"/>
  <c r="B5" i="37" s="1"/>
  <c r="E12" i="36"/>
  <c r="B13" i="38" s="1"/>
  <c r="B2" i="35"/>
  <c r="C2" i="35"/>
  <c r="E2" i="35"/>
  <c r="F2" i="35"/>
  <c r="B3" i="35"/>
  <c r="C3" i="35"/>
  <c r="E3" i="35"/>
  <c r="F3" i="35"/>
  <c r="B5" i="35"/>
  <c r="C5" i="35"/>
  <c r="E5" i="35"/>
  <c r="F5" i="35"/>
  <c r="B6" i="35"/>
  <c r="C6" i="35"/>
  <c r="E6" i="35"/>
  <c r="F6" i="35"/>
  <c r="B7" i="35"/>
  <c r="C7" i="35"/>
  <c r="E7" i="35"/>
  <c r="F7" i="35"/>
  <c r="B8" i="35"/>
  <c r="C8" i="35"/>
  <c r="E8" i="35"/>
  <c r="F8" i="35"/>
  <c r="B9" i="35"/>
  <c r="C9" i="35"/>
  <c r="E9" i="35"/>
  <c r="F9" i="35"/>
  <c r="B10" i="35"/>
  <c r="C10" i="35"/>
  <c r="E10" i="35"/>
  <c r="F10" i="35"/>
  <c r="B11" i="35"/>
  <c r="C11" i="35"/>
  <c r="E11" i="35"/>
  <c r="F11" i="35"/>
  <c r="B12" i="35"/>
  <c r="C12" i="35"/>
  <c r="E12" i="35"/>
  <c r="F12" i="35"/>
  <c r="B13" i="35"/>
  <c r="C13" i="35"/>
  <c r="E13" i="35"/>
  <c r="F13" i="35"/>
  <c r="B14" i="35"/>
  <c r="C14" i="35"/>
  <c r="E14" i="35"/>
  <c r="F14" i="35"/>
  <c r="B15" i="35"/>
  <c r="C15" i="35"/>
  <c r="E15" i="35"/>
  <c r="F15" i="35"/>
  <c r="B16" i="35"/>
  <c r="C16" i="35"/>
  <c r="E16" i="35"/>
  <c r="F16" i="35"/>
  <c r="B17" i="35"/>
  <c r="C17" i="35"/>
  <c r="E17" i="35"/>
  <c r="F17" i="35"/>
  <c r="B18" i="35"/>
  <c r="C18" i="35"/>
  <c r="E18" i="35"/>
  <c r="F18" i="35"/>
  <c r="B19" i="35"/>
  <c r="C19" i="35"/>
  <c r="E19" i="35"/>
  <c r="F19" i="35"/>
  <c r="B20" i="35"/>
  <c r="C20" i="35"/>
  <c r="E20" i="35"/>
  <c r="F20" i="35"/>
  <c r="B21" i="35"/>
  <c r="C21" i="35"/>
  <c r="E21" i="35"/>
  <c r="F21" i="35"/>
  <c r="B22" i="35"/>
  <c r="C22" i="35"/>
  <c r="E22" i="35"/>
  <c r="F22" i="35"/>
  <c r="B23" i="35"/>
  <c r="C23" i="35"/>
  <c r="E23" i="35"/>
  <c r="F23" i="35"/>
  <c r="B24" i="35"/>
  <c r="C24" i="35"/>
  <c r="E24" i="35"/>
  <c r="F24" i="35"/>
  <c r="B25" i="35"/>
  <c r="C25" i="35"/>
  <c r="E25" i="35"/>
  <c r="F25" i="35"/>
  <c r="B26" i="35"/>
  <c r="C26" i="35"/>
  <c r="E26" i="35"/>
  <c r="F26" i="35"/>
  <c r="B27" i="35"/>
  <c r="C27" i="35"/>
  <c r="E27" i="35"/>
  <c r="F27" i="35"/>
  <c r="B28" i="35"/>
  <c r="C28" i="35"/>
  <c r="E28" i="35"/>
  <c r="F28" i="35"/>
  <c r="B29" i="35"/>
  <c r="C29" i="35"/>
  <c r="E29" i="35"/>
  <c r="F29" i="35"/>
  <c r="B30" i="35"/>
  <c r="C30" i="35"/>
  <c r="E30" i="35"/>
  <c r="F30" i="35"/>
  <c r="B33" i="35"/>
  <c r="C33" i="35"/>
  <c r="E33" i="35"/>
  <c r="F33" i="35"/>
  <c r="B34" i="35"/>
  <c r="C34" i="35"/>
  <c r="E34" i="35"/>
  <c r="B35" i="35"/>
  <c r="C35" i="35"/>
  <c r="E35" i="35"/>
  <c r="F35" i="35"/>
  <c r="B36" i="35"/>
  <c r="C36" i="35"/>
  <c r="E36" i="35"/>
  <c r="F36" i="35"/>
  <c r="B37" i="35"/>
  <c r="C37" i="35"/>
  <c r="E37" i="35"/>
  <c r="F37" i="35"/>
  <c r="B38" i="35"/>
  <c r="C38" i="35"/>
  <c r="E38" i="35"/>
  <c r="F38" i="35"/>
  <c r="B39" i="35"/>
  <c r="C39" i="35"/>
  <c r="E39" i="35"/>
  <c r="F39" i="35"/>
  <c r="B40" i="35"/>
  <c r="C40" i="35"/>
  <c r="E40" i="35"/>
  <c r="F40" i="35"/>
  <c r="B41" i="35"/>
  <c r="C41" i="35"/>
  <c r="E41" i="35"/>
  <c r="F41" i="35"/>
  <c r="B42" i="35"/>
  <c r="C42" i="35"/>
  <c r="E42" i="35"/>
  <c r="F42" i="35"/>
  <c r="B43" i="35"/>
  <c r="C43" i="35"/>
  <c r="E43" i="35"/>
  <c r="F43" i="35"/>
  <c r="B44" i="35"/>
  <c r="C44" i="35"/>
  <c r="E44" i="35"/>
  <c r="F44" i="35"/>
  <c r="B45" i="35"/>
  <c r="C45" i="35"/>
  <c r="E45" i="35"/>
  <c r="F45" i="35"/>
  <c r="B46" i="35"/>
  <c r="C46" i="35"/>
  <c r="E46" i="35"/>
  <c r="F46" i="35"/>
  <c r="B47" i="35"/>
  <c r="C47" i="35"/>
  <c r="E47" i="35"/>
  <c r="F47" i="35"/>
  <c r="B48" i="35"/>
  <c r="C48" i="35"/>
  <c r="E48" i="35"/>
  <c r="F48" i="35"/>
  <c r="B49" i="35"/>
  <c r="C49" i="35"/>
  <c r="E49" i="35"/>
  <c r="F49" i="35"/>
  <c r="B50" i="35"/>
  <c r="C50" i="35"/>
  <c r="E50" i="35"/>
  <c r="F50" i="35"/>
  <c r="B51" i="35"/>
  <c r="C51" i="35"/>
  <c r="E51" i="35"/>
  <c r="F51" i="35"/>
  <c r="B52" i="35"/>
  <c r="C52" i="35"/>
  <c r="E52" i="35"/>
  <c r="F52" i="35"/>
  <c r="B53" i="35"/>
  <c r="C53" i="35"/>
  <c r="E53" i="35"/>
  <c r="F53" i="35"/>
  <c r="B54" i="35"/>
  <c r="C54" i="35"/>
  <c r="E54" i="35"/>
  <c r="B55" i="35"/>
  <c r="C55" i="35"/>
  <c r="E55" i="35"/>
  <c r="F55" i="35"/>
  <c r="B56" i="35"/>
  <c r="C56" i="35"/>
  <c r="E56" i="35"/>
  <c r="F56" i="35"/>
  <c r="B57" i="35"/>
  <c r="C57" i="35"/>
  <c r="E57" i="35"/>
  <c r="F57" i="35"/>
  <c r="B60" i="35"/>
  <c r="C60" i="35"/>
  <c r="E60" i="35"/>
  <c r="F60" i="35"/>
  <c r="B61" i="35"/>
  <c r="C61" i="35"/>
  <c r="E61" i="35"/>
  <c r="F61" i="35"/>
  <c r="B62" i="35"/>
  <c r="C62" i="35"/>
  <c r="E62" i="35"/>
  <c r="F62" i="35"/>
  <c r="B63" i="35"/>
  <c r="C63" i="35"/>
  <c r="E63" i="35"/>
  <c r="F63" i="35"/>
  <c r="B64" i="35"/>
  <c r="C64" i="35"/>
  <c r="E64" i="35"/>
  <c r="F64" i="35"/>
  <c r="B65" i="35"/>
  <c r="C65" i="35"/>
  <c r="E65" i="35"/>
  <c r="F65" i="35"/>
  <c r="B66" i="35"/>
  <c r="C66" i="35"/>
  <c r="E66" i="35"/>
  <c r="F66" i="35"/>
  <c r="B67" i="35"/>
  <c r="C67" i="35"/>
  <c r="E67" i="35"/>
  <c r="F67" i="35"/>
  <c r="B68" i="35"/>
  <c r="C68" i="35"/>
  <c r="E68" i="35"/>
  <c r="F68" i="35"/>
  <c r="B69" i="35"/>
  <c r="C69" i="35"/>
  <c r="E69" i="35"/>
  <c r="F69" i="35"/>
  <c r="B74" i="35"/>
  <c r="C74" i="35"/>
  <c r="E74" i="35"/>
  <c r="F74" i="35"/>
  <c r="G74" i="35"/>
  <c r="B75" i="35"/>
  <c r="C75" i="35"/>
  <c r="E75" i="35"/>
  <c r="F75" i="35"/>
  <c r="B76" i="35"/>
  <c r="C76" i="35"/>
  <c r="E76" i="35"/>
  <c r="F76" i="35"/>
  <c r="B77" i="35"/>
  <c r="C77" i="35"/>
  <c r="E77" i="35"/>
  <c r="F77" i="35"/>
  <c r="B78" i="35"/>
  <c r="C78" i="35"/>
  <c r="E78" i="35"/>
  <c r="F78" i="35"/>
  <c r="B79" i="35"/>
  <c r="C79" i="35"/>
  <c r="E79" i="35"/>
  <c r="F79" i="35"/>
  <c r="B80" i="35"/>
  <c r="C80" i="35"/>
  <c r="E80" i="35"/>
  <c r="F80" i="35"/>
  <c r="B81" i="35"/>
  <c r="C81" i="35"/>
  <c r="E81" i="35"/>
  <c r="F81" i="35"/>
  <c r="B82" i="35"/>
  <c r="C82" i="35"/>
  <c r="E82" i="35"/>
  <c r="F82" i="35"/>
  <c r="B83" i="35"/>
  <c r="C83" i="35"/>
  <c r="E83" i="35"/>
  <c r="F83" i="35"/>
  <c r="B84" i="35"/>
  <c r="C84" i="35"/>
  <c r="E84" i="35"/>
  <c r="F84" i="35"/>
  <c r="B85" i="35"/>
  <c r="C85" i="35"/>
  <c r="E85" i="35"/>
  <c r="F85" i="35"/>
  <c r="B86" i="35"/>
  <c r="C86" i="35"/>
  <c r="E86" i="35"/>
  <c r="F86" i="35"/>
  <c r="B87" i="35"/>
  <c r="C87" i="35"/>
  <c r="E87" i="35"/>
  <c r="F87" i="35"/>
  <c r="B90" i="35"/>
  <c r="C90" i="35"/>
  <c r="E90" i="35"/>
  <c r="F90" i="35"/>
  <c r="B93" i="35"/>
  <c r="C93" i="35"/>
  <c r="E93" i="35"/>
  <c r="F93" i="35"/>
  <c r="B94" i="35"/>
  <c r="C94" i="35"/>
  <c r="E94" i="35"/>
  <c r="F94" i="35"/>
  <c r="B95" i="35"/>
  <c r="C95" i="35"/>
  <c r="E95" i="35"/>
  <c r="F95" i="35"/>
  <c r="B96" i="35"/>
  <c r="C96" i="35"/>
  <c r="E96" i="35"/>
  <c r="F96" i="35"/>
  <c r="B97" i="35"/>
  <c r="C97" i="35"/>
  <c r="E97" i="35"/>
  <c r="F97" i="35"/>
  <c r="B98" i="35"/>
  <c r="C98" i="35"/>
  <c r="E98" i="35"/>
  <c r="F98" i="35"/>
  <c r="B99" i="35"/>
  <c r="C99" i="35"/>
  <c r="E99" i="35"/>
  <c r="F99" i="35"/>
  <c r="B100" i="35"/>
  <c r="C100" i="35"/>
  <c r="E100" i="35"/>
  <c r="F100" i="35"/>
  <c r="B101" i="35"/>
  <c r="C101" i="35"/>
  <c r="E101" i="35"/>
  <c r="F101" i="35"/>
  <c r="B102" i="35"/>
  <c r="C102" i="35"/>
  <c r="E102" i="35"/>
  <c r="F102" i="35"/>
  <c r="B103" i="35"/>
  <c r="C103" i="35"/>
  <c r="E103" i="35"/>
  <c r="F103" i="35"/>
  <c r="B104" i="35"/>
  <c r="C104" i="35"/>
  <c r="E104" i="35"/>
  <c r="F104" i="35"/>
  <c r="B105" i="35"/>
  <c r="C105" i="35"/>
  <c r="E105" i="35"/>
  <c r="F105" i="35"/>
  <c r="B106" i="35"/>
  <c r="C106" i="35"/>
  <c r="E106" i="35"/>
  <c r="F106" i="35"/>
  <c r="B107" i="35"/>
  <c r="C107" i="35"/>
  <c r="E107" i="35"/>
  <c r="F107" i="35"/>
  <c r="B108" i="35"/>
  <c r="C108" i="35"/>
  <c r="E108" i="35"/>
  <c r="F108" i="35"/>
  <c r="B109" i="35"/>
  <c r="C109" i="35"/>
  <c r="E109" i="35"/>
  <c r="F109" i="35"/>
  <c r="B110" i="35"/>
  <c r="C110" i="35"/>
  <c r="E110" i="35"/>
  <c r="F110" i="35"/>
  <c r="B111" i="35"/>
  <c r="C111" i="35"/>
  <c r="E111" i="35"/>
  <c r="F111" i="35"/>
  <c r="B112" i="35"/>
  <c r="C112" i="35"/>
  <c r="E112" i="35"/>
  <c r="F112" i="35"/>
  <c r="B113" i="35"/>
  <c r="C113" i="35"/>
  <c r="E113" i="35"/>
  <c r="F113" i="35"/>
  <c r="B114" i="35"/>
  <c r="C114" i="35"/>
  <c r="E114" i="35"/>
  <c r="F114" i="35"/>
  <c r="B115" i="35"/>
  <c r="C115" i="35"/>
  <c r="E115" i="35"/>
  <c r="F115" i="35"/>
  <c r="B116" i="35"/>
  <c r="C116" i="35"/>
  <c r="E116" i="35"/>
  <c r="F116" i="35"/>
  <c r="B119" i="35"/>
  <c r="C119" i="35"/>
  <c r="E119" i="35"/>
  <c r="F119" i="35"/>
  <c r="B120" i="35"/>
  <c r="C120" i="35"/>
  <c r="E120" i="35"/>
  <c r="F120" i="35"/>
  <c r="B121" i="35"/>
  <c r="C121" i="35"/>
  <c r="E121" i="35"/>
  <c r="F121" i="35"/>
  <c r="B122" i="35"/>
  <c r="C122" i="35"/>
  <c r="E122" i="35"/>
  <c r="F122" i="35"/>
  <c r="B123" i="35"/>
  <c r="C123" i="35"/>
  <c r="E123" i="35"/>
  <c r="F123" i="35"/>
  <c r="B124" i="35"/>
  <c r="C124" i="35"/>
  <c r="E124" i="35"/>
  <c r="F124" i="35"/>
  <c r="B125" i="35"/>
  <c r="C125" i="35"/>
  <c r="E125" i="35"/>
  <c r="F125" i="35"/>
  <c r="B126" i="35"/>
  <c r="C126" i="35"/>
  <c r="E126" i="35"/>
  <c r="F126" i="35"/>
  <c r="B127" i="35"/>
  <c r="C127" i="35"/>
  <c r="E127" i="35"/>
  <c r="F127" i="35"/>
  <c r="B128" i="35"/>
  <c r="C128" i="35"/>
  <c r="E128" i="35"/>
  <c r="F128" i="35"/>
  <c r="B129" i="35"/>
  <c r="C129" i="35"/>
  <c r="E129" i="35"/>
  <c r="F129" i="35"/>
  <c r="B130" i="35"/>
  <c r="C130" i="35"/>
  <c r="E130" i="35"/>
  <c r="F130" i="35"/>
  <c r="B131" i="35"/>
  <c r="C131" i="35"/>
  <c r="E131" i="35"/>
  <c r="F131" i="35"/>
  <c r="B132" i="35"/>
  <c r="C132" i="35"/>
  <c r="E132" i="35"/>
  <c r="F132" i="35"/>
  <c r="B133" i="35"/>
  <c r="C133" i="35"/>
  <c r="E133" i="35"/>
  <c r="F133" i="35"/>
  <c r="B134" i="35"/>
  <c r="C134" i="35"/>
  <c r="E134" i="35"/>
  <c r="F134" i="35"/>
  <c r="B139" i="35"/>
  <c r="C139" i="35"/>
  <c r="E139" i="35"/>
  <c r="F139" i="35"/>
  <c r="B140" i="35"/>
  <c r="C140" i="35"/>
  <c r="E140" i="35"/>
  <c r="F140" i="35"/>
  <c r="B141" i="35"/>
  <c r="C141" i="35"/>
  <c r="E141" i="35"/>
  <c r="F141" i="35"/>
  <c r="B142" i="35"/>
  <c r="C142" i="35"/>
  <c r="E142" i="35"/>
  <c r="F142" i="35"/>
  <c r="B143" i="35"/>
  <c r="C143" i="35"/>
  <c r="E143" i="35"/>
  <c r="F143" i="35"/>
  <c r="B148" i="35"/>
  <c r="C148" i="35"/>
  <c r="E148" i="35"/>
  <c r="F148" i="35"/>
  <c r="B149" i="35"/>
  <c r="C149" i="35"/>
  <c r="E149" i="35"/>
  <c r="F149" i="35"/>
  <c r="B150" i="35"/>
  <c r="C150" i="35"/>
  <c r="E150" i="35"/>
  <c r="F150" i="35"/>
  <c r="B151" i="35"/>
  <c r="C151" i="35"/>
  <c r="E151" i="35"/>
  <c r="F151" i="35"/>
  <c r="B152" i="35"/>
  <c r="C152" i="35"/>
  <c r="E152" i="35"/>
  <c r="F152" i="35"/>
  <c r="B153" i="35"/>
  <c r="C153" i="35"/>
  <c r="E153" i="35"/>
  <c r="F153" i="35"/>
  <c r="C39" i="37" l="1"/>
  <c r="F39" i="37" s="1"/>
  <c r="B184" i="36"/>
  <c r="B185" i="36" s="1"/>
  <c r="B88" i="35"/>
  <c r="E58" i="35"/>
  <c r="E31" i="35"/>
  <c r="B146" i="35"/>
  <c r="B117" i="35"/>
  <c r="E157" i="35"/>
  <c r="E146" i="35"/>
  <c r="E117" i="35"/>
  <c r="B157" i="35"/>
  <c r="E88" i="35"/>
  <c r="B58" i="35"/>
  <c r="B15" i="38"/>
  <c r="B25" i="38" s="1"/>
  <c r="B26" i="38" s="1"/>
  <c r="E5" i="37"/>
  <c r="E21" i="37"/>
  <c r="E4" i="37"/>
  <c r="E20" i="37"/>
  <c r="B26" i="37"/>
  <c r="B18" i="37"/>
  <c r="B31" i="35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C2" i="34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F2" i="34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C27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B27" i="34"/>
  <c r="B2" i="34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E2" i="34"/>
  <c r="E3" i="34"/>
  <c r="E4" i="34"/>
  <c r="E5" i="34"/>
  <c r="E6" i="34"/>
  <c r="E7" i="34"/>
  <c r="E8" i="34"/>
  <c r="E9" i="34"/>
  <c r="E10" i="34"/>
  <c r="E11" i="34"/>
  <c r="E12" i="34"/>
  <c r="E13" i="34"/>
  <c r="M136" i="14"/>
  <c r="J136" i="14"/>
  <c r="C166" i="35" l="1"/>
  <c r="C164" i="35"/>
  <c r="E26" i="37"/>
  <c r="E27" i="37" s="1"/>
  <c r="B19" i="37"/>
  <c r="B27" i="37"/>
  <c r="D133" i="35"/>
  <c r="D156" i="36"/>
  <c r="G133" i="35"/>
  <c r="G156" i="36"/>
  <c r="F166" i="35" l="1"/>
  <c r="C32" i="38"/>
  <c r="F32" i="38" s="1"/>
  <c r="F164" i="35"/>
  <c r="C30" i="38"/>
  <c r="F30" i="38" s="1"/>
  <c r="H156" i="36"/>
  <c r="H133" i="35"/>
  <c r="F148" i="14"/>
  <c r="F149" i="14"/>
  <c r="F150" i="14"/>
  <c r="F151" i="14"/>
  <c r="F152" i="14"/>
  <c r="F153" i="14"/>
  <c r="F9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5" i="14"/>
  <c r="F76" i="14"/>
  <c r="F77" i="14"/>
  <c r="F78" i="14"/>
  <c r="F79" i="14"/>
  <c r="F80" i="14"/>
  <c r="F82" i="14"/>
  <c r="F83" i="14"/>
  <c r="F85" i="14"/>
  <c r="F86" i="14"/>
  <c r="F87" i="14"/>
  <c r="F89" i="14"/>
  <c r="F90" i="14"/>
  <c r="F91" i="14"/>
  <c r="F94" i="14"/>
  <c r="F95" i="14"/>
  <c r="F96" i="14"/>
  <c r="F97" i="14"/>
  <c r="F98" i="14"/>
  <c r="F99" i="14"/>
  <c r="F101" i="14"/>
  <c r="F102" i="14"/>
  <c r="F103" i="14"/>
  <c r="F104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4" i="14"/>
  <c r="F125" i="14"/>
  <c r="F126" i="14"/>
  <c r="F127" i="14"/>
  <c r="F128" i="14"/>
  <c r="F129" i="14"/>
  <c r="F130" i="14"/>
  <c r="F131" i="14"/>
  <c r="F132" i="14"/>
  <c r="F133" i="14"/>
  <c r="F134" i="14"/>
  <c r="F136" i="14"/>
  <c r="F137" i="14"/>
  <c r="F142" i="14"/>
  <c r="F143" i="14"/>
  <c r="F144" i="14"/>
  <c r="F145" i="14"/>
  <c r="F147" i="14"/>
  <c r="J148" i="14" l="1"/>
  <c r="J149" i="14"/>
  <c r="J150" i="14"/>
  <c r="J151" i="14"/>
  <c r="J152" i="14"/>
  <c r="J153" i="14"/>
  <c r="M148" i="14"/>
  <c r="M149" i="14"/>
  <c r="M150" i="14"/>
  <c r="M151" i="14"/>
  <c r="M152" i="14"/>
  <c r="M153" i="14"/>
  <c r="G153" i="35" l="1"/>
  <c r="G180" i="36"/>
  <c r="G149" i="35"/>
  <c r="G176" i="36"/>
  <c r="G151" i="35"/>
  <c r="G178" i="36"/>
  <c r="D151" i="35"/>
  <c r="D178" i="36"/>
  <c r="G152" i="35"/>
  <c r="G179" i="36"/>
  <c r="G148" i="35"/>
  <c r="G175" i="36"/>
  <c r="D150" i="35"/>
  <c r="D177" i="36"/>
  <c r="D153" i="35"/>
  <c r="D180" i="36"/>
  <c r="D149" i="35"/>
  <c r="D176" i="36"/>
  <c r="G150" i="35"/>
  <c r="G177" i="36"/>
  <c r="D152" i="35"/>
  <c r="D179" i="36"/>
  <c r="D148" i="35"/>
  <c r="D175" i="36"/>
  <c r="F170" i="33"/>
  <c r="E170" i="33"/>
  <c r="C170" i="33"/>
  <c r="B170" i="33"/>
  <c r="I164" i="33"/>
  <c r="H164" i="33"/>
  <c r="G164" i="33"/>
  <c r="F164" i="33"/>
  <c r="E164" i="33"/>
  <c r="D164" i="33"/>
  <c r="C164" i="33"/>
  <c r="B164" i="33"/>
  <c r="I163" i="33"/>
  <c r="H163" i="33"/>
  <c r="G163" i="33"/>
  <c r="F163" i="33"/>
  <c r="E163" i="33"/>
  <c r="D163" i="33"/>
  <c r="C163" i="33"/>
  <c r="B163" i="33"/>
  <c r="I162" i="33"/>
  <c r="H162" i="33"/>
  <c r="G162" i="33"/>
  <c r="F162" i="33"/>
  <c r="E162" i="33"/>
  <c r="D162" i="33"/>
  <c r="C162" i="33"/>
  <c r="B162" i="33"/>
  <c r="I161" i="33"/>
  <c r="H161" i="33"/>
  <c r="G161" i="33"/>
  <c r="F161" i="33"/>
  <c r="E161" i="33"/>
  <c r="D161" i="33"/>
  <c r="C161" i="33"/>
  <c r="B161" i="33"/>
  <c r="I160" i="33"/>
  <c r="H160" i="33"/>
  <c r="G160" i="33"/>
  <c r="F160" i="33"/>
  <c r="E160" i="33"/>
  <c r="D160" i="33"/>
  <c r="C160" i="33"/>
  <c r="B160" i="33"/>
  <c r="I159" i="33"/>
  <c r="I165" i="33" s="1"/>
  <c r="H159" i="33"/>
  <c r="H165" i="33" s="1"/>
  <c r="G159" i="33"/>
  <c r="F159" i="33"/>
  <c r="F165" i="33" s="1"/>
  <c r="F166" i="33" s="1"/>
  <c r="E159" i="33"/>
  <c r="E165" i="33" s="1"/>
  <c r="D159" i="33"/>
  <c r="C159" i="33"/>
  <c r="C165" i="33" s="1"/>
  <c r="B159" i="33"/>
  <c r="H158" i="33"/>
  <c r="I157" i="33"/>
  <c r="H157" i="33"/>
  <c r="G157" i="33"/>
  <c r="F157" i="33"/>
  <c r="E157" i="33"/>
  <c r="D157" i="33"/>
  <c r="C157" i="33"/>
  <c r="B157" i="33"/>
  <c r="I156" i="33"/>
  <c r="I158" i="33" s="1"/>
  <c r="H156" i="33"/>
  <c r="G156" i="33"/>
  <c r="F156" i="33"/>
  <c r="E156" i="33"/>
  <c r="D156" i="33"/>
  <c r="C156" i="33"/>
  <c r="B156" i="33"/>
  <c r="I155" i="33"/>
  <c r="H155" i="33"/>
  <c r="G155" i="33"/>
  <c r="F155" i="33"/>
  <c r="E155" i="33"/>
  <c r="E158" i="33" s="1"/>
  <c r="D155" i="33"/>
  <c r="C155" i="33"/>
  <c r="C158" i="33" s="1"/>
  <c r="B155" i="33"/>
  <c r="I154" i="33"/>
  <c r="H154" i="33"/>
  <c r="G154" i="33"/>
  <c r="F154" i="33"/>
  <c r="F158" i="33" s="1"/>
  <c r="E154" i="33"/>
  <c r="D154" i="33"/>
  <c r="C154" i="33"/>
  <c r="B154" i="33"/>
  <c r="I153" i="33"/>
  <c r="E153" i="33"/>
  <c r="I152" i="33"/>
  <c r="H152" i="33"/>
  <c r="G152" i="33"/>
  <c r="F152" i="33"/>
  <c r="E152" i="33"/>
  <c r="D152" i="33"/>
  <c r="C152" i="33"/>
  <c r="B152" i="33"/>
  <c r="I151" i="33"/>
  <c r="H151" i="33"/>
  <c r="G151" i="33"/>
  <c r="F151" i="33"/>
  <c r="E151" i="33"/>
  <c r="D151" i="33"/>
  <c r="C151" i="33"/>
  <c r="B151" i="33"/>
  <c r="I150" i="33"/>
  <c r="H150" i="33"/>
  <c r="G150" i="33"/>
  <c r="F150" i="33"/>
  <c r="E150" i="33"/>
  <c r="D150" i="33"/>
  <c r="C150" i="33"/>
  <c r="B150" i="33"/>
  <c r="I149" i="33"/>
  <c r="H149" i="33"/>
  <c r="G149" i="33"/>
  <c r="F149" i="33"/>
  <c r="E149" i="33"/>
  <c r="D149" i="33"/>
  <c r="C149" i="33"/>
  <c r="B149" i="33"/>
  <c r="I148" i="33"/>
  <c r="H148" i="33"/>
  <c r="G148" i="33"/>
  <c r="F148" i="33"/>
  <c r="E148" i="33"/>
  <c r="D148" i="33"/>
  <c r="C148" i="33"/>
  <c r="B148" i="33"/>
  <c r="I147" i="33"/>
  <c r="H147" i="33"/>
  <c r="H153" i="33" s="1"/>
  <c r="G147" i="33"/>
  <c r="F147" i="33"/>
  <c r="F153" i="33" s="1"/>
  <c r="J170" i="33" s="1"/>
  <c r="E147" i="33"/>
  <c r="D147" i="33"/>
  <c r="C147" i="33"/>
  <c r="I146" i="33"/>
  <c r="H146" i="33"/>
  <c r="G146" i="33"/>
  <c r="F146" i="33"/>
  <c r="E146" i="33"/>
  <c r="D146" i="33"/>
  <c r="C146" i="33"/>
  <c r="C153" i="33" s="1"/>
  <c r="B146" i="33"/>
  <c r="I144" i="33"/>
  <c r="H144" i="33"/>
  <c r="G144" i="33"/>
  <c r="F144" i="33"/>
  <c r="E144" i="33"/>
  <c r="D144" i="33"/>
  <c r="C144" i="33"/>
  <c r="I143" i="33"/>
  <c r="H143" i="33"/>
  <c r="H145" i="33" s="1"/>
  <c r="G143" i="33"/>
  <c r="F143" i="33"/>
  <c r="E143" i="33"/>
  <c r="D143" i="33"/>
  <c r="C143" i="33"/>
  <c r="I142" i="33"/>
  <c r="H142" i="33"/>
  <c r="G142" i="33"/>
  <c r="F142" i="33"/>
  <c r="E142" i="33"/>
  <c r="D142" i="33"/>
  <c r="C142" i="33"/>
  <c r="B142" i="33"/>
  <c r="I141" i="33"/>
  <c r="H141" i="33"/>
  <c r="G141" i="33"/>
  <c r="F141" i="33"/>
  <c r="E141" i="33"/>
  <c r="D141" i="33"/>
  <c r="C141" i="33"/>
  <c r="B141" i="33"/>
  <c r="I140" i="33"/>
  <c r="H140" i="33"/>
  <c r="G140" i="33"/>
  <c r="F140" i="33"/>
  <c r="E140" i="33"/>
  <c r="D140" i="33"/>
  <c r="C140" i="33"/>
  <c r="B140" i="33"/>
  <c r="I139" i="33"/>
  <c r="H139" i="33"/>
  <c r="G139" i="33"/>
  <c r="F139" i="33"/>
  <c r="E139" i="33"/>
  <c r="D139" i="33"/>
  <c r="C139" i="33"/>
  <c r="B139" i="33"/>
  <c r="I138" i="33"/>
  <c r="H138" i="33"/>
  <c r="G138" i="33"/>
  <c r="F138" i="33"/>
  <c r="E138" i="33"/>
  <c r="D138" i="33"/>
  <c r="C138" i="33"/>
  <c r="B138" i="33"/>
  <c r="I137" i="33"/>
  <c r="H137" i="33"/>
  <c r="G137" i="33"/>
  <c r="F137" i="33"/>
  <c r="E137" i="33"/>
  <c r="D137" i="33"/>
  <c r="C137" i="33"/>
  <c r="B137" i="33"/>
  <c r="I136" i="33"/>
  <c r="H136" i="33"/>
  <c r="G136" i="33"/>
  <c r="F136" i="33"/>
  <c r="E136" i="33"/>
  <c r="D136" i="33"/>
  <c r="C136" i="33"/>
  <c r="B136" i="33"/>
  <c r="I135" i="33"/>
  <c r="H135" i="33"/>
  <c r="G135" i="33"/>
  <c r="F135" i="33"/>
  <c r="E135" i="33"/>
  <c r="D135" i="33"/>
  <c r="C135" i="33"/>
  <c r="B135" i="33"/>
  <c r="I134" i="33"/>
  <c r="H134" i="33"/>
  <c r="G134" i="33"/>
  <c r="F134" i="33"/>
  <c r="E134" i="33"/>
  <c r="D134" i="33"/>
  <c r="C134" i="33"/>
  <c r="B134" i="33"/>
  <c r="I133" i="33"/>
  <c r="H133" i="33"/>
  <c r="G133" i="33"/>
  <c r="F133" i="33"/>
  <c r="E133" i="33"/>
  <c r="E145" i="33" s="1"/>
  <c r="D133" i="33"/>
  <c r="C133" i="33"/>
  <c r="B133" i="33"/>
  <c r="I132" i="33"/>
  <c r="I145" i="33" s="1"/>
  <c r="H132" i="33"/>
  <c r="G132" i="33"/>
  <c r="F132" i="33"/>
  <c r="F145" i="33" s="1"/>
  <c r="E132" i="33"/>
  <c r="D132" i="33"/>
  <c r="C132" i="33"/>
  <c r="C145" i="33" s="1"/>
  <c r="B132" i="33"/>
  <c r="I131" i="33"/>
  <c r="E131" i="33"/>
  <c r="I130" i="33"/>
  <c r="H130" i="33"/>
  <c r="G130" i="33"/>
  <c r="F130" i="33"/>
  <c r="E130" i="33"/>
  <c r="D130" i="33"/>
  <c r="C130" i="33"/>
  <c r="B130" i="33"/>
  <c r="I129" i="33"/>
  <c r="H129" i="33"/>
  <c r="G129" i="33"/>
  <c r="F129" i="33"/>
  <c r="E129" i="33"/>
  <c r="D129" i="33"/>
  <c r="C129" i="33"/>
  <c r="B129" i="33"/>
  <c r="I128" i="33"/>
  <c r="H128" i="33"/>
  <c r="G128" i="33"/>
  <c r="F128" i="33"/>
  <c r="E128" i="33"/>
  <c r="D128" i="33"/>
  <c r="C128" i="33"/>
  <c r="B128" i="33"/>
  <c r="I127" i="33"/>
  <c r="H127" i="33"/>
  <c r="G127" i="33"/>
  <c r="F127" i="33"/>
  <c r="E127" i="33"/>
  <c r="D127" i="33"/>
  <c r="C127" i="33"/>
  <c r="B127" i="33"/>
  <c r="I126" i="33"/>
  <c r="H126" i="33"/>
  <c r="G126" i="33"/>
  <c r="F126" i="33"/>
  <c r="E126" i="33"/>
  <c r="D126" i="33"/>
  <c r="C126" i="33"/>
  <c r="B126" i="33"/>
  <c r="I125" i="33"/>
  <c r="H125" i="33"/>
  <c r="H131" i="33" s="1"/>
  <c r="G125" i="33"/>
  <c r="F125" i="33"/>
  <c r="F131" i="33" s="1"/>
  <c r="E125" i="33"/>
  <c r="D125" i="33"/>
  <c r="C125" i="33"/>
  <c r="C131" i="33" s="1"/>
  <c r="B125" i="33"/>
  <c r="F124" i="33"/>
  <c r="I123" i="33"/>
  <c r="H123" i="33"/>
  <c r="G123" i="33"/>
  <c r="F123" i="33"/>
  <c r="E123" i="33"/>
  <c r="D123" i="33"/>
  <c r="C123" i="33"/>
  <c r="B123" i="33"/>
  <c r="I122" i="33"/>
  <c r="H122" i="33"/>
  <c r="G122" i="33"/>
  <c r="F122" i="33"/>
  <c r="E122" i="33"/>
  <c r="D122" i="33"/>
  <c r="C122" i="33"/>
  <c r="B122" i="33"/>
  <c r="I121" i="33"/>
  <c r="H121" i="33"/>
  <c r="G121" i="33"/>
  <c r="F121" i="33"/>
  <c r="E121" i="33"/>
  <c r="D121" i="33"/>
  <c r="C121" i="33"/>
  <c r="B121" i="33"/>
  <c r="I120" i="33"/>
  <c r="H120" i="33"/>
  <c r="G120" i="33"/>
  <c r="F120" i="33"/>
  <c r="E120" i="33"/>
  <c r="D120" i="33"/>
  <c r="C120" i="33"/>
  <c r="B120" i="33"/>
  <c r="I119" i="33"/>
  <c r="H119" i="33"/>
  <c r="G119" i="33"/>
  <c r="F119" i="33"/>
  <c r="E119" i="33"/>
  <c r="D119" i="33"/>
  <c r="C119" i="33"/>
  <c r="B119" i="33"/>
  <c r="I118" i="33"/>
  <c r="H118" i="33"/>
  <c r="G118" i="33"/>
  <c r="F118" i="33"/>
  <c r="E118" i="33"/>
  <c r="D118" i="33"/>
  <c r="C118" i="33"/>
  <c r="B118" i="33"/>
  <c r="I117" i="33"/>
  <c r="H117" i="33"/>
  <c r="G117" i="33"/>
  <c r="F117" i="33"/>
  <c r="E117" i="33"/>
  <c r="D117" i="33"/>
  <c r="C117" i="33"/>
  <c r="B117" i="33"/>
  <c r="I116" i="33"/>
  <c r="H116" i="33"/>
  <c r="G116" i="33"/>
  <c r="F116" i="33"/>
  <c r="E116" i="33"/>
  <c r="D116" i="33"/>
  <c r="C116" i="33"/>
  <c r="B116" i="33"/>
  <c r="I115" i="33"/>
  <c r="I124" i="33" s="1"/>
  <c r="H115" i="33"/>
  <c r="H124" i="33" s="1"/>
  <c r="G115" i="33"/>
  <c r="F115" i="33"/>
  <c r="E115" i="33"/>
  <c r="E124" i="33" s="1"/>
  <c r="D115" i="33"/>
  <c r="C115" i="33"/>
  <c r="C124" i="33" s="1"/>
  <c r="B115" i="33"/>
  <c r="F114" i="33"/>
  <c r="C114" i="33"/>
  <c r="I113" i="33"/>
  <c r="H113" i="33"/>
  <c r="G113" i="33"/>
  <c r="F113" i="33"/>
  <c r="E113" i="33"/>
  <c r="D113" i="33"/>
  <c r="C113" i="33"/>
  <c r="B113" i="33"/>
  <c r="I112" i="33"/>
  <c r="H112" i="33"/>
  <c r="G112" i="33"/>
  <c r="F112" i="33"/>
  <c r="E112" i="33"/>
  <c r="D112" i="33"/>
  <c r="C112" i="33"/>
  <c r="B112" i="33"/>
  <c r="I111" i="33"/>
  <c r="H111" i="33"/>
  <c r="G111" i="33"/>
  <c r="F111" i="33"/>
  <c r="E111" i="33"/>
  <c r="D111" i="33"/>
  <c r="C111" i="33"/>
  <c r="B111" i="33"/>
  <c r="I110" i="33"/>
  <c r="H110" i="33"/>
  <c r="G110" i="33"/>
  <c r="F110" i="33"/>
  <c r="E110" i="33"/>
  <c r="D110" i="33"/>
  <c r="C110" i="33"/>
  <c r="B110" i="33"/>
  <c r="I109" i="33"/>
  <c r="H109" i="33"/>
  <c r="H114" i="33" s="1"/>
  <c r="G109" i="33"/>
  <c r="F109" i="33"/>
  <c r="E109" i="33"/>
  <c r="D109" i="33"/>
  <c r="C109" i="33"/>
  <c r="B109" i="33"/>
  <c r="I108" i="33"/>
  <c r="H108" i="33"/>
  <c r="G108" i="33"/>
  <c r="F108" i="33"/>
  <c r="E108" i="33"/>
  <c r="D108" i="33"/>
  <c r="C108" i="33"/>
  <c r="B108" i="33"/>
  <c r="I107" i="33"/>
  <c r="I114" i="33" s="1"/>
  <c r="H107" i="33"/>
  <c r="G107" i="33"/>
  <c r="F107" i="33"/>
  <c r="E107" i="33"/>
  <c r="E114" i="33" s="1"/>
  <c r="D107" i="33"/>
  <c r="C107" i="33"/>
  <c r="B107" i="33"/>
  <c r="IQ106" i="33"/>
  <c r="IP106" i="33"/>
  <c r="IO106" i="33"/>
  <c r="IL106" i="33"/>
  <c r="IM106" i="33" s="1"/>
  <c r="II106" i="33"/>
  <c r="IH106" i="33"/>
  <c r="IG106" i="33"/>
  <c r="IE106" i="33"/>
  <c r="ID106" i="33"/>
  <c r="HY106" i="33"/>
  <c r="HZ106" i="33" s="1"/>
  <c r="HW106" i="33"/>
  <c r="HV106" i="33"/>
  <c r="IA106" i="33" s="1"/>
  <c r="HQ106" i="33"/>
  <c r="HS106" i="33" s="1"/>
  <c r="HO106" i="33"/>
  <c r="HN106" i="33"/>
  <c r="HI106" i="33"/>
  <c r="HJ106" i="33" s="1"/>
  <c r="HF106" i="33"/>
  <c r="HK106" i="33" s="1"/>
  <c r="HC106" i="33"/>
  <c r="HA106" i="33"/>
  <c r="HB106" i="33" s="1"/>
  <c r="GX106" i="33"/>
  <c r="GY106" i="33" s="1"/>
  <c r="GS106" i="33"/>
  <c r="GU106" i="33" s="1"/>
  <c r="GP106" i="33"/>
  <c r="GQ106" i="33" s="1"/>
  <c r="GK106" i="33"/>
  <c r="GL106" i="33" s="1"/>
  <c r="GH106" i="33"/>
  <c r="GI106" i="33" s="1"/>
  <c r="GE106" i="33"/>
  <c r="GD106" i="33"/>
  <c r="GC106" i="33"/>
  <c r="FZ106" i="33"/>
  <c r="GA106" i="33" s="1"/>
  <c r="FV106" i="33"/>
  <c r="FU106" i="33"/>
  <c r="FR106" i="33"/>
  <c r="FS106" i="33" s="1"/>
  <c r="FM106" i="33"/>
  <c r="FN106" i="33" s="1"/>
  <c r="FK106" i="33"/>
  <c r="FJ106" i="33"/>
  <c r="FO106" i="33" s="1"/>
  <c r="FG106" i="33"/>
  <c r="FF106" i="33"/>
  <c r="FE106" i="33"/>
  <c r="FC106" i="33"/>
  <c r="FB106" i="33"/>
  <c r="EY106" i="33"/>
  <c r="EX106" i="33"/>
  <c r="EW106" i="33"/>
  <c r="ET106" i="33"/>
  <c r="EU106" i="33" s="1"/>
  <c r="EQ106" i="33"/>
  <c r="EP106" i="33"/>
  <c r="EO106" i="33"/>
  <c r="EM106" i="33"/>
  <c r="EL106" i="33"/>
  <c r="EG106" i="33"/>
  <c r="EI106" i="33" s="1"/>
  <c r="EE106" i="33"/>
  <c r="ED106" i="33"/>
  <c r="DY106" i="33"/>
  <c r="EA106" i="33" s="1"/>
  <c r="DW106" i="33"/>
  <c r="DV106" i="33"/>
  <c r="DQ106" i="33"/>
  <c r="DR106" i="33" s="1"/>
  <c r="DN106" i="33"/>
  <c r="DS106" i="33" s="1"/>
  <c r="DK106" i="33"/>
  <c r="DI106" i="33"/>
  <c r="DJ106" i="33" s="1"/>
  <c r="DF106" i="33"/>
  <c r="DG106" i="33" s="1"/>
  <c r="DA106" i="33"/>
  <c r="DC106" i="33" s="1"/>
  <c r="CX106" i="33"/>
  <c r="CY106" i="33" s="1"/>
  <c r="CS106" i="33"/>
  <c r="CT106" i="33" s="1"/>
  <c r="CP106" i="33"/>
  <c r="CQ106" i="33" s="1"/>
  <c r="CM106" i="33"/>
  <c r="CL106" i="33"/>
  <c r="CK106" i="33"/>
  <c r="CH106" i="33"/>
  <c r="CI106" i="33" s="1"/>
  <c r="CD106" i="33"/>
  <c r="CC106" i="33"/>
  <c r="BZ106" i="33"/>
  <c r="CA106" i="33" s="1"/>
  <c r="F106" i="33"/>
  <c r="E106" i="33"/>
  <c r="I105" i="33"/>
  <c r="H105" i="33"/>
  <c r="G105" i="33"/>
  <c r="F105" i="33"/>
  <c r="E105" i="33"/>
  <c r="D105" i="33"/>
  <c r="C105" i="33"/>
  <c r="B105" i="33"/>
  <c r="I104" i="33"/>
  <c r="H104" i="33"/>
  <c r="G104" i="33"/>
  <c r="F104" i="33"/>
  <c r="E104" i="33"/>
  <c r="D104" i="33"/>
  <c r="C104" i="33"/>
  <c r="B104" i="33"/>
  <c r="I103" i="33"/>
  <c r="H103" i="33"/>
  <c r="G103" i="33"/>
  <c r="F103" i="33"/>
  <c r="E103" i="33"/>
  <c r="D103" i="33"/>
  <c r="C103" i="33"/>
  <c r="B103" i="33"/>
  <c r="I102" i="33"/>
  <c r="H102" i="33"/>
  <c r="G102" i="33"/>
  <c r="F102" i="33"/>
  <c r="E102" i="33"/>
  <c r="D102" i="33"/>
  <c r="C102" i="33"/>
  <c r="C106" i="33" s="1"/>
  <c r="B102" i="33"/>
  <c r="I101" i="33"/>
  <c r="I106" i="33" s="1"/>
  <c r="H101" i="33"/>
  <c r="H106" i="33" s="1"/>
  <c r="G101" i="33"/>
  <c r="F101" i="33"/>
  <c r="E101" i="33"/>
  <c r="D101" i="33"/>
  <c r="C101" i="33"/>
  <c r="B101" i="33"/>
  <c r="H100" i="33"/>
  <c r="F100" i="33"/>
  <c r="C100" i="33"/>
  <c r="I99" i="33"/>
  <c r="I100" i="33" s="1"/>
  <c r="H99" i="33"/>
  <c r="G99" i="33"/>
  <c r="F99" i="33"/>
  <c r="E99" i="33"/>
  <c r="E100" i="33" s="1"/>
  <c r="D99" i="33"/>
  <c r="C99" i="33"/>
  <c r="H98" i="33"/>
  <c r="F98" i="33"/>
  <c r="E98" i="33"/>
  <c r="D98" i="33"/>
  <c r="C98" i="33"/>
  <c r="I97" i="33"/>
  <c r="I98" i="33" s="1"/>
  <c r="H97" i="33"/>
  <c r="G97" i="33"/>
  <c r="F97" i="33"/>
  <c r="E97" i="33"/>
  <c r="D97" i="33"/>
  <c r="C97" i="33"/>
  <c r="B97" i="33"/>
  <c r="I96" i="33"/>
  <c r="F96" i="33"/>
  <c r="E96" i="33"/>
  <c r="C96" i="33"/>
  <c r="I95" i="33"/>
  <c r="H95" i="33"/>
  <c r="G95" i="33"/>
  <c r="F95" i="33"/>
  <c r="B95" i="33"/>
  <c r="I94" i="33"/>
  <c r="H94" i="33"/>
  <c r="G94" i="33"/>
  <c r="F94" i="33"/>
  <c r="B94" i="33"/>
  <c r="I93" i="33"/>
  <c r="H93" i="33"/>
  <c r="H96" i="33" s="1"/>
  <c r="G93" i="33"/>
  <c r="F93" i="33"/>
  <c r="E93" i="33"/>
  <c r="D93" i="33"/>
  <c r="C93" i="33"/>
  <c r="B93" i="33"/>
  <c r="H92" i="33"/>
  <c r="C92" i="33"/>
  <c r="I91" i="33"/>
  <c r="H91" i="33"/>
  <c r="G91" i="33"/>
  <c r="F91" i="33"/>
  <c r="E91" i="33"/>
  <c r="D91" i="33"/>
  <c r="C91" i="33"/>
  <c r="B91" i="33"/>
  <c r="I90" i="33"/>
  <c r="I92" i="33" s="1"/>
  <c r="H90" i="33"/>
  <c r="G90" i="33"/>
  <c r="F90" i="33"/>
  <c r="F92" i="33" s="1"/>
  <c r="E90" i="33"/>
  <c r="E92" i="33" s="1"/>
  <c r="D90" i="33"/>
  <c r="C90" i="33"/>
  <c r="B90" i="33"/>
  <c r="E89" i="33"/>
  <c r="C89" i="33"/>
  <c r="I88" i="33"/>
  <c r="H88" i="33"/>
  <c r="G88" i="33"/>
  <c r="F88" i="33"/>
  <c r="E88" i="33"/>
  <c r="D88" i="33"/>
  <c r="C88" i="33"/>
  <c r="B88" i="33"/>
  <c r="I87" i="33"/>
  <c r="H87" i="33"/>
  <c r="G87" i="33"/>
  <c r="F87" i="33"/>
  <c r="E87" i="33"/>
  <c r="D87" i="33"/>
  <c r="C87" i="33"/>
  <c r="B87" i="33"/>
  <c r="I86" i="33"/>
  <c r="H86" i="33"/>
  <c r="G86" i="33"/>
  <c r="F86" i="33"/>
  <c r="E86" i="33"/>
  <c r="D86" i="33"/>
  <c r="C86" i="33"/>
  <c r="B86" i="33"/>
  <c r="I85" i="33"/>
  <c r="H85" i="33"/>
  <c r="G85" i="33"/>
  <c r="F85" i="33"/>
  <c r="E85" i="33"/>
  <c r="D85" i="33"/>
  <c r="C85" i="33"/>
  <c r="B85" i="33"/>
  <c r="I84" i="33"/>
  <c r="H84" i="33"/>
  <c r="G84" i="33"/>
  <c r="F84" i="33"/>
  <c r="E84" i="33"/>
  <c r="D84" i="33"/>
  <c r="C84" i="33"/>
  <c r="B84" i="33"/>
  <c r="I83" i="33"/>
  <c r="H83" i="33"/>
  <c r="G83" i="33"/>
  <c r="F83" i="33"/>
  <c r="E83" i="33"/>
  <c r="D83" i="33"/>
  <c r="C83" i="33"/>
  <c r="B83" i="33"/>
  <c r="I82" i="33"/>
  <c r="H82" i="33"/>
  <c r="H89" i="33" s="1"/>
  <c r="G82" i="33"/>
  <c r="F82" i="33"/>
  <c r="E82" i="33"/>
  <c r="D82" i="33"/>
  <c r="C82" i="33"/>
  <c r="B82" i="33"/>
  <c r="I81" i="33"/>
  <c r="I89" i="33" s="1"/>
  <c r="H81" i="33"/>
  <c r="G81" i="33"/>
  <c r="F81" i="33"/>
  <c r="F89" i="33" s="1"/>
  <c r="E81" i="33"/>
  <c r="D81" i="33"/>
  <c r="C81" i="33"/>
  <c r="B81" i="33"/>
  <c r="F80" i="33"/>
  <c r="I79" i="33"/>
  <c r="H79" i="33"/>
  <c r="G79" i="33"/>
  <c r="F79" i="33"/>
  <c r="E79" i="33"/>
  <c r="D79" i="33"/>
  <c r="C79" i="33"/>
  <c r="B79" i="33"/>
  <c r="I78" i="33"/>
  <c r="H78" i="33"/>
  <c r="G78" i="33"/>
  <c r="F78" i="33"/>
  <c r="E78" i="33"/>
  <c r="D78" i="33"/>
  <c r="C78" i="33"/>
  <c r="C80" i="33" s="1"/>
  <c r="B78" i="33"/>
  <c r="I77" i="33"/>
  <c r="I80" i="33" s="1"/>
  <c r="H77" i="33"/>
  <c r="H80" i="33" s="1"/>
  <c r="G77" i="33"/>
  <c r="F77" i="33"/>
  <c r="E77" i="33"/>
  <c r="E80" i="33" s="1"/>
  <c r="D77" i="33"/>
  <c r="C77" i="33"/>
  <c r="B77" i="33"/>
  <c r="F76" i="33"/>
  <c r="I75" i="33"/>
  <c r="H75" i="33"/>
  <c r="G75" i="33"/>
  <c r="F75" i="33"/>
  <c r="E75" i="33"/>
  <c r="D75" i="33"/>
  <c r="C75" i="33"/>
  <c r="I74" i="33"/>
  <c r="H74" i="33"/>
  <c r="H76" i="33" s="1"/>
  <c r="G74" i="33"/>
  <c r="F74" i="33"/>
  <c r="E74" i="33"/>
  <c r="E76" i="33" s="1"/>
  <c r="D74" i="33"/>
  <c r="C74" i="33"/>
  <c r="B74" i="33"/>
  <c r="I73" i="33"/>
  <c r="I76" i="33" s="1"/>
  <c r="H73" i="33"/>
  <c r="G73" i="33"/>
  <c r="F73" i="33"/>
  <c r="E73" i="33"/>
  <c r="D73" i="33"/>
  <c r="C73" i="33"/>
  <c r="C76" i="33" s="1"/>
  <c r="B73" i="33"/>
  <c r="I71" i="33"/>
  <c r="H71" i="33"/>
  <c r="G71" i="33"/>
  <c r="F71" i="33"/>
  <c r="E71" i="33"/>
  <c r="D71" i="33"/>
  <c r="C71" i="33"/>
  <c r="B71" i="33"/>
  <c r="I70" i="33"/>
  <c r="H70" i="33"/>
  <c r="G70" i="33"/>
  <c r="F70" i="33"/>
  <c r="E70" i="33"/>
  <c r="D70" i="33"/>
  <c r="C70" i="33"/>
  <c r="B70" i="33"/>
  <c r="I69" i="33"/>
  <c r="I72" i="33" s="1"/>
  <c r="H69" i="33"/>
  <c r="G69" i="33"/>
  <c r="F69" i="33"/>
  <c r="F72" i="33" s="1"/>
  <c r="E69" i="33"/>
  <c r="D69" i="33"/>
  <c r="C69" i="33"/>
  <c r="B69" i="33"/>
  <c r="I68" i="33"/>
  <c r="H68" i="33"/>
  <c r="G68" i="33"/>
  <c r="F68" i="33"/>
  <c r="E68" i="33"/>
  <c r="D68" i="33"/>
  <c r="C68" i="33"/>
  <c r="B68" i="33"/>
  <c r="I67" i="33"/>
  <c r="H67" i="33"/>
  <c r="H72" i="33" s="1"/>
  <c r="G67" i="33"/>
  <c r="F67" i="33"/>
  <c r="E67" i="33"/>
  <c r="E72" i="33" s="1"/>
  <c r="D67" i="33"/>
  <c r="C67" i="33"/>
  <c r="C72" i="33" s="1"/>
  <c r="B67" i="33"/>
  <c r="I66" i="33"/>
  <c r="H66" i="33"/>
  <c r="I65" i="33"/>
  <c r="H65" i="33"/>
  <c r="G65" i="33"/>
  <c r="F65" i="33"/>
  <c r="F66" i="33" s="1"/>
  <c r="I63" i="33"/>
  <c r="H63" i="33"/>
  <c r="H64" i="33" s="1"/>
  <c r="G63" i="33"/>
  <c r="F63" i="33"/>
  <c r="E63" i="33"/>
  <c r="D63" i="33"/>
  <c r="C63" i="33"/>
  <c r="B63" i="33"/>
  <c r="I62" i="33"/>
  <c r="I64" i="33" s="1"/>
  <c r="H62" i="33"/>
  <c r="G62" i="33"/>
  <c r="F62" i="33"/>
  <c r="F64" i="33" s="1"/>
  <c r="E62" i="33"/>
  <c r="E64" i="33" s="1"/>
  <c r="D62" i="33"/>
  <c r="C62" i="33"/>
  <c r="C64" i="33" s="1"/>
  <c r="B62" i="33"/>
  <c r="H61" i="33"/>
  <c r="I60" i="33"/>
  <c r="H60" i="33"/>
  <c r="G60" i="33"/>
  <c r="F60" i="33"/>
  <c r="E60" i="33"/>
  <c r="E61" i="33" s="1"/>
  <c r="D60" i="33"/>
  <c r="C60" i="33"/>
  <c r="C61" i="33" s="1"/>
  <c r="B60" i="33"/>
  <c r="I59" i="33"/>
  <c r="I61" i="33" s="1"/>
  <c r="H59" i="33"/>
  <c r="G59" i="33"/>
  <c r="F59" i="33"/>
  <c r="F61" i="33" s="1"/>
  <c r="E59" i="33"/>
  <c r="D59" i="33"/>
  <c r="C59" i="33"/>
  <c r="B59" i="33"/>
  <c r="I58" i="33"/>
  <c r="I57" i="33"/>
  <c r="H57" i="33"/>
  <c r="G57" i="33"/>
  <c r="F57" i="33"/>
  <c r="E57" i="33"/>
  <c r="D57" i="33"/>
  <c r="C57" i="33"/>
  <c r="B57" i="33"/>
  <c r="I56" i="33"/>
  <c r="H56" i="33"/>
  <c r="G56" i="33"/>
  <c r="F56" i="33"/>
  <c r="E56" i="33"/>
  <c r="D56" i="33"/>
  <c r="C56" i="33"/>
  <c r="B56" i="33"/>
  <c r="I55" i="33"/>
  <c r="H55" i="33"/>
  <c r="G55" i="33"/>
  <c r="F55" i="33"/>
  <c r="E55" i="33"/>
  <c r="D55" i="33"/>
  <c r="C55" i="33"/>
  <c r="B55" i="33"/>
  <c r="I54" i="33"/>
  <c r="H54" i="33"/>
  <c r="G54" i="33"/>
  <c r="F54" i="33"/>
  <c r="E54" i="33"/>
  <c r="D54" i="33"/>
  <c r="C54" i="33"/>
  <c r="B54" i="33"/>
  <c r="I53" i="33"/>
  <c r="H53" i="33"/>
  <c r="G53" i="33"/>
  <c r="F53" i="33"/>
  <c r="E53" i="33"/>
  <c r="D53" i="33"/>
  <c r="C53" i="33"/>
  <c r="B53" i="33"/>
  <c r="I52" i="33"/>
  <c r="H52" i="33"/>
  <c r="G52" i="33"/>
  <c r="F52" i="33"/>
  <c r="E52" i="33"/>
  <c r="D52" i="33"/>
  <c r="C52" i="33"/>
  <c r="B52" i="33"/>
  <c r="I51" i="33"/>
  <c r="H51" i="33"/>
  <c r="G51" i="33"/>
  <c r="F51" i="33"/>
  <c r="E51" i="33"/>
  <c r="D51" i="33"/>
  <c r="C51" i="33"/>
  <c r="B51" i="33"/>
  <c r="I50" i="33"/>
  <c r="H50" i="33"/>
  <c r="G50" i="33"/>
  <c r="F50" i="33"/>
  <c r="I49" i="33"/>
  <c r="H49" i="33"/>
  <c r="G49" i="33"/>
  <c r="F49" i="33"/>
  <c r="E49" i="33"/>
  <c r="D49" i="33"/>
  <c r="C49" i="33"/>
  <c r="B49" i="33"/>
  <c r="I48" i="33"/>
  <c r="H48" i="33"/>
  <c r="G48" i="33"/>
  <c r="F48" i="33"/>
  <c r="E48" i="33"/>
  <c r="D48" i="33"/>
  <c r="C48" i="33"/>
  <c r="B48" i="33"/>
  <c r="I47" i="33"/>
  <c r="H47" i="33"/>
  <c r="G47" i="33"/>
  <c r="F47" i="33"/>
  <c r="E47" i="33"/>
  <c r="D47" i="33"/>
  <c r="C47" i="33"/>
  <c r="B47" i="33"/>
  <c r="I46" i="33"/>
  <c r="H46" i="33"/>
  <c r="G46" i="33"/>
  <c r="F46" i="33"/>
  <c r="E46" i="33"/>
  <c r="D46" i="33"/>
  <c r="C46" i="33"/>
  <c r="C58" i="33" s="1"/>
  <c r="B46" i="33"/>
  <c r="I45" i="33"/>
  <c r="H45" i="33"/>
  <c r="H58" i="33" s="1"/>
  <c r="G45" i="33"/>
  <c r="F45" i="33"/>
  <c r="F58" i="33" s="1"/>
  <c r="E45" i="33"/>
  <c r="E58" i="33" s="1"/>
  <c r="D45" i="33"/>
  <c r="C45" i="33"/>
  <c r="B45" i="33"/>
  <c r="F44" i="33"/>
  <c r="E44" i="33"/>
  <c r="C44" i="33"/>
  <c r="I43" i="33"/>
  <c r="I44" i="33" s="1"/>
  <c r="H43" i="33"/>
  <c r="H44" i="33" s="1"/>
  <c r="G43" i="33"/>
  <c r="F43" i="33"/>
  <c r="E43" i="33"/>
  <c r="D43" i="33"/>
  <c r="C43" i="33"/>
  <c r="B43" i="33"/>
  <c r="F42" i="33"/>
  <c r="C42" i="33"/>
  <c r="I41" i="33"/>
  <c r="H41" i="33"/>
  <c r="G41" i="33"/>
  <c r="F41" i="33"/>
  <c r="E41" i="33"/>
  <c r="D41" i="33"/>
  <c r="C41" i="33"/>
  <c r="B41" i="33"/>
  <c r="I40" i="33"/>
  <c r="H40" i="33"/>
  <c r="G40" i="33"/>
  <c r="F40" i="33"/>
  <c r="E40" i="33"/>
  <c r="D40" i="33"/>
  <c r="C40" i="33"/>
  <c r="B40" i="33"/>
  <c r="I39" i="33"/>
  <c r="H39" i="33"/>
  <c r="G39" i="33"/>
  <c r="F39" i="33"/>
  <c r="E39" i="33"/>
  <c r="D39" i="33"/>
  <c r="C39" i="33"/>
  <c r="B39" i="33"/>
  <c r="I38" i="33"/>
  <c r="H38" i="33"/>
  <c r="G38" i="33"/>
  <c r="F38" i="33"/>
  <c r="E38" i="33"/>
  <c r="D38" i="33"/>
  <c r="C38" i="33"/>
  <c r="B38" i="33"/>
  <c r="I37" i="33"/>
  <c r="H37" i="33"/>
  <c r="G37" i="33"/>
  <c r="F37" i="33"/>
  <c r="E37" i="33"/>
  <c r="D37" i="33"/>
  <c r="C37" i="33"/>
  <c r="B37" i="33"/>
  <c r="I36" i="33"/>
  <c r="H36" i="33"/>
  <c r="G36" i="33"/>
  <c r="F36" i="33"/>
  <c r="E36" i="33"/>
  <c r="D36" i="33"/>
  <c r="C36" i="33"/>
  <c r="B36" i="33"/>
  <c r="I35" i="33"/>
  <c r="H35" i="33"/>
  <c r="G35" i="33"/>
  <c r="F35" i="33"/>
  <c r="E35" i="33"/>
  <c r="D35" i="33"/>
  <c r="C35" i="33"/>
  <c r="B35" i="33"/>
  <c r="I34" i="33"/>
  <c r="I42" i="33" s="1"/>
  <c r="H34" i="33"/>
  <c r="H42" i="33" s="1"/>
  <c r="G34" i="33"/>
  <c r="F34" i="33"/>
  <c r="E34" i="33"/>
  <c r="E42" i="33" s="1"/>
  <c r="D34" i="33"/>
  <c r="C34" i="33"/>
  <c r="B34" i="33"/>
  <c r="I32" i="33"/>
  <c r="H32" i="33"/>
  <c r="G32" i="33"/>
  <c r="F32" i="33"/>
  <c r="E32" i="33"/>
  <c r="D32" i="33"/>
  <c r="C32" i="33"/>
  <c r="B32" i="33"/>
  <c r="IP31" i="33"/>
  <c r="IO31" i="33"/>
  <c r="IL31" i="33"/>
  <c r="IM31" i="33" s="1"/>
  <c r="IK31" i="33"/>
  <c r="IQ31" i="33" s="1"/>
  <c r="IG31" i="33"/>
  <c r="II31" i="33" s="1"/>
  <c r="ID31" i="33"/>
  <c r="IC31" i="33"/>
  <c r="IE31" i="33" s="1"/>
  <c r="HZ31" i="33"/>
  <c r="HY31" i="33"/>
  <c r="HV31" i="33"/>
  <c r="HW31" i="33" s="1"/>
  <c r="HU31" i="33"/>
  <c r="IA31" i="33" s="1"/>
  <c r="HQ31" i="33"/>
  <c r="HS31" i="33" s="1"/>
  <c r="HN31" i="33"/>
  <c r="HM31" i="33"/>
  <c r="HO31" i="33" s="1"/>
  <c r="HJ31" i="33"/>
  <c r="HI31" i="33"/>
  <c r="HF31" i="33"/>
  <c r="HG31" i="33" s="1"/>
  <c r="HE31" i="33"/>
  <c r="HK31" i="33" s="1"/>
  <c r="HA31" i="33"/>
  <c r="HC31" i="33" s="1"/>
  <c r="GX31" i="33"/>
  <c r="GW31" i="33"/>
  <c r="GY31" i="33" s="1"/>
  <c r="GT31" i="33"/>
  <c r="GS31" i="33"/>
  <c r="GP31" i="33"/>
  <c r="GQ31" i="33" s="1"/>
  <c r="GO31" i="33"/>
  <c r="GU31" i="33" s="1"/>
  <c r="GK31" i="33"/>
  <c r="GM31" i="33" s="1"/>
  <c r="GH31" i="33"/>
  <c r="GG31" i="33"/>
  <c r="GI31" i="33" s="1"/>
  <c r="GD31" i="33"/>
  <c r="GC31" i="33"/>
  <c r="FZ31" i="33"/>
  <c r="GA31" i="33" s="1"/>
  <c r="FY31" i="33"/>
  <c r="GE31" i="33" s="1"/>
  <c r="FU31" i="33"/>
  <c r="FW31" i="33" s="1"/>
  <c r="FR31" i="33"/>
  <c r="FQ31" i="33"/>
  <c r="FS31" i="33" s="1"/>
  <c r="FN31" i="33"/>
  <c r="FM31" i="33"/>
  <c r="FJ31" i="33"/>
  <c r="FK31" i="33" s="1"/>
  <c r="FI31" i="33"/>
  <c r="FO31" i="33" s="1"/>
  <c r="FE31" i="33"/>
  <c r="FG31" i="33" s="1"/>
  <c r="FB31" i="33"/>
  <c r="FA31" i="33"/>
  <c r="FC31" i="33" s="1"/>
  <c r="EX31" i="33"/>
  <c r="EW31" i="33"/>
  <c r="ET31" i="33"/>
  <c r="EU31" i="33" s="1"/>
  <c r="ES31" i="33"/>
  <c r="EY31" i="33" s="1"/>
  <c r="EO31" i="33"/>
  <c r="EQ31" i="33" s="1"/>
  <c r="EL31" i="33"/>
  <c r="EK31" i="33"/>
  <c r="EM31" i="33" s="1"/>
  <c r="EH31" i="33"/>
  <c r="EG31" i="33"/>
  <c r="ED31" i="33"/>
  <c r="EE31" i="33" s="1"/>
  <c r="EC31" i="33"/>
  <c r="EI31" i="33" s="1"/>
  <c r="DY31" i="33"/>
  <c r="EA31" i="33" s="1"/>
  <c r="DV31" i="33"/>
  <c r="DU31" i="33"/>
  <c r="DW31" i="33" s="1"/>
  <c r="DR31" i="33"/>
  <c r="DQ31" i="33"/>
  <c r="DN31" i="33"/>
  <c r="DO31" i="33" s="1"/>
  <c r="DM31" i="33"/>
  <c r="DS31" i="33" s="1"/>
  <c r="DI31" i="33"/>
  <c r="DK31" i="33" s="1"/>
  <c r="DF31" i="33"/>
  <c r="DE31" i="33"/>
  <c r="DG31" i="33" s="1"/>
  <c r="DB31" i="33"/>
  <c r="DA31" i="33"/>
  <c r="CX31" i="33"/>
  <c r="CY31" i="33" s="1"/>
  <c r="CW31" i="33"/>
  <c r="DC31" i="33" s="1"/>
  <c r="CS31" i="33"/>
  <c r="CU31" i="33" s="1"/>
  <c r="CP31" i="33"/>
  <c r="CO31" i="33"/>
  <c r="CQ31" i="33" s="1"/>
  <c r="CL31" i="33"/>
  <c r="CK31" i="33"/>
  <c r="CH31" i="33"/>
  <c r="CI31" i="33" s="1"/>
  <c r="CG31" i="33"/>
  <c r="CM31" i="33" s="1"/>
  <c r="CC31" i="33"/>
  <c r="CE31" i="33" s="1"/>
  <c r="BZ31" i="33"/>
  <c r="CA31" i="33" s="1"/>
  <c r="I31" i="33"/>
  <c r="H31" i="33"/>
  <c r="G31" i="33"/>
  <c r="F31" i="33"/>
  <c r="E31" i="33"/>
  <c r="D31" i="33"/>
  <c r="C31" i="33"/>
  <c r="I30" i="33"/>
  <c r="H30" i="33"/>
  <c r="G30" i="33"/>
  <c r="F30" i="33"/>
  <c r="E30" i="33"/>
  <c r="D30" i="33"/>
  <c r="C30" i="33"/>
  <c r="I29" i="33"/>
  <c r="H29" i="33"/>
  <c r="G29" i="33"/>
  <c r="F29" i="33"/>
  <c r="E29" i="33"/>
  <c r="D29" i="33"/>
  <c r="C29" i="33"/>
  <c r="B29" i="33"/>
  <c r="I28" i="33"/>
  <c r="H28" i="33"/>
  <c r="G28" i="33"/>
  <c r="F28" i="33"/>
  <c r="E28" i="33"/>
  <c r="D28" i="33"/>
  <c r="C28" i="33"/>
  <c r="C33" i="33" s="1"/>
  <c r="B28" i="33"/>
  <c r="I27" i="33"/>
  <c r="H27" i="33"/>
  <c r="G27" i="33"/>
  <c r="F27" i="33"/>
  <c r="E27" i="33"/>
  <c r="D27" i="33"/>
  <c r="C27" i="33"/>
  <c r="B27" i="33"/>
  <c r="I26" i="33"/>
  <c r="I33" i="33" s="1"/>
  <c r="H26" i="33"/>
  <c r="H33" i="33" s="1"/>
  <c r="G26" i="33"/>
  <c r="F26" i="33"/>
  <c r="F33" i="33" s="1"/>
  <c r="E26" i="33"/>
  <c r="E33" i="33" s="1"/>
  <c r="D26" i="33"/>
  <c r="C26" i="33"/>
  <c r="B26" i="33"/>
  <c r="I24" i="33"/>
  <c r="H24" i="33"/>
  <c r="H25" i="33" s="1"/>
  <c r="G24" i="33"/>
  <c r="F24" i="33"/>
  <c r="E24" i="33"/>
  <c r="D24" i="33"/>
  <c r="C24" i="33"/>
  <c r="B24" i="33"/>
  <c r="I23" i="33"/>
  <c r="I25" i="33" s="1"/>
  <c r="H23" i="33"/>
  <c r="G23" i="33"/>
  <c r="F23" i="33"/>
  <c r="F25" i="33" s="1"/>
  <c r="E23" i="33"/>
  <c r="E25" i="33" s="1"/>
  <c r="D23" i="33"/>
  <c r="C23" i="33"/>
  <c r="C25" i="33" s="1"/>
  <c r="B23" i="33"/>
  <c r="I21" i="33"/>
  <c r="H21" i="33"/>
  <c r="G21" i="33"/>
  <c r="F21" i="33"/>
  <c r="E21" i="33"/>
  <c r="D21" i="33"/>
  <c r="C21" i="33"/>
  <c r="B21" i="33"/>
  <c r="I20" i="33"/>
  <c r="H20" i="33"/>
  <c r="G20" i="33"/>
  <c r="F20" i="33"/>
  <c r="E20" i="33"/>
  <c r="D20" i="33"/>
  <c r="C20" i="33"/>
  <c r="B20" i="33"/>
  <c r="I19" i="33"/>
  <c r="H19" i="33"/>
  <c r="G19" i="33"/>
  <c r="F19" i="33"/>
  <c r="E19" i="33"/>
  <c r="D19" i="33"/>
  <c r="C19" i="33"/>
  <c r="B19" i="33"/>
  <c r="I18" i="33"/>
  <c r="H18" i="33"/>
  <c r="G18" i="33"/>
  <c r="F18" i="33"/>
  <c r="E18" i="33"/>
  <c r="D18" i="33"/>
  <c r="C18" i="33"/>
  <c r="B18" i="33"/>
  <c r="I17" i="33"/>
  <c r="H17" i="33"/>
  <c r="G17" i="33"/>
  <c r="F17" i="33"/>
  <c r="E17" i="33"/>
  <c r="D17" i="33"/>
  <c r="C17" i="33"/>
  <c r="C22" i="33" s="1"/>
  <c r="B17" i="33"/>
  <c r="I16" i="33"/>
  <c r="I22" i="33" s="1"/>
  <c r="H16" i="33"/>
  <c r="H22" i="33" s="1"/>
  <c r="G16" i="33"/>
  <c r="F16" i="33"/>
  <c r="F22" i="33" s="1"/>
  <c r="E16" i="33"/>
  <c r="E22" i="33" s="1"/>
  <c r="D16" i="33"/>
  <c r="C16" i="33"/>
  <c r="B16" i="33"/>
  <c r="C15" i="33"/>
  <c r="I14" i="33"/>
  <c r="I15" i="33" s="1"/>
  <c r="H14" i="33"/>
  <c r="G14" i="33"/>
  <c r="F14" i="33"/>
  <c r="E14" i="33"/>
  <c r="D14" i="33"/>
  <c r="C14" i="33"/>
  <c r="B14" i="33"/>
  <c r="I13" i="33"/>
  <c r="H13" i="33"/>
  <c r="H15" i="33" s="1"/>
  <c r="G13" i="33"/>
  <c r="F13" i="33"/>
  <c r="F15" i="33" s="1"/>
  <c r="E13" i="33"/>
  <c r="E15" i="33" s="1"/>
  <c r="D13" i="33"/>
  <c r="C13" i="33"/>
  <c r="B13" i="33"/>
  <c r="I12" i="33"/>
  <c r="I11" i="33"/>
  <c r="H11" i="33"/>
  <c r="G11" i="33"/>
  <c r="F11" i="33"/>
  <c r="E11" i="33"/>
  <c r="D11" i="33"/>
  <c r="C11" i="33"/>
  <c r="B11" i="33"/>
  <c r="I10" i="33"/>
  <c r="H10" i="33"/>
  <c r="G10" i="33"/>
  <c r="F10" i="33"/>
  <c r="E10" i="33"/>
  <c r="D10" i="33"/>
  <c r="C10" i="33"/>
  <c r="B10" i="33"/>
  <c r="I9" i="33"/>
  <c r="H9" i="33"/>
  <c r="H12" i="33" s="1"/>
  <c r="G9" i="33"/>
  <c r="F9" i="33"/>
  <c r="E9" i="33"/>
  <c r="D9" i="33"/>
  <c r="C9" i="33"/>
  <c r="B9" i="33"/>
  <c r="I8" i="33"/>
  <c r="H8" i="33"/>
  <c r="G8" i="33"/>
  <c r="F8" i="33"/>
  <c r="F12" i="33" s="1"/>
  <c r="E8" i="33"/>
  <c r="E12" i="33" s="1"/>
  <c r="D8" i="33"/>
  <c r="C8" i="33"/>
  <c r="C12" i="33" s="1"/>
  <c r="B8" i="33"/>
  <c r="I6" i="33"/>
  <c r="H6" i="33"/>
  <c r="G6" i="33"/>
  <c r="F6" i="33"/>
  <c r="E6" i="33"/>
  <c r="D6" i="33"/>
  <c r="C6" i="33"/>
  <c r="I5" i="33"/>
  <c r="H5" i="33"/>
  <c r="G5" i="33"/>
  <c r="F5" i="33"/>
  <c r="E5" i="33"/>
  <c r="D5" i="33"/>
  <c r="C5" i="33"/>
  <c r="C7" i="33" s="1"/>
  <c r="B5" i="33"/>
  <c r="I4" i="33"/>
  <c r="H4" i="33"/>
  <c r="H7" i="33" s="1"/>
  <c r="H167" i="33" s="1"/>
  <c r="H168" i="33" s="1"/>
  <c r="G4" i="33"/>
  <c r="F4" i="33"/>
  <c r="E4" i="33"/>
  <c r="D4" i="33"/>
  <c r="C4" i="33"/>
  <c r="B4" i="33"/>
  <c r="I3" i="33"/>
  <c r="I7" i="33" s="1"/>
  <c r="H3" i="33"/>
  <c r="G3" i="33"/>
  <c r="F3" i="33"/>
  <c r="F7" i="33" s="1"/>
  <c r="E3" i="33"/>
  <c r="E7" i="33" s="1"/>
  <c r="D3" i="33"/>
  <c r="C3" i="33"/>
  <c r="B3" i="33"/>
  <c r="I2" i="33"/>
  <c r="H2" i="33"/>
  <c r="G2" i="33"/>
  <c r="F2" i="33"/>
  <c r="E2" i="33"/>
  <c r="D2" i="33"/>
  <c r="C2" i="33"/>
  <c r="B2" i="33"/>
  <c r="H177" i="36" l="1"/>
  <c r="D157" i="35"/>
  <c r="H152" i="35"/>
  <c r="H176" i="36"/>
  <c r="H150" i="35"/>
  <c r="H153" i="35"/>
  <c r="H151" i="35"/>
  <c r="H149" i="35"/>
  <c r="D181" i="36"/>
  <c r="G157" i="35"/>
  <c r="G181" i="36"/>
  <c r="H175" i="36"/>
  <c r="H148" i="35"/>
  <c r="H179" i="36"/>
  <c r="H178" i="36"/>
  <c r="H180" i="36"/>
  <c r="E167" i="33"/>
  <c r="E168" i="33" s="1"/>
  <c r="F167" i="33"/>
  <c r="F168" i="33" s="1"/>
  <c r="G168" i="33" s="1"/>
  <c r="C167" i="33"/>
  <c r="C168" i="33" s="1"/>
  <c r="I167" i="33"/>
  <c r="I168" i="33" s="1"/>
  <c r="CU106" i="33"/>
  <c r="DO106" i="33"/>
  <c r="EH106" i="33"/>
  <c r="GM106" i="33"/>
  <c r="HG106" i="33"/>
  <c r="CE106" i="33"/>
  <c r="FW106" i="33"/>
  <c r="DB106" i="33"/>
  <c r="GT106" i="33"/>
  <c r="CD31" i="33"/>
  <c r="CT31" i="33"/>
  <c r="DJ31" i="33"/>
  <c r="DZ31" i="33"/>
  <c r="EP31" i="33"/>
  <c r="FF31" i="33"/>
  <c r="FV31" i="33"/>
  <c r="GL31" i="33"/>
  <c r="HB31" i="33"/>
  <c r="HR31" i="33"/>
  <c r="IH31" i="33"/>
  <c r="DZ106" i="33"/>
  <c r="HR106" i="33"/>
  <c r="D20" i="38" l="1"/>
  <c r="C20" i="38" s="1"/>
  <c r="D36" i="37"/>
  <c r="C168" i="35"/>
  <c r="G36" i="37"/>
  <c r="H181" i="36"/>
  <c r="J76" i="14"/>
  <c r="J77" i="14"/>
  <c r="J78" i="14"/>
  <c r="J79" i="14"/>
  <c r="J80" i="14"/>
  <c r="J82" i="14"/>
  <c r="J83" i="14"/>
  <c r="J85" i="14"/>
  <c r="J86" i="14"/>
  <c r="J87" i="14"/>
  <c r="D85" i="35" s="1"/>
  <c r="J89" i="14"/>
  <c r="J90" i="14"/>
  <c r="J91" i="14"/>
  <c r="D90" i="35" s="1"/>
  <c r="J94" i="14"/>
  <c r="D93" i="35" s="1"/>
  <c r="J95" i="14"/>
  <c r="D94" i="35" s="1"/>
  <c r="J96" i="14"/>
  <c r="D95" i="35" s="1"/>
  <c r="J97" i="14"/>
  <c r="J98" i="14"/>
  <c r="D73" i="36" s="1"/>
  <c r="J99" i="14"/>
  <c r="D98" i="35" s="1"/>
  <c r="J101" i="14"/>
  <c r="J102" i="14"/>
  <c r="J103" i="14"/>
  <c r="J104" i="14"/>
  <c r="D102" i="35" s="1"/>
  <c r="J106" i="14"/>
  <c r="J107" i="14"/>
  <c r="J108" i="14"/>
  <c r="J109" i="14"/>
  <c r="J110" i="14"/>
  <c r="J111" i="14"/>
  <c r="J112" i="14"/>
  <c r="D74" i="36" s="1"/>
  <c r="J113" i="14"/>
  <c r="J114" i="14"/>
  <c r="J115" i="14"/>
  <c r="D75" i="36" s="1"/>
  <c r="J116" i="14"/>
  <c r="J117" i="14"/>
  <c r="J118" i="14"/>
  <c r="J119" i="14"/>
  <c r="J120" i="14"/>
  <c r="J121" i="14"/>
  <c r="J122" i="14"/>
  <c r="J124" i="14"/>
  <c r="J125" i="14"/>
  <c r="J126" i="14"/>
  <c r="D124" i="35" s="1"/>
  <c r="J127" i="14"/>
  <c r="J128" i="14"/>
  <c r="J129" i="14"/>
  <c r="J130" i="14"/>
  <c r="J131" i="14"/>
  <c r="J132" i="14"/>
  <c r="D130" i="35" s="1"/>
  <c r="J133" i="14"/>
  <c r="D131" i="35" s="1"/>
  <c r="J134" i="14"/>
  <c r="J137" i="14"/>
  <c r="D134" i="35" s="1"/>
  <c r="J142" i="14"/>
  <c r="J143" i="14"/>
  <c r="J144" i="14"/>
  <c r="J145" i="14"/>
  <c r="J147" i="14"/>
  <c r="M76" i="14"/>
  <c r="M77" i="14"/>
  <c r="M78" i="14"/>
  <c r="M79" i="14"/>
  <c r="M80" i="14"/>
  <c r="M82" i="14"/>
  <c r="M83" i="14"/>
  <c r="M85" i="14"/>
  <c r="M86" i="14"/>
  <c r="M87" i="14"/>
  <c r="G85" i="35" s="1"/>
  <c r="M89" i="14"/>
  <c r="M90" i="14"/>
  <c r="M91" i="14"/>
  <c r="G90" i="35" s="1"/>
  <c r="M94" i="14"/>
  <c r="G93" i="35" s="1"/>
  <c r="M95" i="14"/>
  <c r="G94" i="35" s="1"/>
  <c r="M96" i="14"/>
  <c r="G95" i="35" s="1"/>
  <c r="M97" i="14"/>
  <c r="M98" i="14"/>
  <c r="G73" i="36" s="1"/>
  <c r="M99" i="14"/>
  <c r="G98" i="35" s="1"/>
  <c r="M101" i="14"/>
  <c r="M102" i="14"/>
  <c r="M103" i="14"/>
  <c r="M104" i="14"/>
  <c r="G102" i="35" s="1"/>
  <c r="M106" i="14"/>
  <c r="M107" i="14"/>
  <c r="M108" i="14"/>
  <c r="M109" i="14"/>
  <c r="M110" i="14"/>
  <c r="M111" i="14"/>
  <c r="M112" i="14"/>
  <c r="G74" i="36" s="1"/>
  <c r="M113" i="14"/>
  <c r="M114" i="14"/>
  <c r="M115" i="14"/>
  <c r="G75" i="36" s="1"/>
  <c r="M116" i="14"/>
  <c r="M117" i="14"/>
  <c r="M118" i="14"/>
  <c r="M119" i="14"/>
  <c r="M120" i="14"/>
  <c r="M121" i="14"/>
  <c r="M122" i="14"/>
  <c r="M124" i="14"/>
  <c r="M125" i="14"/>
  <c r="M126" i="14"/>
  <c r="G124" i="35" s="1"/>
  <c r="M127" i="14"/>
  <c r="M128" i="14"/>
  <c r="M129" i="14"/>
  <c r="M130" i="14"/>
  <c r="M131" i="14"/>
  <c r="M132" i="14"/>
  <c r="G130" i="35" s="1"/>
  <c r="M133" i="14"/>
  <c r="G131" i="35" s="1"/>
  <c r="M134" i="14"/>
  <c r="M137" i="14"/>
  <c r="G134" i="35" s="1"/>
  <c r="M142" i="14"/>
  <c r="M143" i="14"/>
  <c r="M144" i="14"/>
  <c r="M145" i="14"/>
  <c r="M147" i="14"/>
  <c r="J75" i="14"/>
  <c r="H36" i="37" l="1"/>
  <c r="F168" i="35"/>
  <c r="C34" i="38"/>
  <c r="F34" i="38" s="1"/>
  <c r="F36" i="37"/>
  <c r="H131" i="35"/>
  <c r="H124" i="35"/>
  <c r="H102" i="35"/>
  <c r="H98" i="35"/>
  <c r="H94" i="35"/>
  <c r="H130" i="35"/>
  <c r="H95" i="35"/>
  <c r="H74" i="36"/>
  <c r="H85" i="35"/>
  <c r="D82" i="35"/>
  <c r="D167" i="36"/>
  <c r="G76" i="35"/>
  <c r="G162" i="36"/>
  <c r="D77" i="35"/>
  <c r="D163" i="36"/>
  <c r="G83" i="35"/>
  <c r="G75" i="35"/>
  <c r="G161" i="36"/>
  <c r="D80" i="35"/>
  <c r="D166" i="36"/>
  <c r="D76" i="35"/>
  <c r="D162" i="36"/>
  <c r="G77" i="35"/>
  <c r="G163" i="36"/>
  <c r="D78" i="35"/>
  <c r="D164" i="36"/>
  <c r="G80" i="35"/>
  <c r="G166" i="36"/>
  <c r="G82" i="35"/>
  <c r="G167" i="36"/>
  <c r="G78" i="35"/>
  <c r="G164" i="36"/>
  <c r="D83" i="35"/>
  <c r="D75" i="35"/>
  <c r="D161" i="36"/>
  <c r="G132" i="35"/>
  <c r="G155" i="36"/>
  <c r="G111" i="35"/>
  <c r="G148" i="36"/>
  <c r="G107" i="35"/>
  <c r="G147" i="36"/>
  <c r="D129" i="35"/>
  <c r="D154" i="36"/>
  <c r="D104" i="35"/>
  <c r="D145" i="36"/>
  <c r="G114" i="35"/>
  <c r="G150" i="36"/>
  <c r="G128" i="35"/>
  <c r="G153" i="36"/>
  <c r="G106" i="35"/>
  <c r="G146" i="36"/>
  <c r="D132" i="35"/>
  <c r="D155" i="36"/>
  <c r="D128" i="35"/>
  <c r="D153" i="36"/>
  <c r="D111" i="35"/>
  <c r="D148" i="36"/>
  <c r="D107" i="35"/>
  <c r="D147" i="36"/>
  <c r="G123" i="35"/>
  <c r="G152" i="36"/>
  <c r="G119" i="35"/>
  <c r="G151" i="36"/>
  <c r="G113" i="35"/>
  <c r="G149" i="36"/>
  <c r="D114" i="35"/>
  <c r="D150" i="36"/>
  <c r="D106" i="35"/>
  <c r="D146" i="36"/>
  <c r="G129" i="35"/>
  <c r="G154" i="36"/>
  <c r="G104" i="35"/>
  <c r="G145" i="36"/>
  <c r="D123" i="35"/>
  <c r="D152" i="36"/>
  <c r="D119" i="35"/>
  <c r="D151" i="36"/>
  <c r="D113" i="35"/>
  <c r="D149" i="36"/>
  <c r="D101" i="35"/>
  <c r="D142" i="36"/>
  <c r="G99" i="35"/>
  <c r="G141" i="36"/>
  <c r="D103" i="35"/>
  <c r="D143" i="36"/>
  <c r="D96" i="35"/>
  <c r="D140" i="36"/>
  <c r="G103" i="35"/>
  <c r="G143" i="36"/>
  <c r="G96" i="35"/>
  <c r="G140" i="36"/>
  <c r="G87" i="35"/>
  <c r="G138" i="36"/>
  <c r="D99" i="35"/>
  <c r="D141" i="36"/>
  <c r="G101" i="35"/>
  <c r="G142" i="36"/>
  <c r="D87" i="35"/>
  <c r="D138" i="36"/>
  <c r="D108" i="35"/>
  <c r="D117" i="36"/>
  <c r="G84" i="35"/>
  <c r="G116" i="36"/>
  <c r="D84" i="35"/>
  <c r="D116" i="36"/>
  <c r="G108" i="35"/>
  <c r="G117" i="36"/>
  <c r="G143" i="35"/>
  <c r="G111" i="36"/>
  <c r="I8" i="38" s="1"/>
  <c r="D143" i="35"/>
  <c r="D111" i="36"/>
  <c r="G79" i="35"/>
  <c r="G108" i="36"/>
  <c r="D79" i="35"/>
  <c r="D108" i="36"/>
  <c r="D109" i="36" s="1"/>
  <c r="D15" i="37" s="1"/>
  <c r="C15" i="37" s="1"/>
  <c r="G140" i="35"/>
  <c r="G106" i="36"/>
  <c r="D100" i="35"/>
  <c r="D103" i="36"/>
  <c r="D140" i="35"/>
  <c r="D106" i="36"/>
  <c r="G100" i="35"/>
  <c r="G103" i="36"/>
  <c r="G139" i="35"/>
  <c r="G105" i="36"/>
  <c r="D139" i="35"/>
  <c r="D105" i="36"/>
  <c r="D81" i="35"/>
  <c r="D100" i="36"/>
  <c r="G81" i="35"/>
  <c r="G100" i="36"/>
  <c r="D74" i="35"/>
  <c r="H74" i="35" s="1"/>
  <c r="D99" i="36"/>
  <c r="G141" i="35"/>
  <c r="G95" i="36"/>
  <c r="D142" i="35"/>
  <c r="D96" i="36"/>
  <c r="D116" i="35"/>
  <c r="D91" i="36"/>
  <c r="D141" i="35"/>
  <c r="D95" i="36"/>
  <c r="G127" i="35"/>
  <c r="G92" i="36"/>
  <c r="G105" i="35"/>
  <c r="G89" i="36"/>
  <c r="D110" i="35"/>
  <c r="D90" i="36"/>
  <c r="G110" i="35"/>
  <c r="G90" i="36"/>
  <c r="G142" i="35"/>
  <c r="G96" i="36"/>
  <c r="G116" i="35"/>
  <c r="G91" i="36"/>
  <c r="D127" i="35"/>
  <c r="D92" i="36"/>
  <c r="D105" i="35"/>
  <c r="D89" i="36"/>
  <c r="G115" i="35"/>
  <c r="G83" i="36"/>
  <c r="D126" i="35"/>
  <c r="D86" i="36"/>
  <c r="D121" i="35"/>
  <c r="D84" i="36"/>
  <c r="D115" i="35"/>
  <c r="D83" i="36"/>
  <c r="G126" i="35"/>
  <c r="G86" i="36"/>
  <c r="G121" i="35"/>
  <c r="G84" i="36"/>
  <c r="D86" i="35"/>
  <c r="D72" i="36"/>
  <c r="H75" i="36"/>
  <c r="H77" i="36" s="1"/>
  <c r="H73" i="36"/>
  <c r="G86" i="35"/>
  <c r="G72" i="36"/>
  <c r="D97" i="35"/>
  <c r="G109" i="35"/>
  <c r="G97" i="35"/>
  <c r="D109" i="35"/>
  <c r="G112" i="35"/>
  <c r="D112" i="35"/>
  <c r="D125" i="35"/>
  <c r="D22" i="36"/>
  <c r="G125" i="35"/>
  <c r="G22" i="36"/>
  <c r="D120" i="35"/>
  <c r="D14" i="36"/>
  <c r="D122" i="35"/>
  <c r="D15" i="36"/>
  <c r="G120" i="35"/>
  <c r="G14" i="36"/>
  <c r="G122" i="35"/>
  <c r="G15" i="36"/>
  <c r="H90" i="35"/>
  <c r="H134" i="35"/>
  <c r="H93" i="35"/>
  <c r="M9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G71" i="36" s="1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G55" i="35" s="1"/>
  <c r="M61" i="14"/>
  <c r="M62" i="14"/>
  <c r="M63" i="14"/>
  <c r="M64" i="14"/>
  <c r="M65" i="14"/>
  <c r="M66" i="14"/>
  <c r="M67" i="14"/>
  <c r="M68" i="14"/>
  <c r="M69" i="14"/>
  <c r="M70" i="14"/>
  <c r="M71" i="14"/>
  <c r="M8" i="14"/>
  <c r="J8" i="14"/>
  <c r="J9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D71" i="36" s="1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D55" i="35" s="1"/>
  <c r="J61" i="14"/>
  <c r="J62" i="14"/>
  <c r="J63" i="14"/>
  <c r="J64" i="14"/>
  <c r="J65" i="14"/>
  <c r="J66" i="14"/>
  <c r="J67" i="14"/>
  <c r="J68" i="14"/>
  <c r="J69" i="14"/>
  <c r="J70" i="14"/>
  <c r="J71" i="14"/>
  <c r="G159" i="36" l="1"/>
  <c r="D159" i="36"/>
  <c r="D32" i="37" s="1"/>
  <c r="C32" i="37" s="1"/>
  <c r="G77" i="36"/>
  <c r="G16" i="36"/>
  <c r="D3" i="38" s="1"/>
  <c r="D77" i="36"/>
  <c r="D11" i="37" s="1"/>
  <c r="H166" i="36"/>
  <c r="H101" i="35"/>
  <c r="H104" i="35"/>
  <c r="H129" i="35"/>
  <c r="H142" i="36"/>
  <c r="H72" i="36"/>
  <c r="D117" i="35"/>
  <c r="G14" i="35"/>
  <c r="G173" i="36"/>
  <c r="D14" i="35"/>
  <c r="D173" i="36"/>
  <c r="D10" i="35"/>
  <c r="D171" i="36"/>
  <c r="G13" i="35"/>
  <c r="G172" i="36"/>
  <c r="G9" i="35"/>
  <c r="G170" i="36"/>
  <c r="G117" i="35"/>
  <c r="G10" i="35"/>
  <c r="G171" i="36"/>
  <c r="D13" i="35"/>
  <c r="D172" i="36"/>
  <c r="D9" i="35"/>
  <c r="D170" i="36"/>
  <c r="D146" i="35"/>
  <c r="H167" i="36"/>
  <c r="G16" i="37"/>
  <c r="H154" i="36"/>
  <c r="D112" i="36"/>
  <c r="D16" i="37"/>
  <c r="H110" i="35"/>
  <c r="H90" i="36"/>
  <c r="H122" i="35"/>
  <c r="H119" i="35"/>
  <c r="H82" i="35"/>
  <c r="H103" i="35"/>
  <c r="H91" i="36"/>
  <c r="H108" i="35"/>
  <c r="H84" i="35"/>
  <c r="H128" i="35"/>
  <c r="H78" i="35"/>
  <c r="H77" i="35"/>
  <c r="H83" i="35"/>
  <c r="H76" i="35"/>
  <c r="H80" i="35"/>
  <c r="H126" i="35"/>
  <c r="H142" i="35"/>
  <c r="H116" i="35"/>
  <c r="H141" i="35"/>
  <c r="H81" i="35"/>
  <c r="H117" i="36"/>
  <c r="H116" i="36"/>
  <c r="D144" i="36"/>
  <c r="D31" i="37" s="1"/>
  <c r="C31" i="37" s="1"/>
  <c r="H143" i="36"/>
  <c r="H153" i="36"/>
  <c r="D169" i="36"/>
  <c r="H164" i="36"/>
  <c r="H163" i="36"/>
  <c r="H168" i="36"/>
  <c r="H162" i="36"/>
  <c r="G169" i="36"/>
  <c r="H161" i="36"/>
  <c r="H75" i="35"/>
  <c r="H113" i="35"/>
  <c r="H123" i="35"/>
  <c r="H111" i="35"/>
  <c r="H149" i="36"/>
  <c r="I17" i="38"/>
  <c r="H17" i="38" s="1"/>
  <c r="H145" i="36"/>
  <c r="H151" i="36"/>
  <c r="H146" i="36"/>
  <c r="H150" i="36"/>
  <c r="H147" i="36"/>
  <c r="H155" i="36"/>
  <c r="H141" i="36"/>
  <c r="H152" i="36"/>
  <c r="H148" i="36"/>
  <c r="H106" i="35"/>
  <c r="H114" i="35"/>
  <c r="H107" i="35"/>
  <c r="H132" i="35"/>
  <c r="H99" i="35"/>
  <c r="G144" i="36"/>
  <c r="I16" i="38" s="1"/>
  <c r="H138" i="36"/>
  <c r="H140" i="36"/>
  <c r="H87" i="35"/>
  <c r="H96" i="35"/>
  <c r="H86" i="35"/>
  <c r="G21" i="35"/>
  <c r="G121" i="36"/>
  <c r="D21" i="35"/>
  <c r="D121" i="36"/>
  <c r="G66" i="35"/>
  <c r="G124" i="36"/>
  <c r="H100" i="35"/>
  <c r="D66" i="35"/>
  <c r="D124" i="36"/>
  <c r="G20" i="35"/>
  <c r="G120" i="36"/>
  <c r="D33" i="35"/>
  <c r="D122" i="36"/>
  <c r="D19" i="35"/>
  <c r="D119" i="36"/>
  <c r="G51" i="35"/>
  <c r="G123" i="36"/>
  <c r="D51" i="35"/>
  <c r="D123" i="36"/>
  <c r="D20" i="35"/>
  <c r="D120" i="36"/>
  <c r="G33" i="35"/>
  <c r="G122" i="36"/>
  <c r="G19" i="35"/>
  <c r="G119" i="36"/>
  <c r="G17" i="35"/>
  <c r="G114" i="36"/>
  <c r="D17" i="35"/>
  <c r="D114" i="36"/>
  <c r="G16" i="35"/>
  <c r="G113" i="36"/>
  <c r="G18" i="35"/>
  <c r="G115" i="36"/>
  <c r="D18" i="35"/>
  <c r="D115" i="36"/>
  <c r="D16" i="35"/>
  <c r="D113" i="36"/>
  <c r="G112" i="36"/>
  <c r="H111" i="36"/>
  <c r="H112" i="36" s="1"/>
  <c r="H143" i="35"/>
  <c r="H108" i="36"/>
  <c r="H109" i="36" s="1"/>
  <c r="G109" i="36"/>
  <c r="I7" i="38" s="1"/>
  <c r="H7" i="38" s="1"/>
  <c r="H120" i="35"/>
  <c r="H79" i="35"/>
  <c r="G107" i="36"/>
  <c r="D17" i="38" s="1"/>
  <c r="H103" i="36"/>
  <c r="D107" i="36"/>
  <c r="D29" i="37" s="1"/>
  <c r="H125" i="35"/>
  <c r="H105" i="36"/>
  <c r="H106" i="36"/>
  <c r="H139" i="35"/>
  <c r="H140" i="35"/>
  <c r="D101" i="36"/>
  <c r="D14" i="37" s="1"/>
  <c r="C14" i="37" s="1"/>
  <c r="H99" i="36"/>
  <c r="H100" i="36"/>
  <c r="H101" i="36" s="1"/>
  <c r="G101" i="36"/>
  <c r="I6" i="38" s="1"/>
  <c r="H6" i="38" s="1"/>
  <c r="H89" i="36"/>
  <c r="H121" i="35"/>
  <c r="H105" i="35"/>
  <c r="G57" i="35"/>
  <c r="G88" i="36"/>
  <c r="H96" i="36"/>
  <c r="H92" i="36"/>
  <c r="H95" i="36"/>
  <c r="D57" i="35"/>
  <c r="D88" i="36"/>
  <c r="D97" i="36" s="1"/>
  <c r="D13" i="37" s="1"/>
  <c r="C13" i="37" s="1"/>
  <c r="H127" i="35"/>
  <c r="G146" i="35"/>
  <c r="G56" i="35"/>
  <c r="H86" i="36"/>
  <c r="H83" i="36"/>
  <c r="D56" i="35"/>
  <c r="D87" i="36"/>
  <c r="D12" i="37" s="1"/>
  <c r="C12" i="37" s="1"/>
  <c r="H115" i="35"/>
  <c r="H84" i="36"/>
  <c r="H97" i="35"/>
  <c r="H22" i="36"/>
  <c r="H112" i="35"/>
  <c r="H109" i="35"/>
  <c r="G26" i="35"/>
  <c r="D26" i="35"/>
  <c r="H71" i="36"/>
  <c r="D29" i="35"/>
  <c r="D68" i="36"/>
  <c r="D69" i="36" s="1"/>
  <c r="D10" i="37" s="1"/>
  <c r="G29" i="35"/>
  <c r="G68" i="36"/>
  <c r="G12" i="35"/>
  <c r="G66" i="36"/>
  <c r="D12" i="35"/>
  <c r="D66" i="36"/>
  <c r="G11" i="35"/>
  <c r="G65" i="36"/>
  <c r="D11" i="35"/>
  <c r="D65" i="36"/>
  <c r="G65" i="35"/>
  <c r="G62" i="36"/>
  <c r="G8" i="35"/>
  <c r="G61" i="36"/>
  <c r="D65" i="35"/>
  <c r="D62" i="36"/>
  <c r="D8" i="35"/>
  <c r="D61" i="36"/>
  <c r="G37" i="35"/>
  <c r="G52" i="36"/>
  <c r="G23" i="35"/>
  <c r="G49" i="36"/>
  <c r="G7" i="35"/>
  <c r="G48" i="36"/>
  <c r="G69" i="35"/>
  <c r="G58" i="36"/>
  <c r="D69" i="35"/>
  <c r="D58" i="36"/>
  <c r="D46" i="35"/>
  <c r="D54" i="36"/>
  <c r="D24" i="35"/>
  <c r="D50" i="36"/>
  <c r="D37" i="35"/>
  <c r="D52" i="36"/>
  <c r="D7" i="35"/>
  <c r="D48" i="36"/>
  <c r="G63" i="35"/>
  <c r="G57" i="36"/>
  <c r="G30" i="35"/>
  <c r="G51" i="36"/>
  <c r="D62" i="35"/>
  <c r="D56" i="36"/>
  <c r="D43" i="35"/>
  <c r="D53" i="36"/>
  <c r="G46" i="35"/>
  <c r="G54" i="36"/>
  <c r="G24" i="35"/>
  <c r="G50" i="36"/>
  <c r="D63" i="35"/>
  <c r="D57" i="36"/>
  <c r="D30" i="35"/>
  <c r="D51" i="36"/>
  <c r="G47" i="35"/>
  <c r="G55" i="36"/>
  <c r="G43" i="35"/>
  <c r="G53" i="36"/>
  <c r="G62" i="35"/>
  <c r="G56" i="36"/>
  <c r="D47" i="35"/>
  <c r="D55" i="36"/>
  <c r="D23" i="35"/>
  <c r="D49" i="36"/>
  <c r="G48" i="35"/>
  <c r="G45" i="36"/>
  <c r="D48" i="35"/>
  <c r="D45" i="36"/>
  <c r="D46" i="36" s="1"/>
  <c r="D8" i="37" s="1"/>
  <c r="C8" i="37" s="1"/>
  <c r="D53" i="35"/>
  <c r="D41" i="36"/>
  <c r="D35" i="35"/>
  <c r="D38" i="36"/>
  <c r="G52" i="35"/>
  <c r="G40" i="36"/>
  <c r="G28" i="35"/>
  <c r="G37" i="36"/>
  <c r="D52" i="35"/>
  <c r="D40" i="36"/>
  <c r="D28" i="35"/>
  <c r="D37" i="36"/>
  <c r="G68" i="35"/>
  <c r="G43" i="36"/>
  <c r="G54" i="35"/>
  <c r="G42" i="36"/>
  <c r="G49" i="35"/>
  <c r="G39" i="36"/>
  <c r="D68" i="35"/>
  <c r="D43" i="36"/>
  <c r="D49" i="35"/>
  <c r="D39" i="36"/>
  <c r="G53" i="35"/>
  <c r="G41" i="36"/>
  <c r="G6" i="35"/>
  <c r="G36" i="36"/>
  <c r="D6" i="35"/>
  <c r="D36" i="36"/>
  <c r="G35" i="35"/>
  <c r="G38" i="36"/>
  <c r="D54" i="35"/>
  <c r="D42" i="36"/>
  <c r="G61" i="35"/>
  <c r="G33" i="36"/>
  <c r="D61" i="35"/>
  <c r="D33" i="36"/>
  <c r="G67" i="35"/>
  <c r="G34" i="36"/>
  <c r="G44" i="35"/>
  <c r="G31" i="36"/>
  <c r="G36" i="35"/>
  <c r="G30" i="36"/>
  <c r="G22" i="35"/>
  <c r="G29" i="36"/>
  <c r="G50" i="35"/>
  <c r="G32" i="36"/>
  <c r="D50" i="35"/>
  <c r="D32" i="36"/>
  <c r="D67" i="35"/>
  <c r="D34" i="36"/>
  <c r="D44" i="35"/>
  <c r="D31" i="36"/>
  <c r="D36" i="35"/>
  <c r="D30" i="36"/>
  <c r="D22" i="35"/>
  <c r="D29" i="36"/>
  <c r="G60" i="35"/>
  <c r="G27" i="36"/>
  <c r="G42" i="35"/>
  <c r="G25" i="36"/>
  <c r="D42" i="35"/>
  <c r="D25" i="36"/>
  <c r="D60" i="35"/>
  <c r="D27" i="36"/>
  <c r="D5" i="35"/>
  <c r="D17" i="36"/>
  <c r="D38" i="35"/>
  <c r="D19" i="36"/>
  <c r="G27" i="35"/>
  <c r="G18" i="36"/>
  <c r="G40" i="35"/>
  <c r="G21" i="36"/>
  <c r="D39" i="35"/>
  <c r="D20" i="36"/>
  <c r="G38" i="35"/>
  <c r="G19" i="36"/>
  <c r="H15" i="36"/>
  <c r="D27" i="35"/>
  <c r="D18" i="36"/>
  <c r="D40" i="35"/>
  <c r="D21" i="36"/>
  <c r="G39" i="35"/>
  <c r="G20" i="36"/>
  <c r="G5" i="35"/>
  <c r="G17" i="36"/>
  <c r="H14" i="36"/>
  <c r="D16" i="36"/>
  <c r="D3" i="37" s="1"/>
  <c r="D41" i="35"/>
  <c r="D11" i="36"/>
  <c r="D15" i="35"/>
  <c r="D9" i="36"/>
  <c r="G25" i="35"/>
  <c r="G10" i="36"/>
  <c r="D25" i="35"/>
  <c r="D10" i="36"/>
  <c r="G3" i="35"/>
  <c r="G8" i="36"/>
  <c r="D3" i="35"/>
  <c r="D8" i="36"/>
  <c r="G41" i="35"/>
  <c r="G11" i="36"/>
  <c r="G15" i="35"/>
  <c r="G9" i="36"/>
  <c r="D64" i="35"/>
  <c r="D5" i="36"/>
  <c r="G2" i="35"/>
  <c r="G2" i="36"/>
  <c r="D45" i="35"/>
  <c r="D4" i="36"/>
  <c r="G34" i="35"/>
  <c r="G3" i="36"/>
  <c r="D2" i="35"/>
  <c r="D2" i="36"/>
  <c r="D34" i="35"/>
  <c r="D3" i="36"/>
  <c r="G64" i="35"/>
  <c r="G5" i="36"/>
  <c r="G45" i="35"/>
  <c r="G4" i="36"/>
  <c r="H55" i="35"/>
  <c r="H159" i="36" l="1"/>
  <c r="H107" i="36"/>
  <c r="H87" i="36"/>
  <c r="G64" i="36"/>
  <c r="D64" i="36"/>
  <c r="D23" i="37" s="1"/>
  <c r="C23" i="37" s="1"/>
  <c r="G60" i="36"/>
  <c r="D14" i="38" s="1"/>
  <c r="C14" i="38" s="1"/>
  <c r="D60" i="36"/>
  <c r="D22" i="37" s="1"/>
  <c r="C22" i="37" s="1"/>
  <c r="H16" i="36"/>
  <c r="D7" i="36"/>
  <c r="D20" i="37" s="1"/>
  <c r="G7" i="36"/>
  <c r="D12" i="38" s="1"/>
  <c r="H9" i="36"/>
  <c r="H9" i="35"/>
  <c r="H10" i="35"/>
  <c r="H14" i="35"/>
  <c r="H41" i="35"/>
  <c r="H173" i="36"/>
  <c r="H13" i="35"/>
  <c r="H19" i="36"/>
  <c r="H53" i="36"/>
  <c r="H43" i="35"/>
  <c r="D33" i="37"/>
  <c r="C33" i="37" s="1"/>
  <c r="H170" i="36"/>
  <c r="G174" i="36"/>
  <c r="G24" i="37" s="1"/>
  <c r="D174" i="36"/>
  <c r="D24" i="37" s="1"/>
  <c r="C24" i="37" s="1"/>
  <c r="H171" i="36"/>
  <c r="I18" i="38"/>
  <c r="H18" i="38" s="1"/>
  <c r="H172" i="36"/>
  <c r="H16" i="37"/>
  <c r="D58" i="35"/>
  <c r="D31" i="35"/>
  <c r="D88" i="35"/>
  <c r="H16" i="38"/>
  <c r="C17" i="38"/>
  <c r="D19" i="38"/>
  <c r="G3" i="37"/>
  <c r="H3" i="37" s="1"/>
  <c r="G31" i="37"/>
  <c r="F31" i="37" s="1"/>
  <c r="G32" i="37"/>
  <c r="G15" i="37"/>
  <c r="F15" i="37" s="1"/>
  <c r="G14" i="37"/>
  <c r="F14" i="37" s="1"/>
  <c r="G29" i="37"/>
  <c r="H29" i="37" s="1"/>
  <c r="G33" i="37"/>
  <c r="H15" i="35"/>
  <c r="D67" i="36"/>
  <c r="D9" i="37" s="1"/>
  <c r="C29" i="37"/>
  <c r="C11" i="37"/>
  <c r="H5" i="36"/>
  <c r="H18" i="35"/>
  <c r="H169" i="36"/>
  <c r="H144" i="36"/>
  <c r="H27" i="35"/>
  <c r="H122" i="36"/>
  <c r="H120" i="36"/>
  <c r="H21" i="35"/>
  <c r="H56" i="35"/>
  <c r="H16" i="35"/>
  <c r="H121" i="36"/>
  <c r="H66" i="35"/>
  <c r="H65" i="35"/>
  <c r="H11" i="36"/>
  <c r="H17" i="35"/>
  <c r="H19" i="35"/>
  <c r="H20" i="35"/>
  <c r="H51" i="35"/>
  <c r="H33" i="35"/>
  <c r="D125" i="36"/>
  <c r="D25" i="37" s="1"/>
  <c r="C25" i="37" s="1"/>
  <c r="D118" i="36"/>
  <c r="D17" i="37" s="1"/>
  <c r="C17" i="37" s="1"/>
  <c r="H115" i="36"/>
  <c r="H119" i="36"/>
  <c r="G125" i="36"/>
  <c r="I13" i="38" s="1"/>
  <c r="H13" i="38" s="1"/>
  <c r="H123" i="36"/>
  <c r="H124" i="36"/>
  <c r="G118" i="36"/>
  <c r="I9" i="38" s="1"/>
  <c r="H9" i="38" s="1"/>
  <c r="H113" i="36"/>
  <c r="H114" i="36"/>
  <c r="H64" i="35"/>
  <c r="H57" i="35"/>
  <c r="H49" i="35"/>
  <c r="H52" i="35"/>
  <c r="H37" i="35"/>
  <c r="H38" i="35"/>
  <c r="G97" i="36"/>
  <c r="I5" i="38" s="1"/>
  <c r="H5" i="38" s="1"/>
  <c r="H88" i="36"/>
  <c r="H97" i="36" s="1"/>
  <c r="H22" i="35"/>
  <c r="H44" i="35"/>
  <c r="H47" i="35"/>
  <c r="H24" i="35"/>
  <c r="H29" i="35"/>
  <c r="H26" i="35"/>
  <c r="G87" i="36"/>
  <c r="I4" i="38" s="1"/>
  <c r="H4" i="38" s="1"/>
  <c r="H39" i="35"/>
  <c r="H8" i="35"/>
  <c r="H5" i="35"/>
  <c r="H21" i="36"/>
  <c r="H23" i="36" s="1"/>
  <c r="H42" i="35"/>
  <c r="H50" i="35"/>
  <c r="H36" i="35"/>
  <c r="H67" i="35"/>
  <c r="H61" i="35"/>
  <c r="H6" i="35"/>
  <c r="H53" i="35"/>
  <c r="H68" i="35"/>
  <c r="H35" i="35"/>
  <c r="H48" i="35"/>
  <c r="H62" i="35"/>
  <c r="H63" i="35"/>
  <c r="H46" i="35"/>
  <c r="H30" i="35"/>
  <c r="H7" i="35"/>
  <c r="H69" i="35"/>
  <c r="H11" i="35"/>
  <c r="H12" i="35"/>
  <c r="H40" i="35"/>
  <c r="D35" i="36"/>
  <c r="D6" i="37" s="1"/>
  <c r="C6" i="37" s="1"/>
  <c r="H32" i="36"/>
  <c r="H30" i="36"/>
  <c r="H34" i="36"/>
  <c r="D44" i="36"/>
  <c r="D7" i="37" s="1"/>
  <c r="C7" i="37" s="1"/>
  <c r="H41" i="36"/>
  <c r="H54" i="36"/>
  <c r="H51" i="36"/>
  <c r="D12" i="36"/>
  <c r="D21" i="37" s="1"/>
  <c r="C21" i="37" s="1"/>
  <c r="G69" i="36"/>
  <c r="D10" i="38" s="1"/>
  <c r="C10" i="38" s="1"/>
  <c r="H68" i="36"/>
  <c r="H69" i="36" s="1"/>
  <c r="G67" i="36"/>
  <c r="D9" i="38" s="1"/>
  <c r="H65" i="36"/>
  <c r="H66" i="36"/>
  <c r="H28" i="35"/>
  <c r="H23" i="35"/>
  <c r="H61" i="36"/>
  <c r="I12" i="38"/>
  <c r="H62" i="36"/>
  <c r="H55" i="36"/>
  <c r="H50" i="36"/>
  <c r="H57" i="36"/>
  <c r="H58" i="36"/>
  <c r="H48" i="36"/>
  <c r="H52" i="36"/>
  <c r="H56" i="36"/>
  <c r="H49" i="36"/>
  <c r="H54" i="35"/>
  <c r="G46" i="36"/>
  <c r="D8" i="38" s="1"/>
  <c r="C8" i="38" s="1"/>
  <c r="H45" i="36"/>
  <c r="H46" i="36" s="1"/>
  <c r="H42" i="36"/>
  <c r="H37" i="36"/>
  <c r="H4" i="36"/>
  <c r="H38" i="36"/>
  <c r="G44" i="36"/>
  <c r="D7" i="38" s="1"/>
  <c r="C7" i="38" s="1"/>
  <c r="H36" i="36"/>
  <c r="H39" i="36"/>
  <c r="H43" i="36"/>
  <c r="H40" i="36"/>
  <c r="G35" i="36"/>
  <c r="D6" i="38" s="1"/>
  <c r="C6" i="38" s="1"/>
  <c r="H29" i="36"/>
  <c r="H31" i="36"/>
  <c r="H33" i="36"/>
  <c r="D28" i="36"/>
  <c r="D5" i="37" s="1"/>
  <c r="C5" i="37" s="1"/>
  <c r="H27" i="36"/>
  <c r="G28" i="36"/>
  <c r="D5" i="38" s="1"/>
  <c r="C5" i="38" s="1"/>
  <c r="H25" i="36"/>
  <c r="H60" i="35"/>
  <c r="H20" i="36"/>
  <c r="H18" i="36"/>
  <c r="D23" i="36"/>
  <c r="D4" i="37" s="1"/>
  <c r="C4" i="37" s="1"/>
  <c r="H25" i="35"/>
  <c r="G23" i="36"/>
  <c r="D4" i="38" s="1"/>
  <c r="C4" i="38" s="1"/>
  <c r="H17" i="36"/>
  <c r="G88" i="35"/>
  <c r="H2" i="35"/>
  <c r="H3" i="35"/>
  <c r="H45" i="35"/>
  <c r="H8" i="36"/>
  <c r="G12" i="36"/>
  <c r="D13" i="38" s="1"/>
  <c r="C13" i="38" s="1"/>
  <c r="H10" i="36"/>
  <c r="G31" i="35"/>
  <c r="H3" i="36"/>
  <c r="G58" i="35"/>
  <c r="H34" i="35"/>
  <c r="H2" i="36"/>
  <c r="H7" i="36" l="1"/>
  <c r="D34" i="37"/>
  <c r="C34" i="37" s="1"/>
  <c r="C165" i="35"/>
  <c r="C31" i="38" s="1"/>
  <c r="F31" i="38" s="1"/>
  <c r="I19" i="38"/>
  <c r="F27" i="38" s="1"/>
  <c r="H174" i="36"/>
  <c r="H33" i="37"/>
  <c r="F24" i="37"/>
  <c r="H14" i="38" s="1"/>
  <c r="I14" i="38"/>
  <c r="I15" i="38" s="1"/>
  <c r="H24" i="37"/>
  <c r="C167" i="35"/>
  <c r="C169" i="35" s="1"/>
  <c r="D184" i="36"/>
  <c r="D185" i="36" s="1"/>
  <c r="C40" i="37"/>
  <c r="H35" i="36"/>
  <c r="H31" i="37"/>
  <c r="F33" i="37"/>
  <c r="H32" i="37"/>
  <c r="C43" i="37"/>
  <c r="F43" i="37" s="1"/>
  <c r="H14" i="37"/>
  <c r="F29" i="37"/>
  <c r="F32" i="37"/>
  <c r="C12" i="38"/>
  <c r="D15" i="38"/>
  <c r="H12" i="38"/>
  <c r="D11" i="38"/>
  <c r="G21" i="37"/>
  <c r="F21" i="37" s="1"/>
  <c r="G5" i="37"/>
  <c r="F5" i="37" s="1"/>
  <c r="G23" i="37"/>
  <c r="F23" i="37" s="1"/>
  <c r="G10" i="37"/>
  <c r="H10" i="37" s="1"/>
  <c r="G17" i="37"/>
  <c r="F17" i="37" s="1"/>
  <c r="H15" i="37"/>
  <c r="G34" i="37"/>
  <c r="F34" i="37" s="1"/>
  <c r="G20" i="37"/>
  <c r="F20" i="37" s="1"/>
  <c r="G4" i="37"/>
  <c r="F4" i="37" s="1"/>
  <c r="G6" i="37"/>
  <c r="F6" i="37" s="1"/>
  <c r="G8" i="37"/>
  <c r="F8" i="37" s="1"/>
  <c r="G9" i="37"/>
  <c r="H9" i="37" s="1"/>
  <c r="G12" i="37"/>
  <c r="F12" i="37" s="1"/>
  <c r="G7" i="37"/>
  <c r="F7" i="37" s="1"/>
  <c r="G25" i="37"/>
  <c r="H25" i="37" s="1"/>
  <c r="G13" i="37"/>
  <c r="H13" i="37" s="1"/>
  <c r="G22" i="37"/>
  <c r="F22" i="37" s="1"/>
  <c r="C20" i="37"/>
  <c r="D26" i="37"/>
  <c r="D18" i="37"/>
  <c r="H125" i="36"/>
  <c r="H118" i="36"/>
  <c r="H64" i="36"/>
  <c r="H67" i="36"/>
  <c r="H60" i="36"/>
  <c r="H28" i="36"/>
  <c r="H44" i="36"/>
  <c r="H12" i="36"/>
  <c r="D35" i="37" l="1"/>
  <c r="C35" i="37" s="1"/>
  <c r="F165" i="35"/>
  <c r="F28" i="38"/>
  <c r="D27" i="38"/>
  <c r="C33" i="38"/>
  <c r="F33" i="38" s="1"/>
  <c r="F167" i="35"/>
  <c r="C170" i="35"/>
  <c r="F170" i="35" s="1"/>
  <c r="C171" i="35"/>
  <c r="F171" i="35" s="1"/>
  <c r="F169" i="35"/>
  <c r="C35" i="38"/>
  <c r="F35" i="38" s="1"/>
  <c r="H22" i="37"/>
  <c r="G35" i="37"/>
  <c r="F35" i="37" s="1"/>
  <c r="H17" i="37"/>
  <c r="F40" i="37"/>
  <c r="F25" i="37"/>
  <c r="H5" i="37"/>
  <c r="H21" i="37"/>
  <c r="H6" i="37"/>
  <c r="H12" i="37"/>
  <c r="H7" i="37"/>
  <c r="H23" i="37"/>
  <c r="G26" i="37"/>
  <c r="H20" i="37"/>
  <c r="F25" i="38"/>
  <c r="F13" i="37"/>
  <c r="H8" i="37"/>
  <c r="F10" i="37"/>
  <c r="H4" i="37"/>
  <c r="C18" i="37"/>
  <c r="D19" i="37"/>
  <c r="C19" i="37" s="1"/>
  <c r="C38" i="38" l="1"/>
  <c r="F38" i="38" s="1"/>
  <c r="C37" i="38"/>
  <c r="F37" i="38" s="1"/>
  <c r="D25" i="38"/>
  <c r="F26" i="38"/>
  <c r="G27" i="37"/>
  <c r="F27" i="37" s="1"/>
  <c r="F26" i="37"/>
  <c r="C26" i="37" l="1"/>
  <c r="D27" i="37"/>
  <c r="C27" i="37" s="1"/>
  <c r="E184" i="36"/>
  <c r="E185" i="36" s="1"/>
  <c r="B3" i="38"/>
  <c r="B11" i="38" s="1"/>
  <c r="B23" i="38" s="1"/>
  <c r="B24" i="38" s="1"/>
  <c r="E3" i="37"/>
  <c r="E18" i="37" s="1"/>
  <c r="E19" i="37" s="1"/>
  <c r="I3" i="38"/>
  <c r="H3" i="38" s="1"/>
  <c r="G184" i="36"/>
  <c r="H184" i="36" s="1"/>
  <c r="G11" i="37"/>
  <c r="C42" i="37" s="1"/>
  <c r="C46" i="37" s="1"/>
  <c r="F46" i="37" s="1"/>
  <c r="C41" i="37" l="1"/>
  <c r="F41" i="37" s="1"/>
  <c r="F11" i="37"/>
  <c r="G18" i="37"/>
  <c r="G19" i="37" s="1"/>
  <c r="F19" i="37" s="1"/>
  <c r="H11" i="37"/>
  <c r="G185" i="36"/>
  <c r="H185" i="36" s="1"/>
  <c r="I11" i="38"/>
  <c r="F23" i="38" s="1"/>
  <c r="C44" i="37"/>
  <c r="F44" i="37" s="1"/>
  <c r="F42" i="37"/>
  <c r="C45" i="37" l="1"/>
  <c r="F45" i="37" s="1"/>
  <c r="F18" i="37"/>
  <c r="D23" i="38"/>
  <c r="F24" i="38"/>
</calcChain>
</file>

<file path=xl/sharedStrings.xml><?xml version="1.0" encoding="utf-8"?>
<sst xmlns="http://schemas.openxmlformats.org/spreadsheetml/2006/main" count="2863" uniqueCount="405">
  <si>
    <t>Status</t>
  </si>
  <si>
    <t>Well</t>
  </si>
  <si>
    <t>NO</t>
  </si>
  <si>
    <t>REMARKS</t>
  </si>
  <si>
    <t>Waiting Work Over</t>
  </si>
  <si>
    <t>Rig On</t>
  </si>
  <si>
    <t>Statuses</t>
  </si>
  <si>
    <t>Producer</t>
  </si>
  <si>
    <t>Under Investigation</t>
  </si>
  <si>
    <t>DH Control Line</t>
  </si>
  <si>
    <t>Yes</t>
  </si>
  <si>
    <t>No</t>
  </si>
  <si>
    <t>Failure Types</t>
  </si>
  <si>
    <t>DH Pump</t>
  </si>
  <si>
    <t>DH Pump Size</t>
  </si>
  <si>
    <t>Stroke Length</t>
  </si>
  <si>
    <t xml:space="preserve">VSD </t>
  </si>
  <si>
    <t>Tubing Size</t>
  </si>
  <si>
    <t>Panel</t>
  </si>
  <si>
    <t>Panel Type</t>
  </si>
  <si>
    <t>Reporting Status</t>
  </si>
  <si>
    <t>Reported</t>
  </si>
  <si>
    <t>Not Reported</t>
  </si>
  <si>
    <t>SUBSTATION</t>
  </si>
  <si>
    <t>…....</t>
  </si>
  <si>
    <t>…...</t>
  </si>
  <si>
    <t>Cond. B</t>
  </si>
  <si>
    <t>113M-01 RE.</t>
  </si>
  <si>
    <t>113M-02</t>
  </si>
  <si>
    <t>113M-04</t>
  </si>
  <si>
    <t>113M-08 BIS</t>
  </si>
  <si>
    <t>113M-18</t>
  </si>
  <si>
    <t>113M-26</t>
  </si>
  <si>
    <t>113M-29</t>
  </si>
  <si>
    <t>113M-30</t>
  </si>
  <si>
    <t>113M-35</t>
  </si>
  <si>
    <t>113M-40</t>
  </si>
  <si>
    <t>113M-42</t>
  </si>
  <si>
    <t>113M-45</t>
  </si>
  <si>
    <t>113M-46</t>
  </si>
  <si>
    <t>113M-48</t>
  </si>
  <si>
    <t>113M-49</t>
  </si>
  <si>
    <t>113M-50</t>
  </si>
  <si>
    <t>113M-55</t>
  </si>
  <si>
    <t>113M-57</t>
  </si>
  <si>
    <t>113M-58</t>
  </si>
  <si>
    <t>113M-59</t>
  </si>
  <si>
    <t>113-M65</t>
  </si>
  <si>
    <t>113M-66</t>
  </si>
  <si>
    <t>113M-67</t>
  </si>
  <si>
    <t>113M-68 ST</t>
  </si>
  <si>
    <t>113M-71</t>
  </si>
  <si>
    <t>113M-70</t>
  </si>
  <si>
    <t>113M-72</t>
  </si>
  <si>
    <t>113M-74</t>
  </si>
  <si>
    <t>113M-76</t>
  </si>
  <si>
    <t>113M-77 H</t>
  </si>
  <si>
    <t>113M-78</t>
  </si>
  <si>
    <t>113M-79</t>
  </si>
  <si>
    <t>113M-80</t>
  </si>
  <si>
    <t>113M-81</t>
  </si>
  <si>
    <t>113M-82</t>
  </si>
  <si>
    <t>113M-83</t>
  </si>
  <si>
    <t>113M-84</t>
  </si>
  <si>
    <t>113M-86</t>
  </si>
  <si>
    <t>113M-87</t>
  </si>
  <si>
    <t>113M-91</t>
  </si>
  <si>
    <t>113M-94</t>
  </si>
  <si>
    <t>113M-96</t>
  </si>
  <si>
    <t>113M-97</t>
  </si>
  <si>
    <t>113M-99</t>
  </si>
  <si>
    <t>113M-100</t>
  </si>
  <si>
    <t>113M-101</t>
  </si>
  <si>
    <t>113M-102</t>
  </si>
  <si>
    <t>113M-103</t>
  </si>
  <si>
    <t>113M-104</t>
  </si>
  <si>
    <t>113M-107</t>
  </si>
  <si>
    <t>113M-108</t>
  </si>
  <si>
    <t>113M-109</t>
  </si>
  <si>
    <t>113M-110</t>
  </si>
  <si>
    <t>113M-112</t>
  </si>
  <si>
    <t>113M-114</t>
  </si>
  <si>
    <t>113M-115</t>
  </si>
  <si>
    <t>113M-116</t>
  </si>
  <si>
    <t>113M-117</t>
  </si>
  <si>
    <t>113M-118</t>
  </si>
  <si>
    <t>113M-120</t>
  </si>
  <si>
    <t>113M-121</t>
  </si>
  <si>
    <t>113M-122</t>
  </si>
  <si>
    <t>113M-123</t>
  </si>
  <si>
    <t>113M-124</t>
  </si>
  <si>
    <t>113M-125</t>
  </si>
  <si>
    <t>PLAT.</t>
  </si>
  <si>
    <t>PP2</t>
  </si>
  <si>
    <t>PP3</t>
  </si>
  <si>
    <t>MWP-2</t>
  </si>
  <si>
    <t>MWP-3</t>
  </si>
  <si>
    <t>M-1</t>
  </si>
  <si>
    <t>LOCATION</t>
  </si>
  <si>
    <t xml:space="preserve">LOCATION </t>
  </si>
  <si>
    <t>PLATFORM</t>
  </si>
  <si>
    <t>D-10</t>
  </si>
  <si>
    <t>M-2</t>
  </si>
  <si>
    <t>M-6</t>
  </si>
  <si>
    <t>M-8</t>
  </si>
  <si>
    <t>M-7</t>
  </si>
  <si>
    <t>M-3</t>
  </si>
  <si>
    <t>M-4</t>
  </si>
  <si>
    <t>M-10</t>
  </si>
  <si>
    <t>CL 18/20</t>
  </si>
  <si>
    <t>M-26</t>
  </si>
  <si>
    <t>M-35</t>
  </si>
  <si>
    <t>CL-12</t>
  </si>
  <si>
    <t>BM-1</t>
  </si>
  <si>
    <t>BM-3</t>
  </si>
  <si>
    <t>BM-6</t>
  </si>
  <si>
    <t>BM-7</t>
  </si>
  <si>
    <t>BMNW-1</t>
  </si>
  <si>
    <t>BM 23/25</t>
  </si>
  <si>
    <t>BMNE-1</t>
  </si>
  <si>
    <t>MWP-1</t>
  </si>
  <si>
    <t>MWP-4</t>
  </si>
  <si>
    <t>MWP-5</t>
  </si>
  <si>
    <t>SCP-1</t>
  </si>
  <si>
    <t>SCP-2</t>
  </si>
  <si>
    <t>R/G</t>
  </si>
  <si>
    <t xml:space="preserve">REP. DATA </t>
  </si>
  <si>
    <t>RATE , M3/D</t>
  </si>
  <si>
    <t>W.C %</t>
  </si>
  <si>
    <t xml:space="preserve">REP. NET </t>
  </si>
  <si>
    <t xml:space="preserve"> ACT.  DATA </t>
  </si>
  <si>
    <t>ACT , M3/D2</t>
  </si>
  <si>
    <t>ACT.W.C %</t>
  </si>
  <si>
    <t>GOR M3/M3</t>
  </si>
  <si>
    <t>GAS MMS CF/D</t>
  </si>
  <si>
    <t xml:space="preserve">MOTOR , HP </t>
  </si>
  <si>
    <t>AMP</t>
  </si>
  <si>
    <t>WHP,PSI</t>
  </si>
  <si>
    <t>HZ</t>
  </si>
  <si>
    <t>STG</t>
  </si>
  <si>
    <t>DESGIN AMP.</t>
  </si>
  <si>
    <t>PACKER</t>
  </si>
  <si>
    <t>S.V</t>
  </si>
  <si>
    <t>CH. VALVE</t>
  </si>
  <si>
    <t>LAST W.O</t>
  </si>
  <si>
    <t>REMARKS2</t>
  </si>
  <si>
    <t>P-6</t>
  </si>
  <si>
    <t>D800N</t>
  </si>
  <si>
    <t>FLEX-10</t>
  </si>
  <si>
    <t>GN-1600</t>
  </si>
  <si>
    <t>GN-3200</t>
  </si>
  <si>
    <t>GN-2100</t>
  </si>
  <si>
    <t>GC-1200</t>
  </si>
  <si>
    <t>GC-3500</t>
  </si>
  <si>
    <t>P-4</t>
  </si>
  <si>
    <t>GC-1700</t>
  </si>
  <si>
    <t>D1150N</t>
  </si>
  <si>
    <t>WD-1300</t>
  </si>
  <si>
    <t>WD-450</t>
  </si>
  <si>
    <t>P-8</t>
  </si>
  <si>
    <t>FLEX 3.2</t>
  </si>
  <si>
    <t>AN550</t>
  </si>
  <si>
    <t xml:space="preserve">KEEP PINCHING </t>
  </si>
  <si>
    <t>TRANSFORMER</t>
  </si>
  <si>
    <t>SUB-MARINE CABLE</t>
  </si>
  <si>
    <t xml:space="preserve">DOL </t>
  </si>
  <si>
    <t>CHEMICAL TYPE</t>
  </si>
  <si>
    <t>CORRISON</t>
  </si>
  <si>
    <t>DEMLUSIFER</t>
  </si>
  <si>
    <t>H2S</t>
  </si>
  <si>
    <t>EARTHED CABLE</t>
  </si>
  <si>
    <t>EARHTED CABLE</t>
  </si>
  <si>
    <t>YES</t>
  </si>
  <si>
    <t xml:space="preserve">RAISER </t>
  </si>
  <si>
    <t>pp3</t>
  </si>
  <si>
    <t>pp2</t>
  </si>
  <si>
    <t>F-10</t>
  </si>
  <si>
    <t>RLP</t>
  </si>
  <si>
    <t>SUB MARINE</t>
  </si>
  <si>
    <t>REDA</t>
  </si>
  <si>
    <t>113M-119</t>
  </si>
  <si>
    <t xml:space="preserve">ACT NET </t>
  </si>
  <si>
    <t>WG-1600</t>
  </si>
  <si>
    <t>WD-650</t>
  </si>
  <si>
    <t>WD-850</t>
  </si>
  <si>
    <t>B400-1050</t>
  </si>
  <si>
    <t>B400-700</t>
  </si>
  <si>
    <t>B513-3100</t>
  </si>
  <si>
    <t>D460N</t>
  </si>
  <si>
    <t>WD1300MF</t>
  </si>
  <si>
    <t>D1050N</t>
  </si>
  <si>
    <t>WG-1750</t>
  </si>
  <si>
    <t>B400-1250</t>
  </si>
  <si>
    <t>B400-1750</t>
  </si>
  <si>
    <t>B513-6000</t>
  </si>
  <si>
    <t>B516-1600</t>
  </si>
  <si>
    <t>WF400-1250</t>
  </si>
  <si>
    <t>WF-400</t>
  </si>
  <si>
    <t>WD-1750</t>
  </si>
  <si>
    <t xml:space="preserve"> BM-15 RE.</t>
  </si>
  <si>
    <t>BM-17</t>
  </si>
  <si>
    <t>BM-22</t>
  </si>
  <si>
    <t>BM-23 RE.</t>
  </si>
  <si>
    <t>BM-26</t>
  </si>
  <si>
    <t>BM-29</t>
  </si>
  <si>
    <t>BM-30</t>
  </si>
  <si>
    <t>BM-34</t>
  </si>
  <si>
    <t>BM-36</t>
  </si>
  <si>
    <t>BM-39S.T</t>
  </si>
  <si>
    <t>BM-43</t>
  </si>
  <si>
    <t>BM-47</t>
  </si>
  <si>
    <t>BM-51</t>
  </si>
  <si>
    <t>BM-52</t>
  </si>
  <si>
    <t>BM-57</t>
  </si>
  <si>
    <t>BM-71</t>
  </si>
  <si>
    <t>BM-72</t>
  </si>
  <si>
    <t>BM-73</t>
  </si>
  <si>
    <t>BM-75</t>
  </si>
  <si>
    <t>BM-78</t>
  </si>
  <si>
    <t>BM-81</t>
  </si>
  <si>
    <t>BM-82</t>
  </si>
  <si>
    <t>BM-85</t>
  </si>
  <si>
    <t>BM-86</t>
  </si>
  <si>
    <t>BM-90</t>
  </si>
  <si>
    <t>BM-91</t>
  </si>
  <si>
    <t>BM-92 RE.</t>
  </si>
  <si>
    <t xml:space="preserve">BM-93 </t>
  </si>
  <si>
    <t>BM-94</t>
  </si>
  <si>
    <t>BM-95H</t>
  </si>
  <si>
    <t xml:space="preserve"> BM-100</t>
  </si>
  <si>
    <t>BM-102</t>
  </si>
  <si>
    <t>BM-105</t>
  </si>
  <si>
    <t>BM-112</t>
  </si>
  <si>
    <t>BM-114</t>
  </si>
  <si>
    <t>BM-116</t>
  </si>
  <si>
    <t>BM-118</t>
  </si>
  <si>
    <t>BM-119</t>
  </si>
  <si>
    <t>BM-120</t>
  </si>
  <si>
    <t>BM-121</t>
  </si>
  <si>
    <t>BM-122</t>
  </si>
  <si>
    <t>BM-124</t>
  </si>
  <si>
    <t>BMNW-05</t>
  </si>
  <si>
    <t>BMSW-1 R</t>
  </si>
  <si>
    <t>BMSW-2</t>
  </si>
  <si>
    <t>BMNE-2</t>
  </si>
  <si>
    <t>BM-19</t>
  </si>
  <si>
    <t>BM-21</t>
  </si>
  <si>
    <t>BM-27</t>
  </si>
  <si>
    <t>BM-41</t>
  </si>
  <si>
    <t>BM-49</t>
  </si>
  <si>
    <t>BM-59</t>
  </si>
  <si>
    <t>BM-69</t>
  </si>
  <si>
    <t>BM-77</t>
  </si>
  <si>
    <t>BM-80</t>
  </si>
  <si>
    <t>BM-88</t>
  </si>
  <si>
    <t>BM-89</t>
  </si>
  <si>
    <t>BM-101</t>
  </si>
  <si>
    <t>BM-104</t>
  </si>
  <si>
    <t>BM-106</t>
  </si>
  <si>
    <t>BM-115</t>
  </si>
  <si>
    <t>BM-125</t>
  </si>
  <si>
    <t>BMNW-04</t>
  </si>
  <si>
    <t>PLATF.</t>
  </si>
  <si>
    <t>113M-1</t>
  </si>
  <si>
    <t>TOTAL</t>
  </si>
  <si>
    <t>113M-2</t>
  </si>
  <si>
    <t>113M-3</t>
  </si>
  <si>
    <t>113M-4</t>
  </si>
  <si>
    <t>113M-6</t>
  </si>
  <si>
    <t>113M-7</t>
  </si>
  <si>
    <t>113M-8</t>
  </si>
  <si>
    <t>113M-10</t>
  </si>
  <si>
    <t>CL18/20</t>
  </si>
  <si>
    <t>BM-15/ 27</t>
  </si>
  <si>
    <t>BM-23/ 25</t>
  </si>
  <si>
    <t>*BM-60</t>
  </si>
  <si>
    <t>BBLS/D</t>
  </si>
  <si>
    <t xml:space="preserve"> </t>
  </si>
  <si>
    <t>AVG WC</t>
  </si>
  <si>
    <t>p</t>
  </si>
  <si>
    <t xml:space="preserve">   </t>
  </si>
  <si>
    <t>B338-400</t>
  </si>
  <si>
    <t>2*150</t>
  </si>
  <si>
    <t>AN500</t>
  </si>
  <si>
    <t>B400-500</t>
  </si>
  <si>
    <t>GC-2200</t>
  </si>
  <si>
    <t>flex-10</t>
  </si>
  <si>
    <t>DN-800</t>
  </si>
  <si>
    <t>PMX H6</t>
  </si>
  <si>
    <t>WG-2500</t>
  </si>
  <si>
    <t>WD1200MF</t>
  </si>
  <si>
    <t>DN-475</t>
  </si>
  <si>
    <t>WD-1600</t>
  </si>
  <si>
    <t>P-3</t>
  </si>
  <si>
    <t>B330-550</t>
  </si>
  <si>
    <t>WG-3200</t>
  </si>
  <si>
    <t>WF400-500</t>
  </si>
  <si>
    <t>P-18</t>
  </si>
  <si>
    <t>DN-1050</t>
  </si>
  <si>
    <t>WD450+TT74:T126</t>
  </si>
  <si>
    <t>DN-460</t>
  </si>
  <si>
    <t>PP2/PP3</t>
  </si>
  <si>
    <t>D10</t>
  </si>
  <si>
    <t>BM 15/27</t>
  </si>
  <si>
    <t>SINAI-02</t>
  </si>
  <si>
    <t>SINAI-06</t>
  </si>
  <si>
    <t>SINAI-07</t>
  </si>
  <si>
    <t>SINAI-09</t>
  </si>
  <si>
    <t>SINAI-08</t>
  </si>
  <si>
    <t>B513-3900</t>
  </si>
  <si>
    <t>P-10</t>
  </si>
  <si>
    <t>WD-3000</t>
  </si>
  <si>
    <t>GC-1150</t>
  </si>
  <si>
    <t>SINAI-04 RE</t>
  </si>
  <si>
    <t xml:space="preserve">REP. W.C </t>
  </si>
  <si>
    <t xml:space="preserve">ACT. W.C </t>
  </si>
  <si>
    <t>Well NO.</t>
  </si>
  <si>
    <t>REP.W.C %</t>
  </si>
  <si>
    <t>REP. RATE , M3/D</t>
  </si>
  <si>
    <t xml:space="preserve">REP. NET M3/D </t>
  </si>
  <si>
    <t xml:space="preserve">DIFF NET , M3/D </t>
  </si>
  <si>
    <t>MARINE + R/G : REP. GROSS</t>
  </si>
  <si>
    <t>TOTAL MARINE ACT GROSS</t>
  </si>
  <si>
    <t>TOTAL MARINE ACT NET</t>
  </si>
  <si>
    <t>BELAYIM ACT NET</t>
  </si>
  <si>
    <t>TOTAL MARINE REP NET</t>
  </si>
  <si>
    <t xml:space="preserve">DIFF MARINE ACT. , REP. NET </t>
  </si>
  <si>
    <t xml:space="preserve">TOTAL PRODUCED WATER </t>
  </si>
  <si>
    <t>M3/D</t>
  </si>
  <si>
    <t>RAS GARA ACT NET</t>
  </si>
  <si>
    <t>M1</t>
  </si>
  <si>
    <t xml:space="preserve">TOTAL </t>
  </si>
  <si>
    <t>TOTAL  M3/D</t>
  </si>
  <si>
    <t>TOTAL ,BBL</t>
  </si>
  <si>
    <t>113M-65</t>
  </si>
  <si>
    <t>24/3/2019</t>
  </si>
  <si>
    <t>24/6/2019</t>
  </si>
  <si>
    <t>13/11/2018</t>
  </si>
  <si>
    <t>30/5/2018</t>
  </si>
  <si>
    <t>22/2/2019</t>
  </si>
  <si>
    <t>IN SERVICE</t>
  </si>
  <si>
    <t xml:space="preserve">OUT OF SERVICE </t>
  </si>
  <si>
    <t xml:space="preserve">CHEMICAL </t>
  </si>
  <si>
    <t>SIGNAL LIGHT</t>
  </si>
  <si>
    <t xml:space="preserve">plt </t>
  </si>
  <si>
    <t>M3</t>
  </si>
  <si>
    <t>BBL</t>
  </si>
  <si>
    <t>GOR</t>
  </si>
  <si>
    <t>FLEX-17.5</t>
  </si>
  <si>
    <t xml:space="preserve">M3 </t>
  </si>
  <si>
    <t>%</t>
  </si>
  <si>
    <t>ACT.W.C</t>
  </si>
  <si>
    <t xml:space="preserve"> %</t>
  </si>
  <si>
    <t>ACT  GROSS</t>
  </si>
  <si>
    <t xml:space="preserve">PRODUCED </t>
  </si>
  <si>
    <t>REPORTED WELLS</t>
  </si>
  <si>
    <t xml:space="preserve">NOT REPORTED WELLS </t>
  </si>
  <si>
    <t xml:space="preserve">NO. OF WELLS </t>
  </si>
  <si>
    <t>NO. OF PRODUCED</t>
  </si>
  <si>
    <t xml:space="preserve">NO. OF WAITING W.O </t>
  </si>
  <si>
    <t xml:space="preserve">Rig on  </t>
  </si>
  <si>
    <t xml:space="preserve">Rig on </t>
  </si>
  <si>
    <t xml:space="preserve">Under investigation </t>
  </si>
  <si>
    <t>Under investigation</t>
  </si>
  <si>
    <t xml:space="preserve">well </t>
  </si>
  <si>
    <t xml:space="preserve">status </t>
  </si>
  <si>
    <t>well</t>
  </si>
  <si>
    <t>shut down reason</t>
  </si>
  <si>
    <t>D.H.C.S</t>
  </si>
  <si>
    <t>W/OUT REC</t>
  </si>
  <si>
    <t>PROD.</t>
  </si>
  <si>
    <t>RIG ON/D</t>
  </si>
  <si>
    <t>RIG ON/R</t>
  </si>
  <si>
    <t xml:space="preserve">WHP </t>
  </si>
  <si>
    <t xml:space="preserve">MOTOR HP </t>
  </si>
  <si>
    <t>PUMP TYPE</t>
  </si>
  <si>
    <t>STG.</t>
  </si>
  <si>
    <t xml:space="preserve">LAST W.O </t>
  </si>
  <si>
    <r>
      <rPr>
        <b/>
        <u/>
        <sz val="18"/>
        <color theme="1"/>
        <rFont val="Calibri"/>
        <family val="2"/>
        <scheme val="minor"/>
      </rPr>
      <t xml:space="preserve">OFFSHORE OIL SITATION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</t>
    </r>
    <r>
      <rPr>
        <sz val="26"/>
        <color theme="1"/>
        <rFont val="Calibri"/>
        <family val="2"/>
        <scheme val="minor"/>
      </rPr>
      <t xml:space="preserve">   27/10/2020</t>
    </r>
  </si>
  <si>
    <t xml:space="preserve">TOTAL  MARINE + RAS GARA </t>
  </si>
  <si>
    <t>MARINE</t>
  </si>
  <si>
    <t>MARINE GAS</t>
  </si>
  <si>
    <t>MMS CF/D</t>
  </si>
  <si>
    <t xml:space="preserve">SIGNAL LIGHT </t>
  </si>
  <si>
    <t>R. LEAK</t>
  </si>
  <si>
    <t>L. LEAK</t>
  </si>
  <si>
    <t>113M-126</t>
  </si>
  <si>
    <t>113M-128</t>
  </si>
  <si>
    <t>113M-129</t>
  </si>
  <si>
    <t>BM-46</t>
  </si>
  <si>
    <t>BM-45</t>
  </si>
  <si>
    <t>BM-126</t>
  </si>
  <si>
    <t>BM-127</t>
  </si>
  <si>
    <t>BM-130</t>
  </si>
  <si>
    <t>BM-133</t>
  </si>
  <si>
    <t>113M-03</t>
  </si>
  <si>
    <t>BM-24</t>
  </si>
  <si>
    <t>BM-28</t>
  </si>
  <si>
    <t>BM-37</t>
  </si>
  <si>
    <t>BM-70</t>
  </si>
  <si>
    <t>BM-76</t>
  </si>
  <si>
    <t>BM-103</t>
  </si>
  <si>
    <t>BM-123</t>
  </si>
  <si>
    <t>113M-85</t>
  </si>
  <si>
    <t>POWER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</si>
</sst>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[$-409]mmm\-yy;@"/>
    <numFmt numFmtId="166" formatCode="[$-409]dd\-mmm\-yy;@"/>
    <numFmt numFmtId="167" formatCode="[$-409]d\-mmm\-yy;@"/>
  </numFmts>
  <fonts count="9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  <charset val="178"/>
    </font>
    <font>
      <b/>
      <sz val="28"/>
      <color indexed="10"/>
      <name val="Arial"/>
      <family val="2"/>
    </font>
    <font>
      <b/>
      <sz val="36"/>
      <name val="Arial"/>
      <family val="2"/>
    </font>
    <font>
      <b/>
      <sz val="10"/>
      <name val="Arial"/>
      <family val="2"/>
    </font>
    <font>
      <b/>
      <sz val="10"/>
      <color indexed="50"/>
      <name val="Arial"/>
      <family val="2"/>
    </font>
    <font>
      <b/>
      <sz val="10"/>
      <color indexed="12"/>
      <name val="Arial"/>
      <family val="2"/>
    </font>
    <font>
      <b/>
      <sz val="12"/>
      <color indexed="16"/>
      <name val="Arial"/>
      <family val="2"/>
    </font>
    <font>
      <b/>
      <sz val="12"/>
      <name val="Arial"/>
      <family val="2"/>
    </font>
    <font>
      <sz val="32"/>
      <name val="Arial"/>
      <family val="2"/>
    </font>
    <font>
      <b/>
      <sz val="32"/>
      <color indexed="10"/>
      <name val="Arial"/>
      <family val="2"/>
    </font>
    <font>
      <sz val="28"/>
      <name val="Arial"/>
      <family val="2"/>
    </font>
    <font>
      <b/>
      <i/>
      <sz val="34"/>
      <name val="Arial"/>
      <family val="2"/>
    </font>
    <font>
      <b/>
      <sz val="34"/>
      <name val="Arial"/>
      <family val="2"/>
    </font>
    <font>
      <sz val="10"/>
      <color rgb="FFFF0000"/>
      <name val="Arial"/>
      <family val="2"/>
    </font>
    <font>
      <sz val="32"/>
      <color rgb="FFFF0000"/>
      <name val="Arial"/>
      <family val="2"/>
    </font>
    <font>
      <b/>
      <sz val="14"/>
      <color indexed="12"/>
      <name val="Times New Roman"/>
      <family val="1"/>
    </font>
    <font>
      <b/>
      <sz val="14"/>
      <color indexed="20"/>
      <name val="Times New Roman"/>
      <family val="1"/>
    </font>
    <font>
      <b/>
      <sz val="14"/>
      <color indexed="10"/>
      <name val="Times New Roman"/>
      <family val="1"/>
    </font>
    <font>
      <sz val="22"/>
      <name val="Arial"/>
      <family val="2"/>
    </font>
    <font>
      <b/>
      <i/>
      <sz val="34"/>
      <color indexed="10"/>
      <name val="Arial"/>
      <family val="2"/>
    </font>
    <font>
      <b/>
      <sz val="34"/>
      <color indexed="10"/>
      <name val="Arial"/>
      <family val="2"/>
    </font>
    <font>
      <b/>
      <sz val="20"/>
      <color indexed="10"/>
      <name val="Arial"/>
      <family val="2"/>
    </font>
    <font>
      <b/>
      <sz val="32"/>
      <name val="Arial"/>
      <family val="2"/>
    </font>
    <font>
      <b/>
      <sz val="32"/>
      <color indexed="12"/>
      <name val="Arial"/>
      <family val="2"/>
    </font>
    <font>
      <b/>
      <sz val="32"/>
      <color indexed="16"/>
      <name val="Arial"/>
      <family val="2"/>
    </font>
    <font>
      <b/>
      <sz val="32"/>
      <color indexed="50"/>
      <name val="Arial"/>
      <family val="2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0099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theme="5" tint="-0.499984740745262"/>
      <name val="Calibri"/>
      <family val="2"/>
      <scheme val="minor"/>
    </font>
    <font>
      <b/>
      <sz val="20"/>
      <color theme="5" tint="-0.499984740745262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99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33"/>
      <color theme="1"/>
      <name val="Calibri"/>
      <family val="2"/>
      <scheme val="minor"/>
    </font>
    <font>
      <sz val="33"/>
      <color rgb="FF000099"/>
      <name val="Calibri"/>
      <family val="2"/>
      <scheme val="minor"/>
    </font>
    <font>
      <sz val="33"/>
      <color rgb="FF0066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indexed="14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rgb="FF000099"/>
      <name val="Calibri"/>
      <family val="2"/>
      <scheme val="minor"/>
    </font>
    <font>
      <sz val="20"/>
      <color theme="1"/>
      <name val="Calibri"/>
      <family val="2"/>
      <scheme val="minor"/>
    </font>
    <font>
      <b/>
      <u val="double"/>
      <sz val="26"/>
      <name val="Calibri"/>
      <family val="2"/>
      <scheme val="minor"/>
    </font>
    <font>
      <sz val="22"/>
      <color rgb="FFFF0000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6600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rgb="FF000099"/>
      <name val="Calibri"/>
      <family val="2"/>
      <scheme val="minor"/>
    </font>
    <font>
      <b/>
      <sz val="26"/>
      <color rgb="FF000099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0099"/>
      <name val="Calibri"/>
      <family val="2"/>
      <scheme val="minor"/>
    </font>
    <font>
      <b/>
      <sz val="24"/>
      <color theme="9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sz val="33"/>
      <color theme="9" tint="-0.499984740745262"/>
      <name val="Calibri"/>
      <family val="2"/>
      <scheme val="minor"/>
    </font>
    <font>
      <b/>
      <u val="double"/>
      <sz val="18"/>
      <name val="Calibri"/>
      <family val="2"/>
      <scheme val="minor"/>
    </font>
    <font>
      <b/>
      <sz val="11"/>
      <color rgb="FFFF0000"/>
      <name val="Calibri"/>
      <scheme val="minor"/>
    </font>
    <font>
      <b/>
      <sz val="14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1F3D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BDEAE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6EDE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CF2F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</fills>
  <borders count="1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/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0070C0"/>
      </top>
      <bottom/>
      <diagonal/>
    </border>
    <border>
      <left/>
      <right style="medium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39"/>
      </left>
      <right style="medium">
        <color indexed="39"/>
      </right>
      <top style="thin">
        <color indexed="39"/>
      </top>
      <bottom style="thin">
        <color indexed="39"/>
      </bottom>
      <diagonal/>
    </border>
    <border>
      <left style="thick">
        <color indexed="39"/>
      </left>
      <right style="medium">
        <color indexed="39"/>
      </right>
      <top style="thin">
        <color indexed="39"/>
      </top>
      <bottom style="thin">
        <color indexed="39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double">
        <color auto="1"/>
      </right>
      <top style="thin">
        <color indexed="64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ashed">
        <color indexed="64"/>
      </right>
      <top style="thin">
        <color indexed="64"/>
      </top>
      <bottom style="double">
        <color auto="1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uble">
        <color auto="1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auto="1"/>
      </bottom>
      <diagonal/>
    </border>
    <border>
      <left/>
      <right style="dashed">
        <color indexed="64"/>
      </right>
      <top style="double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thin">
        <color indexed="64"/>
      </top>
      <bottom style="double">
        <color auto="1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double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ashed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ashed">
        <color indexed="64"/>
      </right>
      <top style="thick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/>
      <bottom style="thin">
        <color indexed="12"/>
      </bottom>
      <diagonal/>
    </border>
    <border>
      <left style="medium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/>
      <diagonal/>
    </border>
    <border>
      <left style="double">
        <color auto="1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indexed="64"/>
      </right>
      <top/>
      <bottom style="double">
        <color auto="1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ashed">
        <color indexed="64"/>
      </right>
      <top style="thick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ashed">
        <color indexed="64"/>
      </right>
      <top style="thin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ck">
        <color indexed="64"/>
      </bottom>
      <diagonal/>
    </border>
    <border>
      <left style="dashed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ashed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thick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double">
        <color indexed="64"/>
      </bottom>
      <diagonal/>
    </border>
    <border>
      <left style="dashed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/>
      <right style="dashed">
        <color indexed="64"/>
      </right>
      <top style="thick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ashed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double">
        <color auto="1"/>
      </bottom>
      <diagonal/>
    </border>
    <border>
      <left style="dashed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ouble">
        <color auto="1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auto="1"/>
      </bottom>
      <diagonal/>
    </border>
    <border>
      <left/>
      <right style="thick">
        <color indexed="64"/>
      </right>
      <top style="thin">
        <color indexed="64"/>
      </top>
      <bottom style="double">
        <color auto="1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auto="1"/>
      </top>
      <bottom style="double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auto="1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auto="1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ouble">
        <color indexed="64"/>
      </bottom>
      <diagonal/>
    </border>
    <border>
      <left/>
      <right style="dashed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0" fontId="18" fillId="0" borderId="5"/>
    <xf numFmtId="9" fontId="2" fillId="0" borderId="0" applyFont="0" applyFill="0" applyBorder="0" applyAlignment="0" applyProtection="0"/>
  </cellStyleXfs>
  <cellXfs count="8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3" fillId="10" borderId="5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49" fontId="3" fillId="10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 applyProtection="1">
      <alignment horizontal="center" vertical="center"/>
      <protection locked="0"/>
    </xf>
    <xf numFmtId="0" fontId="3" fillId="10" borderId="6" xfId="0" applyFont="1" applyFill="1" applyBorder="1" applyAlignment="1" applyProtection="1">
      <alignment horizontal="center" vertical="center"/>
      <protection locked="0"/>
    </xf>
    <xf numFmtId="0" fontId="3" fillId="9" borderId="5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  <protection locked="0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3" fillId="10" borderId="1" xfId="0" applyFont="1" applyFill="1" applyBorder="1" applyAlignment="1" applyProtection="1">
      <alignment horizontal="center" vertical="center"/>
      <protection locked="0"/>
    </xf>
    <xf numFmtId="0" fontId="3" fillId="10" borderId="5" xfId="0" applyFont="1" applyFill="1" applyBorder="1" applyAlignment="1" applyProtection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6" fillId="11" borderId="5" xfId="0" applyFont="1" applyFill="1" applyBorder="1" applyAlignment="1" applyProtection="1">
      <alignment horizontal="center" vertical="center"/>
      <protection locked="0"/>
    </xf>
    <xf numFmtId="0" fontId="3" fillId="10" borderId="2" xfId="0" applyFont="1" applyFill="1" applyBorder="1" applyAlignment="1" applyProtection="1">
      <alignment horizontal="center" vertical="center"/>
      <protection locked="0"/>
    </xf>
    <xf numFmtId="16" fontId="6" fillId="5" borderId="5" xfId="0" applyNumberFormat="1" applyFont="1" applyFill="1" applyBorder="1" applyAlignment="1" applyProtection="1">
      <alignment horizontal="center" vertical="center"/>
      <protection locked="0"/>
    </xf>
    <xf numFmtId="16" fontId="1" fillId="4" borderId="5" xfId="0" applyNumberFormat="1" applyFont="1" applyFill="1" applyBorder="1" applyAlignment="1" applyProtection="1">
      <alignment horizontal="center" vertical="center"/>
      <protection locked="0"/>
    </xf>
    <xf numFmtId="16" fontId="1" fillId="9" borderId="5" xfId="0" applyNumberFormat="1" applyFont="1" applyFill="1" applyBorder="1" applyAlignment="1" applyProtection="1">
      <alignment horizontal="center" vertical="center"/>
      <protection locked="0"/>
    </xf>
    <xf numFmtId="0" fontId="3" fillId="10" borderId="5" xfId="0" applyNumberFormat="1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 applyProtection="1">
      <alignment horizontal="center" vertical="center"/>
      <protection locked="0"/>
    </xf>
    <xf numFmtId="0" fontId="1" fillId="9" borderId="6" xfId="0" applyFont="1" applyFill="1" applyBorder="1" applyAlignment="1" applyProtection="1">
      <alignment horizontal="center" vertical="center"/>
      <protection locked="0"/>
    </xf>
    <xf numFmtId="0" fontId="6" fillId="12" borderId="5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1" fontId="3" fillId="10" borderId="5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3" fillId="10" borderId="0" xfId="0" applyFont="1" applyFill="1" applyBorder="1" applyAlignment="1">
      <alignment horizontal="center" vertical="center"/>
    </xf>
    <xf numFmtId="12" fontId="3" fillId="10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8" fillId="10" borderId="5" xfId="0" applyFont="1" applyFill="1" applyBorder="1" applyAlignment="1" applyProtection="1">
      <alignment horizontal="center" vertical="center"/>
      <protection locked="0"/>
    </xf>
    <xf numFmtId="0" fontId="8" fillId="10" borderId="5" xfId="0" applyNumberFormat="1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/>
      <protection locked="0"/>
    </xf>
    <xf numFmtId="0" fontId="9" fillId="9" borderId="1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center" vertical="center"/>
      <protection locked="0"/>
    </xf>
    <xf numFmtId="0" fontId="10" fillId="10" borderId="5" xfId="0" applyFont="1" applyFill="1" applyBorder="1" applyAlignment="1" applyProtection="1">
      <alignment horizontal="center" vertical="center"/>
      <protection locked="0"/>
    </xf>
    <xf numFmtId="0" fontId="10" fillId="10" borderId="5" xfId="0" applyNumberFormat="1" applyFont="1" applyFill="1" applyBorder="1" applyAlignment="1" applyProtection="1">
      <alignment horizontal="center" vertical="center"/>
    </xf>
    <xf numFmtId="0" fontId="11" fillId="9" borderId="5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 applyProtection="1">
      <alignment horizontal="center" vertical="center"/>
      <protection locked="0"/>
    </xf>
    <xf numFmtId="0" fontId="10" fillId="6" borderId="5" xfId="0" applyFont="1" applyFill="1" applyBorder="1" applyAlignment="1" applyProtection="1">
      <alignment horizontal="center" vertical="center"/>
      <protection locked="0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0" fontId="3" fillId="8" borderId="5" xfId="0" applyFont="1" applyFill="1" applyBorder="1" applyAlignment="1" applyProtection="1">
      <alignment horizontal="center" vertical="center"/>
      <protection locked="0"/>
    </xf>
    <xf numFmtId="0" fontId="10" fillId="8" borderId="5" xfId="0" applyFont="1" applyFill="1" applyBorder="1" applyAlignment="1" applyProtection="1">
      <alignment horizontal="center" vertical="center"/>
      <protection locked="0"/>
    </xf>
    <xf numFmtId="0" fontId="8" fillId="8" borderId="5" xfId="0" applyFont="1" applyFill="1" applyBorder="1" applyAlignment="1" applyProtection="1">
      <alignment horizontal="center" vertical="center"/>
      <protection locked="0"/>
    </xf>
    <xf numFmtId="0" fontId="0" fillId="8" borderId="1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3" fillId="8" borderId="13" xfId="0" applyFont="1" applyFill="1" applyBorder="1" applyAlignment="1" applyProtection="1">
      <alignment horizontal="center" vertical="center"/>
    </xf>
    <xf numFmtId="0" fontId="10" fillId="8" borderId="13" xfId="0" applyNumberFormat="1" applyFont="1" applyFill="1" applyBorder="1" applyAlignment="1" applyProtection="1">
      <alignment horizontal="center" vertical="center"/>
    </xf>
    <xf numFmtId="0" fontId="3" fillId="8" borderId="13" xfId="0" applyNumberFormat="1" applyFont="1" applyFill="1" applyBorder="1" applyAlignment="1" applyProtection="1">
      <alignment horizontal="center" vertical="center"/>
    </xf>
    <xf numFmtId="0" fontId="8" fillId="8" borderId="13" xfId="0" applyNumberFormat="1" applyFont="1" applyFill="1" applyBorder="1" applyAlignment="1" applyProtection="1">
      <alignment horizontal="center" vertical="center"/>
    </xf>
    <xf numFmtId="0" fontId="3" fillId="10" borderId="8" xfId="0" applyNumberFormat="1" applyFont="1" applyFill="1" applyBorder="1" applyAlignment="1" applyProtection="1">
      <alignment horizontal="center" vertical="center"/>
      <protection locked="0"/>
    </xf>
    <xf numFmtId="0" fontId="3" fillId="10" borderId="6" xfId="0" applyNumberFormat="1" applyFont="1" applyFill="1" applyBorder="1" applyAlignment="1" applyProtection="1">
      <alignment horizontal="center" vertical="center"/>
      <protection locked="0"/>
    </xf>
    <xf numFmtId="0" fontId="3" fillId="10" borderId="6" xfId="0" applyNumberFormat="1" applyFont="1" applyFill="1" applyBorder="1" applyAlignment="1" applyProtection="1">
      <alignment horizontal="center" vertical="center"/>
    </xf>
    <xf numFmtId="0" fontId="10" fillId="10" borderId="8" xfId="0" applyNumberFormat="1" applyFont="1" applyFill="1" applyBorder="1" applyAlignment="1" applyProtection="1">
      <alignment horizontal="center" vertical="center"/>
      <protection locked="0"/>
    </xf>
    <xf numFmtId="0" fontId="10" fillId="10" borderId="6" xfId="0" applyNumberFormat="1" applyFont="1" applyFill="1" applyBorder="1" applyAlignment="1" applyProtection="1">
      <alignment horizontal="center" vertical="center"/>
      <protection locked="0"/>
    </xf>
    <xf numFmtId="0" fontId="10" fillId="10" borderId="6" xfId="0" applyNumberFormat="1" applyFont="1" applyFill="1" applyBorder="1" applyAlignment="1" applyProtection="1">
      <alignment horizontal="center" vertical="center"/>
    </xf>
    <xf numFmtId="0" fontId="8" fillId="10" borderId="8" xfId="0" applyNumberFormat="1" applyFont="1" applyFill="1" applyBorder="1" applyAlignment="1" applyProtection="1">
      <alignment horizontal="center" vertical="center"/>
      <protection locked="0"/>
    </xf>
    <xf numFmtId="0" fontId="8" fillId="10" borderId="6" xfId="0" applyNumberFormat="1" applyFont="1" applyFill="1" applyBorder="1" applyAlignment="1" applyProtection="1">
      <alignment horizontal="center" vertical="center"/>
      <protection locked="0"/>
    </xf>
    <xf numFmtId="0" fontId="8" fillId="10" borderId="6" xfId="0" applyNumberFormat="1" applyFont="1" applyFill="1" applyBorder="1" applyAlignment="1" applyProtection="1">
      <alignment horizontal="center" vertical="center"/>
    </xf>
    <xf numFmtId="0" fontId="0" fillId="0" borderId="0" xfId="0" applyNumberFormat="1"/>
    <xf numFmtId="0" fontId="14" fillId="10" borderId="5" xfId="0" applyFont="1" applyFill="1" applyBorder="1" applyAlignment="1" applyProtection="1">
      <alignment horizontal="center" vertical="center"/>
      <protection locked="0"/>
    </xf>
    <xf numFmtId="0" fontId="14" fillId="8" borderId="10" xfId="0" applyNumberFormat="1" applyFont="1" applyFill="1" applyBorder="1" applyAlignment="1" applyProtection="1">
      <alignment horizontal="center" vertical="center"/>
    </xf>
    <xf numFmtId="0" fontId="14" fillId="8" borderId="5" xfId="0" applyFont="1" applyFill="1" applyBorder="1" applyAlignment="1" applyProtection="1">
      <alignment horizontal="center" vertical="center"/>
      <protection locked="0"/>
    </xf>
    <xf numFmtId="0" fontId="14" fillId="10" borderId="6" xfId="0" applyNumberFormat="1" applyFont="1" applyFill="1" applyBorder="1" applyAlignment="1" applyProtection="1">
      <alignment horizontal="center" vertical="center"/>
      <protection locked="0"/>
    </xf>
    <xf numFmtId="0" fontId="14" fillId="10" borderId="6" xfId="0" applyNumberFormat="1" applyFont="1" applyFill="1" applyBorder="1" applyAlignment="1" applyProtection="1">
      <alignment horizontal="center" vertical="center"/>
    </xf>
    <xf numFmtId="0" fontId="14" fillId="6" borderId="5" xfId="0" applyNumberFormat="1" applyFont="1" applyFill="1" applyBorder="1" applyAlignment="1" applyProtection="1">
      <alignment horizontal="center" vertical="center"/>
      <protection locked="0"/>
    </xf>
    <xf numFmtId="0" fontId="14" fillId="10" borderId="5" xfId="0" applyNumberFormat="1" applyFont="1" applyFill="1" applyBorder="1" applyAlignment="1" applyProtection="1">
      <alignment horizontal="center" vertical="center"/>
    </xf>
    <xf numFmtId="0" fontId="14" fillId="9" borderId="6" xfId="0" applyFont="1" applyFill="1" applyBorder="1" applyAlignment="1" applyProtection="1">
      <alignment horizontal="center" vertical="center"/>
      <protection locked="0"/>
    </xf>
    <xf numFmtId="0" fontId="15" fillId="9" borderId="5" xfId="0" applyFont="1" applyFill="1" applyBorder="1" applyAlignment="1" applyProtection="1">
      <alignment horizontal="center" vertical="center"/>
      <protection locked="0"/>
    </xf>
    <xf numFmtId="0" fontId="14" fillId="6" borderId="5" xfId="0" applyFont="1" applyFill="1" applyBorder="1" applyAlignment="1" applyProtection="1">
      <alignment horizontal="center" vertical="center"/>
      <protection locked="0"/>
    </xf>
    <xf numFmtId="0" fontId="15" fillId="9" borderId="1" xfId="0" applyFont="1" applyFill="1" applyBorder="1" applyAlignment="1" applyProtection="1">
      <alignment horizontal="center" vertical="center"/>
      <protection locked="0"/>
    </xf>
    <xf numFmtId="0" fontId="16" fillId="13" borderId="10" xfId="0" applyFont="1" applyFill="1" applyBorder="1" applyAlignment="1">
      <alignment horizontal="center" vertical="center"/>
    </xf>
    <xf numFmtId="0" fontId="16" fillId="13" borderId="0" xfId="0" applyFont="1" applyFill="1" applyBorder="1" applyAlignment="1">
      <alignment horizontal="center" vertical="center"/>
    </xf>
    <xf numFmtId="0" fontId="5" fillId="13" borderId="12" xfId="0" applyFont="1" applyFill="1" applyBorder="1" applyAlignment="1" applyProtection="1">
      <alignment horizontal="center" vertical="center"/>
    </xf>
    <xf numFmtId="0" fontId="5" fillId="13" borderId="6" xfId="0" applyFont="1" applyFill="1" applyBorder="1" applyAlignment="1" applyProtection="1">
      <alignment horizontal="center" vertical="center"/>
    </xf>
    <xf numFmtId="0" fontId="5" fillId="13" borderId="12" xfId="0" applyNumberFormat="1" applyFont="1" applyFill="1" applyBorder="1" applyAlignment="1" applyProtection="1">
      <alignment horizontal="center" vertical="center"/>
    </xf>
    <xf numFmtId="0" fontId="5" fillId="13" borderId="6" xfId="0" applyNumberFormat="1" applyFont="1" applyFill="1" applyBorder="1" applyAlignment="1" applyProtection="1">
      <alignment horizontal="center" vertical="center"/>
    </xf>
    <xf numFmtId="0" fontId="5" fillId="13" borderId="10" xfId="0" applyFont="1" applyFill="1" applyBorder="1" applyAlignment="1" applyProtection="1">
      <alignment horizontal="center" vertical="center"/>
    </xf>
    <xf numFmtId="1" fontId="0" fillId="8" borderId="11" xfId="0" applyNumberFormat="1" applyFill="1" applyBorder="1" applyAlignment="1">
      <alignment horizontal="center" vertical="center"/>
    </xf>
    <xf numFmtId="1" fontId="3" fillId="8" borderId="14" xfId="0" applyNumberFormat="1" applyFont="1" applyFill="1" applyBorder="1" applyAlignment="1" applyProtection="1">
      <alignment horizontal="center" vertical="center"/>
    </xf>
    <xf numFmtId="1" fontId="10" fillId="8" borderId="14" xfId="0" applyNumberFormat="1" applyFont="1" applyFill="1" applyBorder="1" applyAlignment="1" applyProtection="1">
      <alignment horizontal="center" vertical="center"/>
    </xf>
    <xf numFmtId="1" fontId="14" fillId="8" borderId="11" xfId="0" applyNumberFormat="1" applyFont="1" applyFill="1" applyBorder="1" applyAlignment="1" applyProtection="1">
      <alignment horizontal="center" vertical="center"/>
    </xf>
    <xf numFmtId="1" fontId="8" fillId="8" borderId="14" xfId="0" applyNumberFormat="1" applyFont="1" applyFill="1" applyBorder="1" applyAlignment="1" applyProtection="1">
      <alignment horizontal="center" vertical="center"/>
    </xf>
    <xf numFmtId="1" fontId="0" fillId="13" borderId="11" xfId="0" applyNumberFormat="1" applyFill="1" applyBorder="1" applyAlignment="1">
      <alignment horizontal="center" vertical="center"/>
    </xf>
    <xf numFmtId="1" fontId="3" fillId="13" borderId="14" xfId="0" applyNumberFormat="1" applyFont="1" applyFill="1" applyBorder="1" applyAlignment="1" applyProtection="1">
      <alignment horizontal="center" vertical="center"/>
    </xf>
    <xf numFmtId="0" fontId="3" fillId="10" borderId="5" xfId="0" applyNumberFormat="1" applyFont="1" applyFill="1" applyBorder="1" applyAlignment="1" applyProtection="1">
      <alignment horizontal="center" vertical="center"/>
    </xf>
    <xf numFmtId="0" fontId="0" fillId="9" borderId="5" xfId="0" applyFill="1" applyBorder="1" applyProtection="1">
      <protection locked="0"/>
    </xf>
    <xf numFmtId="0" fontId="17" fillId="9" borderId="9" xfId="0" applyFont="1" applyFill="1" applyBorder="1" applyProtection="1">
      <protection locked="0"/>
    </xf>
    <xf numFmtId="49" fontId="3" fillId="10" borderId="6" xfId="0" applyNumberFormat="1" applyFont="1" applyFill="1" applyBorder="1" applyAlignment="1">
      <alignment horizontal="center" vertical="center"/>
    </xf>
    <xf numFmtId="0" fontId="14" fillId="10" borderId="6" xfId="0" applyFont="1" applyFill="1" applyBorder="1" applyAlignment="1" applyProtection="1">
      <alignment horizontal="center" vertical="center"/>
      <protection locked="0"/>
    </xf>
    <xf numFmtId="0" fontId="0" fillId="9" borderId="6" xfId="0" applyFill="1" applyBorder="1" applyProtection="1">
      <protection locked="0"/>
    </xf>
    <xf numFmtId="0" fontId="14" fillId="6" borderId="6" xfId="0" applyFont="1" applyFill="1" applyBorder="1" applyAlignment="1" applyProtection="1">
      <alignment horizontal="center" vertical="center"/>
      <protection locked="0"/>
    </xf>
    <xf numFmtId="0" fontId="15" fillId="9" borderId="9" xfId="0" applyFont="1" applyFill="1" applyBorder="1" applyAlignment="1" applyProtection="1">
      <alignment horizontal="center" vertical="center"/>
      <protection locked="0"/>
    </xf>
    <xf numFmtId="0" fontId="3" fillId="10" borderId="17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 applyProtection="1">
      <alignment horizontal="center" vertical="center"/>
      <protection locked="0"/>
    </xf>
    <xf numFmtId="0" fontId="3" fillId="9" borderId="17" xfId="0" applyFont="1" applyFill="1" applyBorder="1" applyAlignment="1" applyProtection="1">
      <alignment horizontal="center" vertical="center"/>
      <protection locked="0"/>
    </xf>
    <xf numFmtId="0" fontId="3" fillId="10" borderId="18" xfId="0" applyFont="1" applyFill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</xf>
    <xf numFmtId="0" fontId="3" fillId="8" borderId="17" xfId="0" applyFont="1" applyFill="1" applyBorder="1" applyAlignment="1" applyProtection="1">
      <alignment horizontal="center" vertical="center"/>
      <protection locked="0"/>
    </xf>
    <xf numFmtId="1" fontId="3" fillId="8" borderId="20" xfId="0" applyNumberFormat="1" applyFont="1" applyFill="1" applyBorder="1" applyAlignment="1" applyProtection="1">
      <alignment horizontal="center" vertical="center"/>
    </xf>
    <xf numFmtId="0" fontId="5" fillId="13" borderId="19" xfId="0" applyFont="1" applyFill="1" applyBorder="1" applyAlignment="1" applyProtection="1">
      <alignment horizontal="center" vertical="center"/>
    </xf>
    <xf numFmtId="0" fontId="5" fillId="13" borderId="17" xfId="0" applyFont="1" applyFill="1" applyBorder="1" applyAlignment="1" applyProtection="1">
      <alignment horizontal="center" vertical="center"/>
    </xf>
    <xf numFmtId="1" fontId="3" fillId="13" borderId="20" xfId="0" applyNumberFormat="1" applyFont="1" applyFill="1" applyBorder="1" applyAlignment="1" applyProtection="1">
      <alignment horizontal="center" vertical="center"/>
    </xf>
    <xf numFmtId="0" fontId="3" fillId="10" borderId="21" xfId="0" applyNumberFormat="1" applyFont="1" applyFill="1" applyBorder="1" applyAlignment="1" applyProtection="1">
      <alignment horizontal="center" vertical="center"/>
      <protection locked="0"/>
    </xf>
    <xf numFmtId="0" fontId="3" fillId="10" borderId="17" xfId="0" applyNumberFormat="1" applyFont="1" applyFill="1" applyBorder="1" applyAlignment="1" applyProtection="1">
      <alignment horizontal="center" vertical="center"/>
      <protection locked="0"/>
    </xf>
    <xf numFmtId="0" fontId="3" fillId="10" borderId="17" xfId="0" applyNumberFormat="1" applyFont="1" applyFill="1" applyBorder="1" applyAlignment="1" applyProtection="1">
      <alignment horizontal="center" vertical="center"/>
    </xf>
    <xf numFmtId="0" fontId="3" fillId="6" borderId="17" xfId="0" applyFont="1" applyFill="1" applyBorder="1" applyAlignment="1" applyProtection="1">
      <alignment horizontal="center" vertical="center"/>
      <protection locked="0"/>
    </xf>
    <xf numFmtId="0" fontId="1" fillId="9" borderId="17" xfId="0" applyFont="1" applyFill="1" applyBorder="1" applyAlignment="1" applyProtection="1">
      <alignment horizontal="center" vertical="center"/>
      <protection locked="0"/>
    </xf>
    <xf numFmtId="0" fontId="14" fillId="9" borderId="9" xfId="0" applyFont="1" applyFill="1" applyBorder="1" applyAlignment="1" applyProtection="1">
      <alignment horizontal="center" vertical="center"/>
      <protection locked="0"/>
    </xf>
    <xf numFmtId="0" fontId="18" fillId="0" borderId="0" xfId="2" applyBorder="1" applyAlignment="1">
      <alignment horizontal="center" vertical="center"/>
    </xf>
    <xf numFmtId="0" fontId="19" fillId="0" borderId="0" xfId="2" applyFont="1" applyBorder="1" applyAlignment="1">
      <alignment horizontal="center" vertical="center"/>
    </xf>
    <xf numFmtId="0" fontId="20" fillId="0" borderId="0" xfId="2" applyFont="1" applyBorder="1" applyAlignment="1">
      <alignment horizontal="center" vertical="center"/>
    </xf>
    <xf numFmtId="0" fontId="21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/>
    </xf>
    <xf numFmtId="164" fontId="21" fillId="0" borderId="0" xfId="2" applyNumberFormat="1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4" fillId="0" borderId="0" xfId="2" applyFont="1" applyBorder="1" applyAlignment="1">
      <alignment horizontal="center" vertical="center"/>
    </xf>
    <xf numFmtId="0" fontId="25" fillId="0" borderId="0" xfId="2" applyFont="1" applyBorder="1" applyAlignment="1">
      <alignment horizontal="center" vertical="center"/>
    </xf>
    <xf numFmtId="0" fontId="26" fillId="0" borderId="0" xfId="2" applyFont="1" applyBorder="1" applyAlignment="1">
      <alignment horizontal="center" vertical="center"/>
    </xf>
    <xf numFmtId="0" fontId="27" fillId="15" borderId="15" xfId="2" applyFont="1" applyFill="1" applyBorder="1" applyAlignment="1">
      <alignment horizontal="center" vertical="center" wrapText="1"/>
    </xf>
    <xf numFmtId="0" fontId="27" fillId="15" borderId="24" xfId="2" applyFont="1" applyFill="1" applyBorder="1" applyAlignment="1">
      <alignment horizontal="center" vertical="center" wrapText="1"/>
    </xf>
    <xf numFmtId="0" fontId="27" fillId="15" borderId="25" xfId="2" applyFont="1" applyFill="1" applyBorder="1" applyAlignment="1">
      <alignment horizontal="center" vertical="center" wrapText="1"/>
    </xf>
    <xf numFmtId="0" fontId="27" fillId="15" borderId="16" xfId="2" applyFont="1" applyFill="1" applyBorder="1" applyAlignment="1">
      <alignment horizontal="center" vertical="center" wrapText="1"/>
    </xf>
    <xf numFmtId="0" fontId="27" fillId="15" borderId="26" xfId="2" applyFont="1" applyFill="1" applyBorder="1" applyAlignment="1">
      <alignment horizontal="center" vertical="center" wrapText="1"/>
    </xf>
    <xf numFmtId="164" fontId="27" fillId="15" borderId="25" xfId="2" applyNumberFormat="1" applyFont="1" applyFill="1" applyBorder="1" applyAlignment="1">
      <alignment horizontal="center" vertical="center" wrapText="1"/>
    </xf>
    <xf numFmtId="0" fontId="27" fillId="15" borderId="27" xfId="2" applyFont="1" applyFill="1" applyBorder="1" applyAlignment="1">
      <alignment horizontal="center" vertical="center"/>
    </xf>
    <xf numFmtId="0" fontId="28" fillId="16" borderId="0" xfId="2" applyFont="1" applyFill="1" applyBorder="1" applyAlignment="1">
      <alignment horizontal="center" vertical="center"/>
    </xf>
    <xf numFmtId="0" fontId="28" fillId="0" borderId="0" xfId="2" applyFont="1" applyBorder="1" applyAlignment="1">
      <alignment horizontal="center" vertical="center"/>
    </xf>
    <xf numFmtId="0" fontId="29" fillId="17" borderId="28" xfId="2" applyFont="1" applyFill="1" applyBorder="1" applyAlignment="1">
      <alignment horizontal="center" vertical="center"/>
    </xf>
    <xf numFmtId="0" fontId="30" fillId="17" borderId="6" xfId="2" applyFont="1" applyFill="1" applyBorder="1" applyAlignment="1">
      <alignment horizontal="center" vertical="center"/>
    </xf>
    <xf numFmtId="164" fontId="30" fillId="17" borderId="6" xfId="2" applyNumberFormat="1" applyFont="1" applyFill="1" applyBorder="1" applyAlignment="1">
      <alignment horizontal="center" vertical="center"/>
    </xf>
    <xf numFmtId="1" fontId="30" fillId="17" borderId="28" xfId="2" applyNumberFormat="1" applyFont="1" applyFill="1" applyBorder="1" applyAlignment="1">
      <alignment horizontal="center" vertical="center"/>
    </xf>
    <xf numFmtId="0" fontId="30" fillId="17" borderId="28" xfId="2" applyFont="1" applyFill="1" applyBorder="1" applyAlignment="1">
      <alignment horizontal="center" vertical="center"/>
    </xf>
    <xf numFmtId="1" fontId="30" fillId="17" borderId="6" xfId="2" applyNumberFormat="1" applyFont="1" applyFill="1" applyBorder="1" applyAlignment="1">
      <alignment horizontal="center" vertical="center"/>
    </xf>
    <xf numFmtId="0" fontId="18" fillId="16" borderId="0" xfId="2" applyFill="1" applyBorder="1" applyAlignment="1">
      <alignment horizontal="center" vertical="center"/>
    </xf>
    <xf numFmtId="0" fontId="29" fillId="17" borderId="5" xfId="2" applyFont="1" applyFill="1" applyAlignment="1">
      <alignment horizontal="center" vertical="center"/>
    </xf>
    <xf numFmtId="0" fontId="30" fillId="17" borderId="5" xfId="2" applyFont="1" applyFill="1" applyAlignment="1">
      <alignment horizontal="center" vertical="center"/>
    </xf>
    <xf numFmtId="164" fontId="30" fillId="17" borderId="5" xfId="2" applyNumberFormat="1" applyFont="1" applyFill="1" applyAlignment="1">
      <alignment horizontal="center" vertical="center"/>
    </xf>
    <xf numFmtId="1" fontId="30" fillId="17" borderId="5" xfId="2" applyNumberFormat="1" applyFont="1" applyFill="1" applyAlignment="1">
      <alignment horizontal="center" vertical="center"/>
    </xf>
    <xf numFmtId="16" fontId="29" fillId="17" borderId="5" xfId="2" applyNumberFormat="1" applyFont="1" applyFill="1" applyAlignment="1">
      <alignment horizontal="center" vertical="center"/>
    </xf>
    <xf numFmtId="0" fontId="30" fillId="18" borderId="6" xfId="2" applyFont="1" applyFill="1" applyBorder="1" applyAlignment="1">
      <alignment horizontal="center" vertical="center"/>
    </xf>
    <xf numFmtId="1" fontId="30" fillId="0" borderId="6" xfId="2" applyNumberFormat="1" applyFont="1" applyBorder="1" applyAlignment="1">
      <alignment horizontal="center" vertical="center"/>
    </xf>
    <xf numFmtId="164" fontId="30" fillId="0" borderId="6" xfId="2" applyNumberFormat="1" applyFont="1" applyBorder="1" applyAlignment="1">
      <alignment horizontal="center" vertical="center"/>
    </xf>
    <xf numFmtId="0" fontId="18" fillId="19" borderId="0" xfId="2" applyFill="1" applyBorder="1" applyAlignment="1">
      <alignment horizontal="center" vertical="center"/>
    </xf>
    <xf numFmtId="0" fontId="30" fillId="18" borderId="5" xfId="2" applyFont="1" applyFill="1" applyAlignment="1">
      <alignment horizontal="center" vertical="center"/>
    </xf>
    <xf numFmtId="1" fontId="30" fillId="0" borderId="5" xfId="2" applyNumberFormat="1" applyFont="1" applyAlignment="1">
      <alignment horizontal="center" vertical="center"/>
    </xf>
    <xf numFmtId="164" fontId="30" fillId="0" borderId="5" xfId="2" applyNumberFormat="1" applyFont="1" applyAlignment="1">
      <alignment horizontal="center" vertical="center"/>
    </xf>
    <xf numFmtId="0" fontId="29" fillId="20" borderId="5" xfId="2" applyFont="1" applyFill="1" applyAlignment="1">
      <alignment horizontal="center" vertical="center"/>
    </xf>
    <xf numFmtId="0" fontId="30" fillId="20" borderId="5" xfId="2" applyFont="1" applyFill="1" applyAlignment="1">
      <alignment horizontal="center" vertical="center"/>
    </xf>
    <xf numFmtId="164" fontId="30" fillId="20" borderId="5" xfId="2" applyNumberFormat="1" applyFont="1" applyFill="1" applyAlignment="1">
      <alignment horizontal="center" vertical="center"/>
    </xf>
    <xf numFmtId="1" fontId="30" fillId="20" borderId="5" xfId="2" applyNumberFormat="1" applyFont="1" applyFill="1" applyAlignment="1">
      <alignment horizontal="center" vertical="center"/>
    </xf>
    <xf numFmtId="16" fontId="29" fillId="20" borderId="5" xfId="2" applyNumberFormat="1" applyFont="1" applyFill="1" applyAlignment="1">
      <alignment horizontal="center" vertical="center"/>
    </xf>
    <xf numFmtId="0" fontId="30" fillId="18" borderId="29" xfId="2" applyFont="1" applyFill="1" applyBorder="1" applyAlignment="1">
      <alignment horizontal="center" vertical="center"/>
    </xf>
    <xf numFmtId="1" fontId="30" fillId="0" borderId="29" xfId="2" applyNumberFormat="1" applyFont="1" applyBorder="1" applyAlignment="1">
      <alignment horizontal="center" vertical="center"/>
    </xf>
    <xf numFmtId="164" fontId="30" fillId="0" borderId="29" xfId="2" applyNumberFormat="1" applyFont="1" applyBorder="1" applyAlignment="1">
      <alignment horizontal="center" vertical="center"/>
    </xf>
    <xf numFmtId="0" fontId="29" fillId="20" borderId="6" xfId="2" applyFont="1" applyFill="1" applyBorder="1" applyAlignment="1">
      <alignment horizontal="center" vertical="center"/>
    </xf>
    <xf numFmtId="0" fontId="30" fillId="20" borderId="6" xfId="2" applyFont="1" applyFill="1" applyBorder="1" applyAlignment="1">
      <alignment horizontal="center" vertical="center"/>
    </xf>
    <xf numFmtId="164" fontId="30" fillId="20" borderId="6" xfId="2" applyNumberFormat="1" applyFont="1" applyFill="1" applyBorder="1" applyAlignment="1">
      <alignment horizontal="center" vertical="center"/>
    </xf>
    <xf numFmtId="1" fontId="30" fillId="20" borderId="6" xfId="2" applyNumberFormat="1" applyFont="1" applyFill="1" applyBorder="1" applyAlignment="1">
      <alignment horizontal="center" vertical="center"/>
    </xf>
    <xf numFmtId="0" fontId="31" fillId="0" borderId="0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31" fillId="16" borderId="0" xfId="2" applyFont="1" applyFill="1" applyBorder="1" applyAlignment="1">
      <alignment horizontal="center" vertical="center"/>
    </xf>
    <xf numFmtId="0" fontId="18" fillId="18" borderId="0" xfId="2" applyFill="1" applyBorder="1" applyAlignment="1">
      <alignment horizontal="center" vertical="center"/>
    </xf>
    <xf numFmtId="0" fontId="30" fillId="21" borderId="5" xfId="2" applyFont="1" applyFill="1" applyAlignment="1">
      <alignment horizontal="center" vertical="center"/>
    </xf>
    <xf numFmtId="1" fontId="30" fillId="3" borderId="5" xfId="2" applyNumberFormat="1" applyFont="1" applyFill="1" applyAlignment="1">
      <alignment horizontal="center" vertical="center"/>
    </xf>
    <xf numFmtId="0" fontId="29" fillId="22" borderId="5" xfId="2" applyFont="1" applyFill="1" applyAlignment="1">
      <alignment horizontal="center" vertical="center"/>
    </xf>
    <xf numFmtId="0" fontId="30" fillId="22" borderId="5" xfId="2" applyFont="1" applyFill="1" applyAlignment="1">
      <alignment horizontal="center" vertical="center"/>
    </xf>
    <xf numFmtId="164" fontId="30" fillId="22" borderId="5" xfId="2" applyNumberFormat="1" applyFont="1" applyFill="1" applyAlignment="1">
      <alignment horizontal="center" vertical="center"/>
    </xf>
    <xf numFmtId="1" fontId="30" fillId="22" borderId="5" xfId="2" applyNumberFormat="1" applyFont="1" applyFill="1" applyAlignment="1">
      <alignment horizontal="center" vertical="center"/>
    </xf>
    <xf numFmtId="0" fontId="29" fillId="23" borderId="5" xfId="2" applyFont="1" applyFill="1" applyAlignment="1">
      <alignment horizontal="center" vertical="center"/>
    </xf>
    <xf numFmtId="0" fontId="30" fillId="23" borderId="5" xfId="2" applyFont="1" applyFill="1" applyAlignment="1">
      <alignment horizontal="center" vertical="center"/>
    </xf>
    <xf numFmtId="164" fontId="30" fillId="23" borderId="5" xfId="2" applyNumberFormat="1" applyFont="1" applyFill="1" applyAlignment="1">
      <alignment horizontal="center" vertical="center"/>
    </xf>
    <xf numFmtId="1" fontId="30" fillId="23" borderId="5" xfId="2" applyNumberFormat="1" applyFont="1" applyFill="1" applyAlignment="1">
      <alignment horizontal="center" vertical="center"/>
    </xf>
    <xf numFmtId="1" fontId="30" fillId="24" borderId="5" xfId="2" applyNumberFormat="1" applyFont="1" applyFill="1" applyAlignment="1">
      <alignment horizontal="center" vertical="center"/>
    </xf>
    <xf numFmtId="164" fontId="30" fillId="24" borderId="5" xfId="2" applyNumberFormat="1" applyFont="1" applyFill="1" applyAlignment="1">
      <alignment horizontal="center" vertical="center"/>
    </xf>
    <xf numFmtId="0" fontId="32" fillId="0" borderId="0" xfId="2" applyFont="1" applyBorder="1" applyAlignment="1">
      <alignment horizontal="center" vertical="center"/>
    </xf>
    <xf numFmtId="0" fontId="31" fillId="19" borderId="0" xfId="2" applyFont="1" applyFill="1" applyBorder="1" applyAlignment="1">
      <alignment horizontal="center" vertical="center"/>
    </xf>
    <xf numFmtId="0" fontId="30" fillId="0" borderId="5" xfId="2" applyFont="1" applyAlignment="1">
      <alignment horizontal="center" vertical="center"/>
    </xf>
    <xf numFmtId="1" fontId="33" fillId="0" borderId="0" xfId="2" applyNumberFormat="1" applyFont="1" applyBorder="1" applyAlignment="1">
      <alignment horizontal="center" vertical="center"/>
    </xf>
    <xf numFmtId="0" fontId="34" fillId="0" borderId="0" xfId="2" applyFont="1" applyBorder="1" applyAlignment="1">
      <alignment horizontal="center" vertical="center"/>
    </xf>
    <xf numFmtId="0" fontId="33" fillId="0" borderId="0" xfId="2" applyFont="1" applyBorder="1" applyAlignment="1">
      <alignment horizontal="center" vertical="center"/>
    </xf>
    <xf numFmtId="164" fontId="33" fillId="0" borderId="0" xfId="3" applyNumberFormat="1" applyFont="1" applyFill="1" applyBorder="1" applyAlignment="1">
      <alignment horizontal="center" vertical="center"/>
    </xf>
    <xf numFmtId="0" fontId="35" fillId="0" borderId="0" xfId="2" applyFont="1" applyBorder="1" applyAlignment="1">
      <alignment horizontal="center" vertical="center"/>
    </xf>
    <xf numFmtId="1" fontId="33" fillId="19" borderId="0" xfId="2" applyNumberFormat="1" applyFont="1" applyFill="1" applyBorder="1" applyAlignment="1">
      <alignment horizontal="center" vertical="center"/>
    </xf>
    <xf numFmtId="0" fontId="34" fillId="19" borderId="0" xfId="2" applyFont="1" applyFill="1" applyBorder="1" applyAlignment="1">
      <alignment horizontal="center" vertical="center"/>
    </xf>
    <xf numFmtId="0" fontId="33" fillId="19" borderId="0" xfId="2" applyFont="1" applyFill="1" applyBorder="1" applyAlignment="1">
      <alignment horizontal="center" vertical="center"/>
    </xf>
    <xf numFmtId="164" fontId="33" fillId="19" borderId="0" xfId="3" applyNumberFormat="1" applyFont="1" applyFill="1" applyBorder="1" applyAlignment="1">
      <alignment horizontal="center" vertical="center"/>
    </xf>
    <xf numFmtId="0" fontId="35" fillId="19" borderId="0" xfId="2" applyFont="1" applyFill="1" applyBorder="1" applyAlignment="1">
      <alignment horizontal="center" vertical="center"/>
    </xf>
    <xf numFmtId="164" fontId="33" fillId="19" borderId="32" xfId="3" applyNumberFormat="1" applyFont="1" applyFill="1" applyBorder="1" applyAlignment="1">
      <alignment horizontal="center" vertical="center"/>
    </xf>
    <xf numFmtId="1" fontId="33" fillId="19" borderId="33" xfId="2" applyNumberFormat="1" applyFont="1" applyFill="1" applyBorder="1" applyAlignment="1">
      <alignment horizontal="center" vertical="center"/>
    </xf>
    <xf numFmtId="0" fontId="35" fillId="19" borderId="33" xfId="2" applyFont="1" applyFill="1" applyBorder="1" applyAlignment="1">
      <alignment horizontal="center" vertical="center"/>
    </xf>
    <xf numFmtId="164" fontId="33" fillId="19" borderId="33" xfId="3" applyNumberFormat="1" applyFont="1" applyFill="1" applyBorder="1" applyAlignment="1">
      <alignment horizontal="center" vertical="center"/>
    </xf>
    <xf numFmtId="0" fontId="34" fillId="19" borderId="34" xfId="2" applyFont="1" applyFill="1" applyBorder="1" applyAlignment="1">
      <alignment horizontal="center" vertical="center"/>
    </xf>
    <xf numFmtId="0" fontId="33" fillId="19" borderId="33" xfId="2" applyFont="1" applyFill="1" applyBorder="1" applyAlignment="1">
      <alignment horizontal="center" vertical="center"/>
    </xf>
    <xf numFmtId="1" fontId="29" fillId="23" borderId="5" xfId="2" applyNumberFormat="1" applyFont="1" applyFill="1" applyAlignment="1">
      <alignment horizontal="center" vertical="center"/>
    </xf>
    <xf numFmtId="0" fontId="31" fillId="18" borderId="0" xfId="2" applyFont="1" applyFill="1" applyBorder="1" applyAlignment="1">
      <alignment horizontal="center" vertical="center"/>
    </xf>
    <xf numFmtId="0" fontId="36" fillId="0" borderId="0" xfId="2" applyFont="1" applyBorder="1" applyAlignment="1">
      <alignment horizontal="center" vertical="center"/>
    </xf>
    <xf numFmtId="0" fontId="29" fillId="0" borderId="5" xfId="2" applyFont="1" applyAlignment="1">
      <alignment horizontal="center" vertical="center"/>
    </xf>
    <xf numFmtId="3" fontId="30" fillId="0" borderId="5" xfId="2" applyNumberFormat="1" applyFont="1" applyAlignment="1">
      <alignment horizontal="center" vertical="center"/>
    </xf>
    <xf numFmtId="3" fontId="37" fillId="24" borderId="5" xfId="2" applyNumberFormat="1" applyFont="1" applyFill="1" applyAlignment="1">
      <alignment horizontal="center" vertical="center"/>
    </xf>
    <xf numFmtId="3" fontId="38" fillId="25" borderId="5" xfId="2" applyNumberFormat="1" applyFont="1" applyFill="1" applyAlignment="1">
      <alignment horizontal="center" vertical="center"/>
    </xf>
    <xf numFmtId="0" fontId="38" fillId="0" borderId="5" xfId="2" applyFont="1" applyAlignment="1">
      <alignment horizontal="center" vertical="center"/>
    </xf>
    <xf numFmtId="3" fontId="30" fillId="26" borderId="5" xfId="2" applyNumberFormat="1" applyFont="1" applyFill="1" applyAlignment="1">
      <alignment horizontal="center" vertical="center"/>
    </xf>
    <xf numFmtId="164" fontId="30" fillId="26" borderId="5" xfId="2" applyNumberFormat="1" applyFont="1" applyFill="1" applyAlignment="1">
      <alignment horizontal="center" vertical="center"/>
    </xf>
    <xf numFmtId="0" fontId="38" fillId="26" borderId="5" xfId="2" applyFont="1" applyFill="1" applyAlignment="1">
      <alignment horizontal="center" vertical="center"/>
    </xf>
    <xf numFmtId="164" fontId="38" fillId="26" borderId="5" xfId="2" applyNumberFormat="1" applyFont="1" applyFill="1" applyAlignment="1">
      <alignment horizontal="center" vertical="center"/>
    </xf>
    <xf numFmtId="3" fontId="39" fillId="0" borderId="5" xfId="2" applyNumberFormat="1" applyFont="1" applyAlignment="1">
      <alignment horizontal="center" vertical="center" wrapText="1"/>
    </xf>
    <xf numFmtId="3" fontId="27" fillId="0" borderId="5" xfId="2" applyNumberFormat="1" applyFont="1" applyAlignment="1">
      <alignment horizontal="center" vertical="center" wrapText="1"/>
    </xf>
    <xf numFmtId="0" fontId="40" fillId="0" borderId="5" xfId="2" applyFont="1" applyAlignment="1">
      <alignment horizontal="center" vertical="center"/>
    </xf>
    <xf numFmtId="3" fontId="40" fillId="0" borderId="5" xfId="2" applyNumberFormat="1" applyFont="1" applyAlignment="1">
      <alignment horizontal="center" vertical="center"/>
    </xf>
    <xf numFmtId="164" fontId="40" fillId="0" borderId="5" xfId="2" applyNumberFormat="1" applyFont="1" applyAlignment="1">
      <alignment horizontal="center" vertical="center"/>
    </xf>
    <xf numFmtId="0" fontId="41" fillId="0" borderId="5" xfId="2" applyFont="1" applyAlignment="1">
      <alignment horizontal="center" vertical="center"/>
    </xf>
    <xf numFmtId="0" fontId="42" fillId="0" borderId="5" xfId="2" applyFont="1" applyAlignment="1">
      <alignment horizontal="center" vertical="center"/>
    </xf>
    <xf numFmtId="0" fontId="27" fillId="0" borderId="0" xfId="2" applyFont="1" applyBorder="1" applyAlignment="1">
      <alignment horizontal="center" vertical="center"/>
    </xf>
    <xf numFmtId="0" fontId="40" fillId="0" borderId="0" xfId="2" applyFont="1" applyBorder="1" applyAlignment="1">
      <alignment horizontal="center" vertical="center"/>
    </xf>
    <xf numFmtId="1" fontId="43" fillId="0" borderId="0" xfId="2" applyNumberFormat="1" applyFont="1" applyBorder="1" applyAlignment="1">
      <alignment horizontal="center" vertical="center"/>
    </xf>
    <xf numFmtId="164" fontId="40" fillId="0" borderId="0" xfId="2" applyNumberFormat="1" applyFont="1" applyBorder="1" applyAlignment="1">
      <alignment horizontal="center" vertical="center"/>
    </xf>
    <xf numFmtId="0" fontId="41" fillId="0" borderId="0" xfId="2" applyFont="1" applyBorder="1" applyAlignment="1">
      <alignment horizontal="center" vertical="center"/>
    </xf>
    <xf numFmtId="0" fontId="42" fillId="0" borderId="0" xfId="2" applyFont="1" applyBorder="1" applyAlignment="1">
      <alignment horizontal="center" vertical="center"/>
    </xf>
    <xf numFmtId="0" fontId="24" fillId="0" borderId="35" xfId="2" applyFont="1" applyBorder="1" applyAlignment="1">
      <alignment horizontal="center" vertical="center"/>
    </xf>
    <xf numFmtId="49" fontId="3" fillId="10" borderId="17" xfId="0" applyNumberFormat="1" applyFont="1" applyFill="1" applyBorder="1" applyAlignment="1">
      <alignment horizontal="center" vertical="center"/>
    </xf>
    <xf numFmtId="0" fontId="6" fillId="11" borderId="17" xfId="0" applyFont="1" applyFill="1" applyBorder="1" applyAlignment="1" applyProtection="1">
      <alignment horizontal="center" vertical="center"/>
      <protection locked="0"/>
    </xf>
    <xf numFmtId="0" fontId="14" fillId="10" borderId="17" xfId="0" applyFont="1" applyFill="1" applyBorder="1" applyAlignment="1" applyProtection="1">
      <alignment horizontal="center" vertical="center"/>
      <protection locked="0"/>
    </xf>
    <xf numFmtId="0" fontId="5" fillId="13" borderId="37" xfId="0" applyFont="1" applyFill="1" applyBorder="1" applyAlignment="1" applyProtection="1">
      <alignment horizontal="center" vertical="center"/>
    </xf>
    <xf numFmtId="0" fontId="5" fillId="13" borderId="36" xfId="0" applyFont="1" applyFill="1" applyBorder="1" applyAlignment="1" applyProtection="1">
      <alignment horizontal="center" vertical="center"/>
    </xf>
    <xf numFmtId="0" fontId="3" fillId="10" borderId="38" xfId="0" applyNumberFormat="1" applyFont="1" applyFill="1" applyBorder="1" applyAlignment="1" applyProtection="1">
      <alignment horizontal="center" vertical="center"/>
      <protection locked="0"/>
    </xf>
    <xf numFmtId="0" fontId="3" fillId="10" borderId="36" xfId="0" applyNumberFormat="1" applyFont="1" applyFill="1" applyBorder="1" applyAlignment="1" applyProtection="1">
      <alignment horizontal="center" vertical="center"/>
      <protection locked="0"/>
    </xf>
    <xf numFmtId="0" fontId="3" fillId="10" borderId="36" xfId="0" applyNumberFormat="1" applyFont="1" applyFill="1" applyBorder="1" applyAlignment="1" applyProtection="1">
      <alignment horizontal="center" vertical="center"/>
    </xf>
    <xf numFmtId="0" fontId="14" fillId="10" borderId="36" xfId="0" applyNumberFormat="1" applyFont="1" applyFill="1" applyBorder="1" applyAlignment="1" applyProtection="1">
      <alignment horizontal="center" vertical="center"/>
    </xf>
    <xf numFmtId="0" fontId="0" fillId="9" borderId="17" xfId="0" applyFill="1" applyBorder="1" applyProtection="1">
      <protection locked="0"/>
    </xf>
    <xf numFmtId="0" fontId="14" fillId="9" borderId="36" xfId="0" applyFont="1" applyFill="1" applyBorder="1" applyAlignment="1" applyProtection="1">
      <alignment horizontal="center" vertical="center"/>
      <protection locked="0"/>
    </xf>
    <xf numFmtId="0" fontId="17" fillId="9" borderId="36" xfId="0" applyFont="1" applyFill="1" applyBorder="1" applyProtection="1">
      <protection locked="0"/>
    </xf>
    <xf numFmtId="0" fontId="14" fillId="6" borderId="17" xfId="0" applyFont="1" applyFill="1" applyBorder="1" applyAlignment="1" applyProtection="1">
      <alignment horizontal="center" vertical="center"/>
      <protection locked="0"/>
    </xf>
    <xf numFmtId="0" fontId="15" fillId="9" borderId="36" xfId="0" applyFont="1" applyFill="1" applyBorder="1" applyAlignment="1" applyProtection="1">
      <alignment horizontal="center" vertical="center"/>
      <protection locked="0"/>
    </xf>
    <xf numFmtId="0" fontId="3" fillId="9" borderId="9" xfId="0" applyFont="1" applyFill="1" applyBorder="1" applyAlignment="1" applyProtection="1">
      <alignment horizontal="center" vertical="center"/>
      <protection locked="0"/>
    </xf>
    <xf numFmtId="0" fontId="0" fillId="9" borderId="9" xfId="0" applyFont="1" applyFill="1" applyBorder="1" applyProtection="1">
      <protection locked="0"/>
    </xf>
    <xf numFmtId="0" fontId="1" fillId="9" borderId="9" xfId="0" applyFont="1" applyFill="1" applyBorder="1" applyAlignment="1" applyProtection="1">
      <alignment horizontal="center" vertical="center"/>
      <protection locked="0"/>
    </xf>
    <xf numFmtId="0" fontId="3" fillId="8" borderId="4" xfId="0" applyFont="1" applyFill="1" applyBorder="1" applyAlignment="1" applyProtection="1">
      <alignment horizontal="center" vertical="center"/>
      <protection locked="0"/>
    </xf>
    <xf numFmtId="0" fontId="10" fillId="8" borderId="4" xfId="0" applyFont="1" applyFill="1" applyBorder="1" applyAlignment="1" applyProtection="1">
      <alignment horizontal="center" vertical="center"/>
      <protection locked="0"/>
    </xf>
    <xf numFmtId="0" fontId="3" fillId="8" borderId="21" xfId="0" applyFont="1" applyFill="1" applyBorder="1" applyAlignment="1" applyProtection="1">
      <alignment horizontal="center" vertical="center"/>
      <protection locked="0"/>
    </xf>
    <xf numFmtId="0" fontId="3" fillId="10" borderId="39" xfId="0" applyFont="1" applyFill="1" applyBorder="1" applyAlignment="1" applyProtection="1">
      <alignment horizontal="center" vertical="center"/>
      <protection locked="0"/>
    </xf>
    <xf numFmtId="0" fontId="3" fillId="10" borderId="14" xfId="0" applyFont="1" applyFill="1" applyBorder="1" applyAlignment="1" applyProtection="1">
      <alignment horizontal="center" vertical="center"/>
      <protection locked="0"/>
    </xf>
    <xf numFmtId="0" fontId="14" fillId="10" borderId="14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29" borderId="5" xfId="0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30" borderId="5" xfId="0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3" fillId="10" borderId="4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0" fontId="3" fillId="8" borderId="40" xfId="0" applyNumberFormat="1" applyFont="1" applyFill="1" applyBorder="1" applyAlignment="1" applyProtection="1">
      <alignment horizontal="center" vertical="center"/>
    </xf>
    <xf numFmtId="0" fontId="3" fillId="8" borderId="28" xfId="0" applyFont="1" applyFill="1" applyBorder="1" applyAlignment="1" applyProtection="1">
      <alignment horizontal="center" vertical="center"/>
      <protection locked="0"/>
    </xf>
    <xf numFmtId="1" fontId="3" fillId="8" borderId="39" xfId="0" applyNumberFormat="1" applyFont="1" applyFill="1" applyBorder="1" applyAlignment="1" applyProtection="1">
      <alignment horizontal="center" vertical="center"/>
    </xf>
    <xf numFmtId="0" fontId="5" fillId="13" borderId="40" xfId="0" applyFont="1" applyFill="1" applyBorder="1" applyAlignment="1" applyProtection="1">
      <alignment horizontal="center" vertical="center"/>
    </xf>
    <xf numFmtId="0" fontId="5" fillId="13" borderId="28" xfId="0" applyFont="1" applyFill="1" applyBorder="1" applyAlignment="1" applyProtection="1">
      <alignment horizontal="center" vertical="center"/>
    </xf>
    <xf numFmtId="1" fontId="3" fillId="13" borderId="39" xfId="0" applyNumberFormat="1" applyFont="1" applyFill="1" applyBorder="1" applyAlignment="1" applyProtection="1">
      <alignment horizontal="center" vertical="center"/>
    </xf>
    <xf numFmtId="0" fontId="5" fillId="13" borderId="13" xfId="0" applyFont="1" applyFill="1" applyBorder="1" applyAlignment="1" applyProtection="1">
      <alignment horizontal="center" vertical="center"/>
    </xf>
    <xf numFmtId="0" fontId="5" fillId="13" borderId="5" xfId="0" applyFont="1" applyFill="1" applyBorder="1" applyAlignment="1" applyProtection="1">
      <alignment horizontal="center" vertical="center"/>
    </xf>
    <xf numFmtId="0" fontId="3" fillId="10" borderId="28" xfId="0" applyNumberFormat="1" applyFont="1" applyFill="1" applyBorder="1" applyAlignment="1" applyProtection="1">
      <alignment horizontal="center" vertical="center"/>
      <protection locked="0"/>
    </xf>
    <xf numFmtId="0" fontId="3" fillId="10" borderId="28" xfId="0" applyNumberFormat="1" applyFont="1" applyFill="1" applyBorder="1" applyAlignment="1" applyProtection="1">
      <alignment horizontal="center" vertical="center"/>
    </xf>
    <xf numFmtId="0" fontId="3" fillId="10" borderId="5" xfId="0" applyNumberFormat="1" applyFont="1" applyFill="1" applyBorder="1" applyAlignment="1" applyProtection="1">
      <alignment horizontal="center" vertical="center"/>
      <protection locked="0"/>
    </xf>
    <xf numFmtId="0" fontId="14" fillId="10" borderId="17" xfId="0" applyNumberFormat="1" applyFont="1" applyFill="1" applyBorder="1" applyAlignment="1" applyProtection="1">
      <alignment horizontal="center" vertical="center"/>
    </xf>
    <xf numFmtId="0" fontId="6" fillId="11" borderId="18" xfId="0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center" vertical="center"/>
    </xf>
    <xf numFmtId="0" fontId="3" fillId="8" borderId="19" xfId="0" applyNumberFormat="1" applyFont="1" applyFill="1" applyBorder="1" applyAlignment="1" applyProtection="1">
      <alignment horizontal="center" vertical="center"/>
    </xf>
    <xf numFmtId="0" fontId="3" fillId="9" borderId="36" xfId="0" applyFont="1" applyFill="1" applyBorder="1" applyAlignment="1" applyProtection="1">
      <alignment horizontal="center" vertical="center"/>
      <protection locked="0"/>
    </xf>
    <xf numFmtId="0" fontId="0" fillId="9" borderId="36" xfId="0" applyFont="1" applyFill="1" applyBorder="1" applyProtection="1">
      <protection locked="0"/>
    </xf>
    <xf numFmtId="0" fontId="1" fillId="9" borderId="36" xfId="0" applyFont="1" applyFill="1" applyBorder="1" applyAlignment="1" applyProtection="1">
      <alignment horizontal="center" vertical="center"/>
      <protection locked="0"/>
    </xf>
    <xf numFmtId="1" fontId="3" fillId="10" borderId="40" xfId="0" applyNumberFormat="1" applyFont="1" applyFill="1" applyBorder="1" applyAlignment="1" applyProtection="1">
      <alignment horizontal="center" vertical="center"/>
      <protection locked="0"/>
    </xf>
    <xf numFmtId="1" fontId="3" fillId="10" borderId="13" xfId="0" applyNumberFormat="1" applyFont="1" applyFill="1" applyBorder="1" applyAlignment="1" applyProtection="1">
      <alignment horizontal="center" vertical="center"/>
      <protection locked="0"/>
    </xf>
    <xf numFmtId="1" fontId="3" fillId="10" borderId="19" xfId="0" applyNumberFormat="1" applyFont="1" applyFill="1" applyBorder="1" applyAlignment="1" applyProtection="1">
      <alignment horizontal="center" vertical="center"/>
      <protection locked="0"/>
    </xf>
    <xf numFmtId="0" fontId="45" fillId="0" borderId="0" xfId="0" applyFont="1"/>
    <xf numFmtId="2" fontId="44" fillId="12" borderId="41" xfId="0" applyNumberFormat="1" applyFont="1" applyFill="1" applyBorder="1" applyAlignment="1">
      <alignment horizontal="center" vertical="center" wrapText="1"/>
    </xf>
    <xf numFmtId="2" fontId="44" fillId="12" borderId="42" xfId="0" applyNumberFormat="1" applyFont="1" applyFill="1" applyBorder="1" applyAlignment="1">
      <alignment horizontal="center" vertical="center" wrapText="1"/>
    </xf>
    <xf numFmtId="2" fontId="44" fillId="12" borderId="43" xfId="0" applyNumberFormat="1" applyFont="1" applyFill="1" applyBorder="1" applyAlignment="1">
      <alignment horizontal="center" vertical="center" wrapText="1"/>
    </xf>
    <xf numFmtId="2" fontId="46" fillId="10" borderId="13" xfId="0" applyNumberFormat="1" applyFont="1" applyFill="1" applyBorder="1" applyAlignment="1">
      <alignment horizontal="center" vertical="center"/>
    </xf>
    <xf numFmtId="0" fontId="44" fillId="12" borderId="41" xfId="0" applyFont="1" applyFill="1" applyBorder="1" applyAlignment="1">
      <alignment horizontal="center" vertical="center" wrapText="1"/>
    </xf>
    <xf numFmtId="0" fontId="44" fillId="12" borderId="42" xfId="0" applyFont="1" applyFill="1" applyBorder="1" applyAlignment="1">
      <alignment horizontal="center" vertical="center" wrapText="1"/>
    </xf>
    <xf numFmtId="0" fontId="44" fillId="12" borderId="43" xfId="0" applyFont="1" applyFill="1" applyBorder="1" applyAlignment="1">
      <alignment horizontal="center" vertical="center" wrapText="1"/>
    </xf>
    <xf numFmtId="49" fontId="46" fillId="10" borderId="13" xfId="0" applyNumberFormat="1" applyFont="1" applyFill="1" applyBorder="1" applyAlignment="1">
      <alignment horizontal="center" vertical="center"/>
    </xf>
    <xf numFmtId="0" fontId="46" fillId="10" borderId="13" xfId="0" applyNumberFormat="1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2" fontId="13" fillId="0" borderId="44" xfId="0" applyNumberFormat="1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2" fontId="47" fillId="0" borderId="5" xfId="0" applyNumberFormat="1" applyFont="1" applyBorder="1" applyAlignment="1">
      <alignment horizontal="center" vertical="center"/>
    </xf>
    <xf numFmtId="49" fontId="46" fillId="10" borderId="45" xfId="0" applyNumberFormat="1" applyFont="1" applyFill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2" fontId="46" fillId="10" borderId="45" xfId="0" applyNumberFormat="1" applyFont="1" applyFill="1" applyBorder="1" applyAlignment="1">
      <alignment horizontal="center" vertical="center"/>
    </xf>
    <xf numFmtId="2" fontId="47" fillId="0" borderId="46" xfId="0" applyNumberFormat="1" applyFont="1" applyBorder="1" applyAlignment="1">
      <alignment horizontal="center" vertical="center"/>
    </xf>
    <xf numFmtId="2" fontId="13" fillId="0" borderId="47" xfId="0" applyNumberFormat="1" applyFont="1" applyBorder="1" applyAlignment="1">
      <alignment horizontal="center" vertical="center"/>
    </xf>
    <xf numFmtId="0" fontId="44" fillId="12" borderId="49" xfId="0" applyFont="1" applyFill="1" applyBorder="1" applyAlignment="1">
      <alignment horizontal="center" vertical="center" wrapText="1"/>
    </xf>
    <xf numFmtId="0" fontId="0" fillId="0" borderId="52" xfId="0" applyBorder="1"/>
    <xf numFmtId="0" fontId="0" fillId="0" borderId="54" xfId="0" applyBorder="1"/>
    <xf numFmtId="0" fontId="0" fillId="0" borderId="57" xfId="0" applyBorder="1"/>
    <xf numFmtId="0" fontId="49" fillId="0" borderId="51" xfId="0" applyFont="1" applyBorder="1" applyAlignment="1">
      <alignment horizontal="center" vertical="center"/>
    </xf>
    <xf numFmtId="0" fontId="49" fillId="0" borderId="54" xfId="0" applyFont="1" applyBorder="1" applyAlignment="1">
      <alignment horizontal="center" vertical="center"/>
    </xf>
    <xf numFmtId="0" fontId="49" fillId="0" borderId="56" xfId="0" applyFont="1" applyBorder="1" applyAlignment="1">
      <alignment horizontal="center" vertical="center"/>
    </xf>
    <xf numFmtId="0" fontId="44" fillId="12" borderId="58" xfId="0" applyFont="1" applyFill="1" applyBorder="1" applyAlignment="1">
      <alignment horizontal="center" vertical="center" wrapText="1"/>
    </xf>
    <xf numFmtId="49" fontId="48" fillId="10" borderId="59" xfId="0" applyNumberFormat="1" applyFont="1" applyFill="1" applyBorder="1" applyAlignment="1"/>
    <xf numFmtId="49" fontId="48" fillId="10" borderId="22" xfId="0" applyNumberFormat="1" applyFont="1" applyFill="1" applyBorder="1" applyAlignment="1"/>
    <xf numFmtId="0" fontId="48" fillId="10" borderId="22" xfId="0" applyNumberFormat="1" applyFont="1" applyFill="1" applyBorder="1" applyAlignment="1"/>
    <xf numFmtId="49" fontId="48" fillId="10" borderId="60" xfId="0" applyNumberFormat="1" applyFont="1" applyFill="1" applyBorder="1" applyAlignment="1"/>
    <xf numFmtId="0" fontId="44" fillId="12" borderId="64" xfId="0" applyFont="1" applyFill="1" applyBorder="1" applyAlignment="1">
      <alignment horizontal="center" vertical="center" wrapText="1"/>
    </xf>
    <xf numFmtId="0" fontId="50" fillId="0" borderId="50" xfId="0" applyFont="1" applyBorder="1" applyAlignment="1">
      <alignment horizontal="center" vertical="center"/>
    </xf>
    <xf numFmtId="0" fontId="50" fillId="0" borderId="53" xfId="0" applyFont="1" applyBorder="1" applyAlignment="1">
      <alignment horizontal="center" vertical="center"/>
    </xf>
    <xf numFmtId="0" fontId="49" fillId="0" borderId="53" xfId="0" applyFont="1" applyBorder="1" applyAlignment="1">
      <alignment horizontal="center" vertical="center"/>
    </xf>
    <xf numFmtId="0" fontId="49" fillId="0" borderId="55" xfId="0" applyFont="1" applyBorder="1" applyAlignment="1">
      <alignment horizontal="center" vertical="center"/>
    </xf>
    <xf numFmtId="0" fontId="0" fillId="0" borderId="62" xfId="0" applyBorder="1"/>
    <xf numFmtId="0" fontId="50" fillId="0" borderId="55" xfId="0" applyFont="1" applyBorder="1" applyAlignment="1">
      <alignment horizontal="center" vertical="center"/>
    </xf>
    <xf numFmtId="0" fontId="50" fillId="31" borderId="50" xfId="0" applyFont="1" applyFill="1" applyBorder="1" applyAlignment="1">
      <alignment horizontal="center" vertical="center"/>
    </xf>
    <xf numFmtId="0" fontId="49" fillId="31" borderId="51" xfId="0" applyFont="1" applyFill="1" applyBorder="1" applyAlignment="1">
      <alignment horizontal="center" vertical="center"/>
    </xf>
    <xf numFmtId="0" fontId="50" fillId="31" borderId="53" xfId="0" applyFont="1" applyFill="1" applyBorder="1" applyAlignment="1">
      <alignment horizontal="center" vertical="center"/>
    </xf>
    <xf numFmtId="0" fontId="49" fillId="31" borderId="54" xfId="0" applyFont="1" applyFill="1" applyBorder="1" applyAlignment="1">
      <alignment horizontal="center" vertical="center"/>
    </xf>
    <xf numFmtId="1" fontId="51" fillId="0" borderId="65" xfId="0" applyNumberFormat="1" applyFont="1" applyBorder="1" applyAlignment="1">
      <alignment horizontal="center" vertical="center"/>
    </xf>
    <xf numFmtId="1" fontId="51" fillId="0" borderId="66" xfId="0" applyNumberFormat="1" applyFont="1" applyBorder="1" applyAlignment="1">
      <alignment horizontal="center" vertical="center"/>
    </xf>
    <xf numFmtId="1" fontId="49" fillId="0" borderId="66" xfId="0" applyNumberFormat="1" applyFont="1" applyBorder="1" applyAlignment="1">
      <alignment horizontal="center" vertical="center"/>
    </xf>
    <xf numFmtId="1" fontId="49" fillId="0" borderId="67" xfId="0" applyNumberFormat="1" applyFont="1" applyBorder="1" applyAlignment="1">
      <alignment horizontal="center" vertical="center"/>
    </xf>
    <xf numFmtId="1" fontId="44" fillId="12" borderId="64" xfId="0" applyNumberFormat="1" applyFont="1" applyFill="1" applyBorder="1" applyAlignment="1">
      <alignment horizontal="center" vertical="center" wrapText="1"/>
    </xf>
    <xf numFmtId="1" fontId="51" fillId="31" borderId="65" xfId="0" applyNumberFormat="1" applyFont="1" applyFill="1" applyBorder="1" applyAlignment="1">
      <alignment horizontal="center" vertical="center"/>
    </xf>
    <xf numFmtId="1" fontId="51" fillId="31" borderId="66" xfId="0" applyNumberFormat="1" applyFont="1" applyFill="1" applyBorder="1" applyAlignment="1">
      <alignment horizontal="center" vertical="center"/>
    </xf>
    <xf numFmtId="1" fontId="50" fillId="31" borderId="66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44" fillId="12" borderId="69" xfId="0" applyNumberFormat="1" applyFont="1" applyFill="1" applyBorder="1" applyAlignment="1">
      <alignment horizontal="center" vertical="center" wrapText="1"/>
    </xf>
    <xf numFmtId="1" fontId="52" fillId="32" borderId="68" xfId="0" applyNumberFormat="1" applyFont="1" applyFill="1" applyBorder="1" applyAlignment="1">
      <alignment horizontal="center" vertical="center"/>
    </xf>
    <xf numFmtId="49" fontId="48" fillId="10" borderId="70" xfId="0" applyNumberFormat="1" applyFont="1" applyFill="1" applyBorder="1" applyAlignment="1"/>
    <xf numFmtId="0" fontId="49" fillId="0" borderId="57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1" fontId="52" fillId="32" borderId="73" xfId="0" applyNumberFormat="1" applyFont="1" applyFill="1" applyBorder="1" applyAlignment="1">
      <alignment horizontal="center" vertical="center"/>
    </xf>
    <xf numFmtId="49" fontId="48" fillId="10" borderId="74" xfId="0" applyNumberFormat="1" applyFont="1" applyFill="1" applyBorder="1" applyAlignment="1"/>
    <xf numFmtId="0" fontId="44" fillId="12" borderId="75" xfId="0" applyFont="1" applyFill="1" applyBorder="1" applyAlignment="1">
      <alignment horizontal="center" vertical="center" wrapText="1"/>
    </xf>
    <xf numFmtId="0" fontId="44" fillId="12" borderId="76" xfId="0" applyFont="1" applyFill="1" applyBorder="1" applyAlignment="1">
      <alignment horizontal="center" vertical="center" wrapText="1"/>
    </xf>
    <xf numFmtId="0" fontId="44" fillId="12" borderId="48" xfId="0" applyFont="1" applyFill="1" applyBorder="1" applyAlignment="1">
      <alignment horizontal="center" vertical="center" wrapText="1"/>
    </xf>
    <xf numFmtId="1" fontId="44" fillId="12" borderId="48" xfId="0" applyNumberFormat="1" applyFont="1" applyFill="1" applyBorder="1" applyAlignment="1">
      <alignment horizontal="center" vertical="center" wrapText="1"/>
    </xf>
    <xf numFmtId="49" fontId="48" fillId="10" borderId="10" xfId="0" applyNumberFormat="1" applyFont="1" applyFill="1" applyBorder="1" applyAlignment="1"/>
    <xf numFmtId="1" fontId="52" fillId="32" borderId="63" xfId="0" applyNumberFormat="1" applyFont="1" applyFill="1" applyBorder="1" applyAlignment="1">
      <alignment horizontal="center" vertical="center"/>
    </xf>
    <xf numFmtId="49" fontId="48" fillId="10" borderId="75" xfId="0" applyNumberFormat="1" applyFont="1" applyFill="1" applyBorder="1" applyAlignment="1"/>
    <xf numFmtId="0" fontId="50" fillId="31" borderId="55" xfId="0" applyFont="1" applyFill="1" applyBorder="1" applyAlignment="1">
      <alignment horizontal="center" vertical="center"/>
    </xf>
    <xf numFmtId="0" fontId="49" fillId="31" borderId="56" xfId="0" applyFont="1" applyFill="1" applyBorder="1" applyAlignment="1">
      <alignment horizontal="center" vertical="center"/>
    </xf>
    <xf numFmtId="1" fontId="50" fillId="31" borderId="67" xfId="0" applyNumberFormat="1" applyFont="1" applyFill="1" applyBorder="1" applyAlignment="1">
      <alignment horizontal="center" vertical="center"/>
    </xf>
    <xf numFmtId="1" fontId="52" fillId="32" borderId="61" xfId="0" applyNumberFormat="1" applyFont="1" applyFill="1" applyBorder="1" applyAlignment="1">
      <alignment horizontal="center" vertical="center"/>
    </xf>
    <xf numFmtId="1" fontId="52" fillId="32" borderId="62" xfId="0" applyNumberFormat="1" applyFont="1" applyFill="1" applyBorder="1" applyAlignment="1">
      <alignment horizontal="center" vertical="center"/>
    </xf>
    <xf numFmtId="1" fontId="55" fillId="0" borderId="11" xfId="0" applyNumberFormat="1" applyFont="1" applyBorder="1" applyAlignment="1">
      <alignment horizontal="center" vertical="center"/>
    </xf>
    <xf numFmtId="1" fontId="55" fillId="32" borderId="0" xfId="0" applyNumberFormat="1" applyFont="1" applyFill="1" applyBorder="1" applyAlignment="1">
      <alignment horizontal="center" vertical="center"/>
    </xf>
    <xf numFmtId="1" fontId="55" fillId="0" borderId="10" xfId="0" applyNumberFormat="1" applyFont="1" applyBorder="1" applyAlignment="1">
      <alignment horizontal="center" vertical="center"/>
    </xf>
    <xf numFmtId="1" fontId="54" fillId="0" borderId="0" xfId="0" applyNumberFormat="1" applyFont="1" applyBorder="1" applyAlignment="1">
      <alignment horizontal="center" vertical="center"/>
    </xf>
    <xf numFmtId="0" fontId="48" fillId="10" borderId="77" xfId="0" applyNumberFormat="1" applyFont="1" applyFill="1" applyBorder="1" applyAlignment="1"/>
    <xf numFmtId="0" fontId="48" fillId="10" borderId="60" xfId="0" applyNumberFormat="1" applyFont="1" applyFill="1" applyBorder="1" applyAlignment="1"/>
    <xf numFmtId="49" fontId="48" fillId="10" borderId="77" xfId="0" applyNumberFormat="1" applyFont="1" applyFill="1" applyBorder="1" applyAlignment="1"/>
    <xf numFmtId="1" fontId="52" fillId="32" borderId="78" xfId="0" applyNumberFormat="1" applyFont="1" applyFill="1" applyBorder="1" applyAlignment="1">
      <alignment horizontal="center" vertical="center"/>
    </xf>
    <xf numFmtId="49" fontId="48" fillId="3" borderId="70" xfId="0" applyNumberFormat="1" applyFont="1" applyFill="1" applyBorder="1" applyAlignment="1"/>
    <xf numFmtId="49" fontId="48" fillId="3" borderId="10" xfId="0" applyNumberFormat="1" applyFont="1" applyFill="1" applyBorder="1" applyAlignment="1"/>
    <xf numFmtId="0" fontId="50" fillId="3" borderId="0" xfId="0" applyFont="1" applyFill="1" applyBorder="1" applyAlignment="1">
      <alignment horizontal="center" vertical="center"/>
    </xf>
    <xf numFmtId="0" fontId="49" fillId="3" borderId="0" xfId="0" applyFont="1" applyFill="1" applyBorder="1" applyAlignment="1">
      <alignment horizontal="center" vertical="center"/>
    </xf>
    <xf numFmtId="0" fontId="49" fillId="3" borderId="16" xfId="0" applyFont="1" applyFill="1" applyBorder="1" applyAlignment="1">
      <alignment horizontal="center" vertical="center"/>
    </xf>
    <xf numFmtId="1" fontId="51" fillId="3" borderId="16" xfId="0" applyNumberFormat="1" applyFont="1" applyFill="1" applyBorder="1" applyAlignment="1">
      <alignment horizontal="center" vertical="center"/>
    </xf>
    <xf numFmtId="1" fontId="52" fillId="3" borderId="83" xfId="0" applyNumberFormat="1" applyFont="1" applyFill="1" applyBorder="1" applyAlignment="1">
      <alignment horizontal="center" vertical="center"/>
    </xf>
    <xf numFmtId="1" fontId="49" fillId="3" borderId="0" xfId="0" applyNumberFormat="1" applyFont="1" applyFill="1" applyBorder="1" applyAlignment="1">
      <alignment horizontal="center" vertical="center"/>
    </xf>
    <xf numFmtId="1" fontId="50" fillId="3" borderId="0" xfId="0" applyNumberFormat="1" applyFont="1" applyFill="1" applyBorder="1" applyAlignment="1">
      <alignment horizontal="center" vertical="center"/>
    </xf>
    <xf numFmtId="1" fontId="52" fillId="3" borderId="73" xfId="0" applyNumberFormat="1" applyFont="1" applyFill="1" applyBorder="1" applyAlignment="1">
      <alignment horizontal="center" vertical="center"/>
    </xf>
    <xf numFmtId="1" fontId="52" fillId="3" borderId="68" xfId="0" applyNumberFormat="1" applyFont="1" applyFill="1" applyBorder="1" applyAlignment="1">
      <alignment horizontal="center" vertical="center"/>
    </xf>
    <xf numFmtId="0" fontId="50" fillId="3" borderId="16" xfId="0" applyFont="1" applyFill="1" applyBorder="1" applyAlignment="1">
      <alignment horizontal="center" vertical="center"/>
    </xf>
    <xf numFmtId="0" fontId="50" fillId="0" borderId="79" xfId="0" applyFont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1" fontId="51" fillId="0" borderId="80" xfId="0" applyNumberFormat="1" applyFont="1" applyBorder="1" applyAlignment="1">
      <alignment horizontal="center" vertical="center"/>
    </xf>
    <xf numFmtId="0" fontId="50" fillId="31" borderId="79" xfId="0" applyFont="1" applyFill="1" applyBorder="1" applyAlignment="1">
      <alignment horizontal="center" vertical="center"/>
    </xf>
    <xf numFmtId="0" fontId="49" fillId="31" borderId="52" xfId="0" applyFont="1" applyFill="1" applyBorder="1" applyAlignment="1">
      <alignment horizontal="center" vertical="center"/>
    </xf>
    <xf numFmtId="1" fontId="51" fillId="31" borderId="80" xfId="0" applyNumberFormat="1" applyFont="1" applyFill="1" applyBorder="1" applyAlignment="1">
      <alignment horizontal="center" vertical="center"/>
    </xf>
    <xf numFmtId="1" fontId="51" fillId="0" borderId="67" xfId="0" applyNumberFormat="1" applyFont="1" applyBorder="1" applyAlignment="1">
      <alignment horizontal="center" vertical="center"/>
    </xf>
    <xf numFmtId="0" fontId="62" fillId="12" borderId="58" xfId="0" applyFont="1" applyFill="1" applyBorder="1" applyAlignment="1">
      <alignment horizontal="center" vertical="center" wrapText="1"/>
    </xf>
    <xf numFmtId="0" fontId="62" fillId="12" borderId="49" xfId="0" applyFont="1" applyFill="1" applyBorder="1" applyAlignment="1">
      <alignment horizontal="center" vertical="center" wrapText="1"/>
    </xf>
    <xf numFmtId="0" fontId="62" fillId="12" borderId="64" xfId="0" applyFont="1" applyFill="1" applyBorder="1" applyAlignment="1">
      <alignment horizontal="center" vertical="center" wrapText="1"/>
    </xf>
    <xf numFmtId="1" fontId="62" fillId="12" borderId="64" xfId="0" applyNumberFormat="1" applyFont="1" applyFill="1" applyBorder="1" applyAlignment="1">
      <alignment horizontal="center" vertical="center" wrapText="1"/>
    </xf>
    <xf numFmtId="1" fontId="62" fillId="12" borderId="69" xfId="0" applyNumberFormat="1" applyFont="1" applyFill="1" applyBorder="1" applyAlignment="1">
      <alignment horizontal="center" vertical="center" wrapText="1"/>
    </xf>
    <xf numFmtId="1" fontId="52" fillId="32" borderId="12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1" fontId="51" fillId="0" borderId="72" xfId="0" applyNumberFormat="1" applyFont="1" applyBorder="1" applyAlignment="1">
      <alignment horizontal="center" vertical="center"/>
    </xf>
    <xf numFmtId="0" fontId="50" fillId="31" borderId="71" xfId="0" applyFont="1" applyFill="1" applyBorder="1" applyAlignment="1">
      <alignment horizontal="center" vertical="center"/>
    </xf>
    <xf numFmtId="0" fontId="49" fillId="31" borderId="57" xfId="0" applyFont="1" applyFill="1" applyBorder="1" applyAlignment="1">
      <alignment horizontal="center" vertical="center"/>
    </xf>
    <xf numFmtId="1" fontId="51" fillId="31" borderId="72" xfId="0" applyNumberFormat="1" applyFont="1" applyFill="1" applyBorder="1" applyAlignment="1">
      <alignment horizontal="center" vertical="center"/>
    </xf>
    <xf numFmtId="1" fontId="52" fillId="32" borderId="86" xfId="0" applyNumberFormat="1" applyFont="1" applyFill="1" applyBorder="1" applyAlignment="1">
      <alignment horizontal="center" vertical="center"/>
    </xf>
    <xf numFmtId="1" fontId="52" fillId="32" borderId="88" xfId="0" applyNumberFormat="1" applyFont="1" applyFill="1" applyBorder="1" applyAlignment="1">
      <alignment horizontal="center" vertical="center"/>
    </xf>
    <xf numFmtId="1" fontId="52" fillId="32" borderId="89" xfId="0" applyNumberFormat="1" applyFont="1" applyFill="1" applyBorder="1" applyAlignment="1">
      <alignment horizontal="center" vertical="center"/>
    </xf>
    <xf numFmtId="1" fontId="52" fillId="32" borderId="90" xfId="0" applyNumberFormat="1" applyFont="1" applyFill="1" applyBorder="1" applyAlignment="1">
      <alignment horizontal="center" vertical="center"/>
    </xf>
    <xf numFmtId="1" fontId="52" fillId="32" borderId="13" xfId="0" applyNumberFormat="1" applyFont="1" applyFill="1" applyBorder="1" applyAlignment="1">
      <alignment horizontal="center" vertical="center"/>
    </xf>
    <xf numFmtId="1" fontId="52" fillId="32" borderId="91" xfId="0" applyNumberFormat="1" applyFont="1" applyFill="1" applyBorder="1" applyAlignment="1">
      <alignment horizontal="center" vertical="center"/>
    </xf>
    <xf numFmtId="1" fontId="52" fillId="32" borderId="92" xfId="0" applyNumberFormat="1" applyFont="1" applyFill="1" applyBorder="1" applyAlignment="1">
      <alignment horizontal="center" vertical="center"/>
    </xf>
    <xf numFmtId="49" fontId="3" fillId="10" borderId="93" xfId="0" applyNumberFormat="1" applyFont="1" applyFill="1" applyBorder="1" applyAlignment="1">
      <alignment horizontal="center" vertical="center"/>
    </xf>
    <xf numFmtId="1" fontId="63" fillId="32" borderId="89" xfId="0" applyNumberFormat="1" applyFont="1" applyFill="1" applyBorder="1" applyAlignment="1">
      <alignment horizontal="center" vertical="center"/>
    </xf>
    <xf numFmtId="1" fontId="50" fillId="31" borderId="53" xfId="0" applyNumberFormat="1" applyFont="1" applyFill="1" applyBorder="1" applyAlignment="1">
      <alignment horizontal="center" vertical="center"/>
    </xf>
    <xf numFmtId="1" fontId="13" fillId="0" borderId="53" xfId="0" applyNumberFormat="1" applyFont="1" applyBorder="1" applyAlignment="1">
      <alignment horizontal="center" vertical="center"/>
    </xf>
    <xf numFmtId="1" fontId="49" fillId="0" borderId="54" xfId="0" applyNumberFormat="1" applyFont="1" applyBorder="1" applyAlignment="1">
      <alignment horizontal="center" vertical="center"/>
    </xf>
    <xf numFmtId="1" fontId="49" fillId="31" borderId="54" xfId="0" applyNumberFormat="1" applyFont="1" applyFill="1" applyBorder="1" applyAlignment="1">
      <alignment horizontal="center" vertical="center"/>
    </xf>
    <xf numFmtId="1" fontId="66" fillId="0" borderId="53" xfId="0" applyNumberFormat="1" applyFont="1" applyBorder="1" applyAlignment="1">
      <alignment horizontal="center" vertical="center"/>
    </xf>
    <xf numFmtId="1" fontId="65" fillId="0" borderId="0" xfId="0" applyNumberFormat="1" applyFont="1"/>
    <xf numFmtId="1" fontId="67" fillId="32" borderId="12" xfId="0" applyNumberFormat="1" applyFont="1" applyFill="1" applyBorder="1" applyAlignment="1">
      <alignment horizontal="center" vertical="center"/>
    </xf>
    <xf numFmtId="1" fontId="68" fillId="32" borderId="12" xfId="0" applyNumberFormat="1" applyFont="1" applyFill="1" applyBorder="1" applyAlignment="1">
      <alignment horizontal="center" vertical="center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165" fontId="69" fillId="0" borderId="95" xfId="0" applyNumberFormat="1" applyFont="1" applyFill="1" applyBorder="1" applyAlignment="1">
      <alignment horizontal="center" vertical="center"/>
    </xf>
    <xf numFmtId="165" fontId="69" fillId="2" borderId="95" xfId="0" applyNumberFormat="1" applyFont="1" applyFill="1" applyBorder="1" applyAlignment="1">
      <alignment horizontal="center" vertical="center"/>
    </xf>
    <xf numFmtId="0" fontId="70" fillId="0" borderId="0" xfId="0" applyFont="1"/>
    <xf numFmtId="166" fontId="69" fillId="0" borderId="94" xfId="0" quotePrefix="1" applyNumberFormat="1" applyFont="1" applyFill="1" applyBorder="1" applyAlignment="1">
      <alignment horizontal="center" vertical="center"/>
    </xf>
    <xf numFmtId="166" fontId="69" fillId="0" borderId="95" xfId="0" applyNumberFormat="1" applyFont="1" applyFill="1" applyBorder="1" applyAlignment="1">
      <alignment horizontal="center" vertical="center"/>
    </xf>
    <xf numFmtId="166" fontId="69" fillId="0" borderId="95" xfId="0" quotePrefix="1" applyNumberFormat="1" applyFont="1" applyFill="1" applyBorder="1" applyAlignment="1">
      <alignment horizontal="center" vertical="center"/>
    </xf>
    <xf numFmtId="166" fontId="69" fillId="33" borderId="95" xfId="0" applyNumberFormat="1" applyFont="1" applyFill="1" applyBorder="1" applyAlignment="1">
      <alignment horizontal="center" vertical="center"/>
    </xf>
    <xf numFmtId="0" fontId="6" fillId="12" borderId="0" xfId="0" applyFont="1" applyFill="1" applyBorder="1" applyAlignment="1">
      <alignment horizontal="center" vertical="center"/>
    </xf>
    <xf numFmtId="0" fontId="0" fillId="29" borderId="0" xfId="0" applyFill="1" applyBorder="1" applyAlignment="1">
      <alignment horizontal="center" vertical="center"/>
    </xf>
    <xf numFmtId="0" fontId="3" fillId="14" borderId="0" xfId="0" applyFont="1" applyFill="1" applyBorder="1" applyAlignment="1">
      <alignment horizontal="center" vertical="center"/>
    </xf>
    <xf numFmtId="0" fontId="0" fillId="27" borderId="0" xfId="0" applyFill="1" applyBorder="1" applyAlignment="1">
      <alignment horizontal="center" vertical="center"/>
    </xf>
    <xf numFmtId="0" fontId="0" fillId="30" borderId="0" xfId="0" applyFill="1" applyBorder="1" applyAlignment="1">
      <alignment horizontal="center" vertical="center"/>
    </xf>
    <xf numFmtId="0" fontId="0" fillId="28" borderId="0" xfId="0" applyFill="1" applyBorder="1" applyAlignment="1">
      <alignment horizontal="center" vertical="center"/>
    </xf>
    <xf numFmtId="0" fontId="71" fillId="12" borderId="3" xfId="0" applyFont="1" applyFill="1" applyBorder="1" applyAlignment="1">
      <alignment vertical="center"/>
    </xf>
    <xf numFmtId="0" fontId="71" fillId="12" borderId="4" xfId="0" applyFont="1" applyFill="1" applyBorder="1" applyAlignment="1">
      <alignment vertical="center"/>
    </xf>
    <xf numFmtId="0" fontId="71" fillId="11" borderId="5" xfId="0" applyFont="1" applyFill="1" applyBorder="1" applyAlignment="1">
      <alignment horizontal="center" vertical="center"/>
    </xf>
    <xf numFmtId="0" fontId="71" fillId="12" borderId="3" xfId="0" applyFont="1" applyFill="1" applyBorder="1" applyAlignment="1">
      <alignment horizontal="center" vertical="center"/>
    </xf>
    <xf numFmtId="0" fontId="71" fillId="12" borderId="2" xfId="0" applyFont="1" applyFill="1" applyBorder="1" applyAlignment="1">
      <alignment horizontal="center" vertical="center"/>
    </xf>
    <xf numFmtId="0" fontId="71" fillId="5" borderId="5" xfId="0" applyFont="1" applyFill="1" applyBorder="1" applyAlignment="1">
      <alignment horizontal="center" vertical="center"/>
    </xf>
    <xf numFmtId="0" fontId="71" fillId="12" borderId="4" xfId="0" applyFont="1" applyFill="1" applyBorder="1" applyAlignment="1">
      <alignment horizontal="center" vertical="center"/>
    </xf>
    <xf numFmtId="0" fontId="71" fillId="11" borderId="3" xfId="0" applyFont="1" applyFill="1" applyBorder="1" applyAlignment="1">
      <alignment vertical="center"/>
    </xf>
    <xf numFmtId="0" fontId="71" fillId="11" borderId="2" xfId="0" applyFont="1" applyFill="1" applyBorder="1" applyAlignment="1">
      <alignment horizontal="center" vertical="center"/>
    </xf>
    <xf numFmtId="0" fontId="71" fillId="11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71" fillId="12" borderId="6" xfId="0" applyFont="1" applyFill="1" applyBorder="1" applyAlignment="1">
      <alignment horizontal="center" vertical="center" wrapText="1"/>
    </xf>
    <xf numFmtId="0" fontId="71" fillId="11" borderId="6" xfId="0" applyFont="1" applyFill="1" applyBorder="1" applyAlignment="1">
      <alignment horizontal="center" vertical="center" wrapText="1"/>
    </xf>
    <xf numFmtId="0" fontId="71" fillId="12" borderId="7" xfId="0" applyFont="1" applyFill="1" applyBorder="1" applyAlignment="1">
      <alignment horizontal="center" vertical="center" wrapText="1"/>
    </xf>
    <xf numFmtId="0" fontId="71" fillId="14" borderId="8" xfId="0" applyFont="1" applyFill="1" applyBorder="1" applyAlignment="1">
      <alignment horizontal="center" vertical="center" wrapText="1"/>
    </xf>
    <xf numFmtId="0" fontId="71" fillId="14" borderId="6" xfId="0" applyFont="1" applyFill="1" applyBorder="1" applyAlignment="1">
      <alignment horizontal="center" vertical="center" wrapText="1"/>
    </xf>
    <xf numFmtId="1" fontId="71" fillId="14" borderId="8" xfId="0" applyNumberFormat="1" applyFont="1" applyFill="1" applyBorder="1" applyAlignment="1">
      <alignment horizontal="center" vertical="center" wrapText="1"/>
    </xf>
    <xf numFmtId="0" fontId="71" fillId="12" borderId="8" xfId="0" applyFont="1" applyFill="1" applyBorder="1" applyAlignment="1">
      <alignment horizontal="center" vertical="center" wrapText="1"/>
    </xf>
    <xf numFmtId="0" fontId="71" fillId="5" borderId="6" xfId="0" applyFont="1" applyFill="1" applyBorder="1" applyAlignment="1">
      <alignment horizontal="center" vertical="center" wrapText="1"/>
    </xf>
    <xf numFmtId="0" fontId="72" fillId="12" borderId="58" xfId="0" applyFont="1" applyFill="1" applyBorder="1" applyAlignment="1">
      <alignment horizontal="center" vertical="center" wrapText="1"/>
    </xf>
    <xf numFmtId="0" fontId="71" fillId="12" borderId="49" xfId="0" applyFont="1" applyFill="1" applyBorder="1" applyAlignment="1">
      <alignment horizontal="center" vertical="center" wrapText="1"/>
    </xf>
    <xf numFmtId="0" fontId="71" fillId="12" borderId="64" xfId="0" applyFont="1" applyFill="1" applyBorder="1" applyAlignment="1">
      <alignment horizontal="center" vertical="center" wrapText="1"/>
    </xf>
    <xf numFmtId="1" fontId="71" fillId="12" borderId="64" xfId="0" applyNumberFormat="1" applyFont="1" applyFill="1" applyBorder="1" applyAlignment="1">
      <alignment horizontal="center" vertical="center" wrapText="1"/>
    </xf>
    <xf numFmtId="1" fontId="71" fillId="12" borderId="69" xfId="0" applyNumberFormat="1" applyFont="1" applyFill="1" applyBorder="1" applyAlignment="1">
      <alignment horizontal="center" vertical="center" wrapText="1"/>
    </xf>
    <xf numFmtId="49" fontId="50" fillId="0" borderId="53" xfId="0" applyNumberFormat="1" applyFont="1" applyBorder="1" applyAlignment="1">
      <alignment horizontal="center" vertical="center"/>
    </xf>
    <xf numFmtId="49" fontId="50" fillId="31" borderId="53" xfId="0" applyNumberFormat="1" applyFont="1" applyFill="1" applyBorder="1" applyAlignment="1">
      <alignment horizontal="center" vertical="center"/>
    </xf>
    <xf numFmtId="1" fontId="50" fillId="0" borderId="53" xfId="0" applyNumberFormat="1" applyFont="1" applyBorder="1" applyAlignment="1">
      <alignment horizontal="center" vertical="center"/>
    </xf>
    <xf numFmtId="0" fontId="73" fillId="10" borderId="5" xfId="0" applyFont="1" applyFill="1" applyBorder="1" applyAlignment="1">
      <alignment horizontal="center" vertical="center"/>
    </xf>
    <xf numFmtId="0" fontId="73" fillId="10" borderId="42" xfId="0" applyFont="1" applyFill="1" applyBorder="1" applyAlignment="1">
      <alignment horizontal="center" vertical="center"/>
    </xf>
    <xf numFmtId="1" fontId="52" fillId="32" borderId="41" xfId="0" applyNumberFormat="1" applyFont="1" applyFill="1" applyBorder="1" applyAlignment="1">
      <alignment horizontal="center" vertical="center"/>
    </xf>
    <xf numFmtId="0" fontId="73" fillId="10" borderId="1" xfId="0" applyFont="1" applyFill="1" applyBorder="1" applyAlignment="1">
      <alignment horizontal="center" vertical="center"/>
    </xf>
    <xf numFmtId="1" fontId="50" fillId="0" borderId="71" xfId="0" applyNumberFormat="1" applyFont="1" applyBorder="1" applyAlignment="1">
      <alignment horizontal="center" vertical="center"/>
    </xf>
    <xf numFmtId="1" fontId="50" fillId="31" borderId="71" xfId="0" applyNumberFormat="1" applyFont="1" applyFill="1" applyBorder="1" applyAlignment="1">
      <alignment horizontal="center" vertical="center"/>
    </xf>
    <xf numFmtId="1" fontId="52" fillId="32" borderId="97" xfId="0" applyNumberFormat="1" applyFont="1" applyFill="1" applyBorder="1" applyAlignment="1">
      <alignment horizontal="center" vertical="center"/>
    </xf>
    <xf numFmtId="1" fontId="67" fillId="7" borderId="100" xfId="0" applyNumberFormat="1" applyFont="1" applyFill="1" applyBorder="1" applyAlignment="1">
      <alignment horizontal="center" vertical="center"/>
    </xf>
    <xf numFmtId="1" fontId="68" fillId="7" borderId="100" xfId="0" applyNumberFormat="1" applyFont="1" applyFill="1" applyBorder="1" applyAlignment="1">
      <alignment horizontal="center" vertical="center"/>
    </xf>
    <xf numFmtId="1" fontId="67" fillId="7" borderId="96" xfId="0" applyNumberFormat="1" applyFont="1" applyFill="1" applyBorder="1" applyAlignment="1">
      <alignment horizontal="center" vertical="center"/>
    </xf>
    <xf numFmtId="1" fontId="63" fillId="7" borderId="96" xfId="0" applyNumberFormat="1" applyFont="1" applyFill="1" applyBorder="1" applyAlignment="1">
      <alignment horizontal="center" vertical="center"/>
    </xf>
    <xf numFmtId="1" fontId="53" fillId="7" borderId="99" xfId="0" applyNumberFormat="1" applyFont="1" applyFill="1" applyBorder="1" applyAlignment="1">
      <alignment horizontal="center" vertical="center"/>
    </xf>
    <xf numFmtId="0" fontId="75" fillId="7" borderId="100" xfId="0" applyFont="1" applyFill="1" applyBorder="1" applyAlignment="1">
      <alignment horizontal="center" vertical="center"/>
    </xf>
    <xf numFmtId="1" fontId="74" fillId="7" borderId="100" xfId="0" applyNumberFormat="1" applyFont="1" applyFill="1" applyBorder="1" applyAlignment="1">
      <alignment horizontal="center" vertical="center"/>
    </xf>
    <xf numFmtId="1" fontId="53" fillId="7" borderId="100" xfId="0" applyNumberFormat="1" applyFont="1" applyFill="1" applyBorder="1" applyAlignment="1">
      <alignment horizontal="center" vertical="center"/>
    </xf>
    <xf numFmtId="1" fontId="53" fillId="7" borderId="102" xfId="0" applyNumberFormat="1" applyFont="1" applyFill="1" applyBorder="1" applyAlignment="1">
      <alignment horizontal="center" vertical="center"/>
    </xf>
    <xf numFmtId="0" fontId="75" fillId="7" borderId="96" xfId="0" applyFont="1" applyFill="1" applyBorder="1" applyAlignment="1">
      <alignment horizontal="center" vertical="center"/>
    </xf>
    <xf numFmtId="1" fontId="53" fillId="7" borderId="96" xfId="0" applyNumberFormat="1" applyFont="1" applyFill="1" applyBorder="1" applyAlignment="1">
      <alignment horizontal="center" vertical="center"/>
    </xf>
    <xf numFmtId="1" fontId="74" fillId="7" borderId="96" xfId="0" applyNumberFormat="1" applyFont="1" applyFill="1" applyBorder="1" applyAlignment="1">
      <alignment horizontal="center" vertical="center"/>
    </xf>
    <xf numFmtId="1" fontId="74" fillId="7" borderId="103" xfId="0" applyNumberFormat="1" applyFont="1" applyFill="1" applyBorder="1" applyAlignment="1">
      <alignment horizontal="center" vertical="center"/>
    </xf>
    <xf numFmtId="1" fontId="74" fillId="7" borderId="78" xfId="0" applyNumberFormat="1" applyFont="1" applyFill="1" applyBorder="1" applyAlignment="1">
      <alignment horizontal="center" vertical="center"/>
    </xf>
    <xf numFmtId="1" fontId="68" fillId="7" borderId="103" xfId="0" applyNumberFormat="1" applyFont="1" applyFill="1" applyBorder="1" applyAlignment="1">
      <alignment horizontal="center" vertical="center"/>
    </xf>
    <xf numFmtId="1" fontId="63" fillId="7" borderId="78" xfId="0" applyNumberFormat="1" applyFont="1" applyFill="1" applyBorder="1" applyAlignment="1">
      <alignment horizontal="center" vertical="center"/>
    </xf>
    <xf numFmtId="2" fontId="51" fillId="31" borderId="105" xfId="0" applyNumberFormat="1" applyFont="1" applyFill="1" applyBorder="1" applyAlignment="1">
      <alignment horizontal="center" vertical="center"/>
    </xf>
    <xf numFmtId="2" fontId="57" fillId="0" borderId="105" xfId="0" applyNumberFormat="1" applyFont="1" applyBorder="1" applyAlignment="1">
      <alignment horizontal="center" vertical="center"/>
    </xf>
    <xf numFmtId="2" fontId="62" fillId="12" borderId="105" xfId="0" applyNumberFormat="1" applyFont="1" applyFill="1" applyBorder="1" applyAlignment="1">
      <alignment horizontal="center" vertical="center" wrapText="1"/>
    </xf>
    <xf numFmtId="2" fontId="13" fillId="0" borderId="105" xfId="0" applyNumberFormat="1" applyFont="1" applyBorder="1" applyAlignment="1">
      <alignment horizontal="center" vertical="center"/>
    </xf>
    <xf numFmtId="2" fontId="0" fillId="0" borderId="105" xfId="0" applyNumberFormat="1" applyBorder="1"/>
    <xf numFmtId="2" fontId="64" fillId="2" borderId="85" xfId="0" applyNumberFormat="1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 wrapText="1"/>
    </xf>
    <xf numFmtId="0" fontId="3" fillId="10" borderId="93" xfId="0" applyNumberFormat="1" applyFont="1" applyFill="1" applyBorder="1" applyAlignment="1">
      <alignment horizontal="center" vertical="center"/>
    </xf>
    <xf numFmtId="2" fontId="50" fillId="7" borderId="100" xfId="0" applyNumberFormat="1" applyFont="1" applyFill="1" applyBorder="1" applyAlignment="1">
      <alignment horizontal="center" vertical="center"/>
    </xf>
    <xf numFmtId="2" fontId="50" fillId="7" borderId="96" xfId="0" applyNumberFormat="1" applyFont="1" applyFill="1" applyBorder="1" applyAlignment="1">
      <alignment horizontal="center" vertical="center"/>
    </xf>
    <xf numFmtId="2" fontId="53" fillId="7" borderId="100" xfId="0" applyNumberFormat="1" applyFont="1" applyFill="1" applyBorder="1" applyAlignment="1">
      <alignment horizontal="center" vertical="center"/>
    </xf>
    <xf numFmtId="2" fontId="77" fillId="0" borderId="0" xfId="0" applyNumberFormat="1" applyFont="1"/>
    <xf numFmtId="2" fontId="50" fillId="32" borderId="13" xfId="0" applyNumberFormat="1" applyFont="1" applyFill="1" applyBorder="1" applyAlignment="1">
      <alignment horizontal="center" vertical="center"/>
    </xf>
    <xf numFmtId="2" fontId="50" fillId="32" borderId="97" xfId="0" applyNumberFormat="1" applyFont="1" applyFill="1" applyBorder="1" applyAlignment="1">
      <alignment horizontal="center" vertical="center"/>
    </xf>
    <xf numFmtId="2" fontId="50" fillId="32" borderId="41" xfId="0" applyNumberFormat="1" applyFont="1" applyFill="1" applyBorder="1" applyAlignment="1">
      <alignment horizontal="center" vertical="center"/>
    </xf>
    <xf numFmtId="0" fontId="50" fillId="3" borderId="53" xfId="0" applyFont="1" applyFill="1" applyBorder="1" applyAlignment="1">
      <alignment horizontal="center" vertical="center"/>
    </xf>
    <xf numFmtId="0" fontId="49" fillId="3" borderId="54" xfId="0" applyFont="1" applyFill="1" applyBorder="1" applyAlignment="1">
      <alignment horizontal="center" vertical="center"/>
    </xf>
    <xf numFmtId="1" fontId="51" fillId="3" borderId="66" xfId="0" applyNumberFormat="1" applyFont="1" applyFill="1" applyBorder="1" applyAlignment="1">
      <alignment horizontal="center" vertical="center"/>
    </xf>
    <xf numFmtId="49" fontId="50" fillId="3" borderId="53" xfId="0" applyNumberFormat="1" applyFont="1" applyFill="1" applyBorder="1" applyAlignment="1">
      <alignment horizontal="center" vertical="center"/>
    </xf>
    <xf numFmtId="1" fontId="50" fillId="3" borderId="53" xfId="0" applyNumberFormat="1" applyFont="1" applyFill="1" applyBorder="1" applyAlignment="1">
      <alignment horizontal="center" vertical="center"/>
    </xf>
    <xf numFmtId="1" fontId="50" fillId="3" borderId="71" xfId="0" applyNumberFormat="1" applyFont="1" applyFill="1" applyBorder="1" applyAlignment="1">
      <alignment horizontal="center" vertical="center"/>
    </xf>
    <xf numFmtId="0" fontId="49" fillId="3" borderId="57" xfId="0" applyFont="1" applyFill="1" applyBorder="1" applyAlignment="1">
      <alignment horizontal="center" vertical="center"/>
    </xf>
    <xf numFmtId="1" fontId="51" fillId="3" borderId="72" xfId="0" applyNumberFormat="1" applyFont="1" applyFill="1" applyBorder="1" applyAlignment="1">
      <alignment horizontal="center" vertical="center"/>
    </xf>
    <xf numFmtId="0" fontId="78" fillId="7" borderId="100" xfId="0" applyFont="1" applyFill="1" applyBorder="1" applyAlignment="1">
      <alignment horizontal="center" vertical="center"/>
    </xf>
    <xf numFmtId="1" fontId="50" fillId="31" borderId="55" xfId="0" applyNumberFormat="1" applyFont="1" applyFill="1" applyBorder="1" applyAlignment="1">
      <alignment horizontal="center" vertical="center"/>
    </xf>
    <xf numFmtId="1" fontId="63" fillId="7" borderId="11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/>
    <xf numFmtId="49" fontId="3" fillId="3" borderId="123" xfId="0" applyNumberFormat="1" applyFont="1" applyFill="1" applyBorder="1" applyAlignment="1">
      <alignment horizontal="center" vertical="center"/>
    </xf>
    <xf numFmtId="0" fontId="50" fillId="3" borderId="123" xfId="0" applyFont="1" applyFill="1" applyBorder="1" applyAlignment="1">
      <alignment horizontal="center" vertical="center"/>
    </xf>
    <xf numFmtId="0" fontId="49" fillId="3" borderId="123" xfId="0" applyFont="1" applyFill="1" applyBorder="1" applyAlignment="1">
      <alignment horizontal="center" vertical="center"/>
    </xf>
    <xf numFmtId="1" fontId="51" fillId="3" borderId="123" xfId="0" applyNumberFormat="1" applyFont="1" applyFill="1" applyBorder="1" applyAlignment="1">
      <alignment horizontal="center" vertical="center"/>
    </xf>
    <xf numFmtId="2" fontId="50" fillId="3" borderId="123" xfId="0" applyNumberFormat="1" applyFont="1" applyFill="1" applyBorder="1" applyAlignment="1">
      <alignment horizontal="center" vertical="center"/>
    </xf>
    <xf numFmtId="0" fontId="0" fillId="3" borderId="123" xfId="0" applyFill="1" applyBorder="1"/>
    <xf numFmtId="1" fontId="53" fillId="3" borderId="100" xfId="0" applyNumberFormat="1" applyFont="1" applyFill="1" applyBorder="1" applyAlignment="1">
      <alignment horizontal="center" vertical="center"/>
    </xf>
    <xf numFmtId="0" fontId="75" fillId="3" borderId="100" xfId="0" applyFont="1" applyFill="1" applyBorder="1" applyAlignment="1">
      <alignment horizontal="center" vertical="center"/>
    </xf>
    <xf numFmtId="1" fontId="74" fillId="3" borderId="100" xfId="0" applyNumberFormat="1" applyFont="1" applyFill="1" applyBorder="1" applyAlignment="1">
      <alignment horizontal="center" vertical="center"/>
    </xf>
    <xf numFmtId="2" fontId="78" fillId="3" borderId="100" xfId="0" applyNumberFormat="1" applyFont="1" applyFill="1" applyBorder="1" applyAlignment="1">
      <alignment horizontal="center" vertical="center"/>
    </xf>
    <xf numFmtId="1" fontId="63" fillId="3" borderId="11" xfId="0" applyNumberFormat="1" applyFont="1" applyFill="1" applyBorder="1" applyAlignment="1">
      <alignment horizontal="center" vertical="center"/>
    </xf>
    <xf numFmtId="49" fontId="76" fillId="3" borderId="75" xfId="0" applyNumberFormat="1" applyFont="1" applyFill="1" applyBorder="1" applyAlignment="1">
      <alignment horizontal="center" vertical="center" textRotation="90"/>
    </xf>
    <xf numFmtId="1" fontId="53" fillId="7" borderId="0" xfId="0" applyNumberFormat="1" applyFont="1" applyFill="1" applyBorder="1" applyAlignment="1">
      <alignment horizontal="center" vertical="center"/>
    </xf>
    <xf numFmtId="0" fontId="75" fillId="7" borderId="0" xfId="0" applyFont="1" applyFill="1" applyBorder="1" applyAlignment="1">
      <alignment horizontal="center" vertical="center"/>
    </xf>
    <xf numFmtId="1" fontId="74" fillId="7" borderId="0" xfId="0" applyNumberFormat="1" applyFont="1" applyFill="1" applyBorder="1" applyAlignment="1">
      <alignment horizontal="center" vertical="center"/>
    </xf>
    <xf numFmtId="2" fontId="78" fillId="7" borderId="0" xfId="0" applyNumberFormat="1" applyFont="1" applyFill="1" applyBorder="1" applyAlignment="1">
      <alignment horizontal="center" vertical="center"/>
    </xf>
    <xf numFmtId="0" fontId="50" fillId="3" borderId="125" xfId="0" applyFont="1" applyFill="1" applyBorder="1" applyAlignment="1">
      <alignment horizontal="center" vertical="center"/>
    </xf>
    <xf numFmtId="0" fontId="49" fillId="3" borderId="126" xfId="0" applyFont="1" applyFill="1" applyBorder="1" applyAlignment="1">
      <alignment horizontal="center" vertical="center"/>
    </xf>
    <xf numFmtId="1" fontId="51" fillId="3" borderId="127" xfId="0" applyNumberFormat="1" applyFont="1" applyFill="1" applyBorder="1" applyAlignment="1">
      <alignment horizontal="center" vertical="center"/>
    </xf>
    <xf numFmtId="2" fontId="50" fillId="32" borderId="128" xfId="0" applyNumberFormat="1" applyFont="1" applyFill="1" applyBorder="1" applyAlignment="1">
      <alignment horizontal="center" vertical="center"/>
    </xf>
    <xf numFmtId="1" fontId="50" fillId="3" borderId="125" xfId="0" applyNumberFormat="1" applyFont="1" applyFill="1" applyBorder="1" applyAlignment="1">
      <alignment horizontal="center" vertical="center"/>
    </xf>
    <xf numFmtId="1" fontId="50" fillId="3" borderId="130" xfId="0" applyNumberFormat="1" applyFont="1" applyFill="1" applyBorder="1" applyAlignment="1">
      <alignment horizontal="center" vertical="center"/>
    </xf>
    <xf numFmtId="0" fontId="49" fillId="3" borderId="131" xfId="0" applyFont="1" applyFill="1" applyBorder="1" applyAlignment="1">
      <alignment horizontal="center" vertical="center"/>
    </xf>
    <xf numFmtId="1" fontId="51" fillId="3" borderId="132" xfId="0" applyNumberFormat="1" applyFont="1" applyFill="1" applyBorder="1" applyAlignment="1">
      <alignment horizontal="center" vertical="center"/>
    </xf>
    <xf numFmtId="2" fontId="50" fillId="32" borderId="133" xfId="0" applyNumberFormat="1" applyFont="1" applyFill="1" applyBorder="1" applyAlignment="1">
      <alignment horizontal="center" vertical="center"/>
    </xf>
    <xf numFmtId="1" fontId="50" fillId="31" borderId="137" xfId="0" applyNumberFormat="1" applyFont="1" applyFill="1" applyBorder="1" applyAlignment="1">
      <alignment horizontal="center" vertical="center"/>
    </xf>
    <xf numFmtId="0" fontId="49" fillId="0" borderId="138" xfId="0" applyFont="1" applyBorder="1" applyAlignment="1">
      <alignment horizontal="center" vertical="center"/>
    </xf>
    <xf numFmtId="1" fontId="51" fillId="31" borderId="139" xfId="0" applyNumberFormat="1" applyFont="1" applyFill="1" applyBorder="1" applyAlignment="1">
      <alignment horizontal="center" vertical="center"/>
    </xf>
    <xf numFmtId="2" fontId="50" fillId="32" borderId="140" xfId="0" applyNumberFormat="1" applyFont="1" applyFill="1" applyBorder="1" applyAlignment="1">
      <alignment horizontal="center" vertical="center"/>
    </xf>
    <xf numFmtId="1" fontId="52" fillId="32" borderId="141" xfId="0" applyNumberFormat="1" applyFont="1" applyFill="1" applyBorder="1" applyAlignment="1">
      <alignment horizontal="center" vertical="center"/>
    </xf>
    <xf numFmtId="0" fontId="0" fillId="3" borderId="96" xfId="0" applyFill="1" applyBorder="1"/>
    <xf numFmtId="1" fontId="50" fillId="31" borderId="79" xfId="0" applyNumberFormat="1" applyFont="1" applyFill="1" applyBorder="1" applyAlignment="1">
      <alignment horizontal="center" vertical="center"/>
    </xf>
    <xf numFmtId="0" fontId="79" fillId="0" borderId="144" xfId="0" applyFont="1" applyBorder="1" applyAlignment="1">
      <alignment horizontal="center" vertical="center"/>
    </xf>
    <xf numFmtId="0" fontId="49" fillId="0" borderId="145" xfId="0" applyFont="1" applyBorder="1" applyAlignment="1">
      <alignment horizontal="center" vertical="center"/>
    </xf>
    <xf numFmtId="0" fontId="79" fillId="0" borderId="146" xfId="0" applyFont="1" applyBorder="1" applyAlignment="1">
      <alignment horizontal="center" vertical="center"/>
    </xf>
    <xf numFmtId="1" fontId="51" fillId="31" borderId="89" xfId="0" applyNumberFormat="1" applyFont="1" applyFill="1" applyBorder="1" applyAlignment="1">
      <alignment horizontal="center" vertical="center"/>
    </xf>
    <xf numFmtId="0" fontId="63" fillId="0" borderId="144" xfId="0" applyFont="1" applyBorder="1" applyAlignment="1">
      <alignment horizontal="center" vertical="center"/>
    </xf>
    <xf numFmtId="1" fontId="50" fillId="31" borderId="152" xfId="0" applyNumberFormat="1" applyFont="1" applyFill="1" applyBorder="1" applyAlignment="1">
      <alignment horizontal="center" vertical="center"/>
    </xf>
    <xf numFmtId="1" fontId="51" fillId="31" borderId="92" xfId="0" applyNumberFormat="1" applyFont="1" applyFill="1" applyBorder="1" applyAlignment="1">
      <alignment horizontal="center" vertical="center"/>
    </xf>
    <xf numFmtId="0" fontId="63" fillId="0" borderId="146" xfId="0" applyFont="1" applyBorder="1" applyAlignment="1">
      <alignment horizontal="center" vertical="center"/>
    </xf>
    <xf numFmtId="1" fontId="50" fillId="31" borderId="50" xfId="0" applyNumberFormat="1" applyFont="1" applyFill="1" applyBorder="1" applyAlignment="1">
      <alignment horizontal="center" vertical="center"/>
    </xf>
    <xf numFmtId="0" fontId="79" fillId="0" borderId="143" xfId="0" applyFont="1" applyBorder="1" applyAlignment="1">
      <alignment horizontal="center" vertical="center"/>
    </xf>
    <xf numFmtId="1" fontId="51" fillId="31" borderId="147" xfId="0" applyNumberFormat="1" applyFont="1" applyFill="1" applyBorder="1" applyAlignment="1">
      <alignment horizontal="center" vertical="center"/>
    </xf>
    <xf numFmtId="0" fontId="63" fillId="0" borderId="143" xfId="0" applyFont="1" applyBorder="1" applyAlignment="1">
      <alignment horizontal="center" vertical="center"/>
    </xf>
    <xf numFmtId="0" fontId="44" fillId="12" borderId="147" xfId="0" applyFont="1" applyFill="1" applyBorder="1" applyAlignment="1">
      <alignment horizontal="center" vertical="center" wrapText="1"/>
    </xf>
    <xf numFmtId="0" fontId="44" fillId="12" borderId="143" xfId="0" applyFont="1" applyFill="1" applyBorder="1" applyAlignment="1">
      <alignment horizontal="center" vertical="center" wrapText="1"/>
    </xf>
    <xf numFmtId="0" fontId="53" fillId="3" borderId="154" xfId="0" applyFont="1" applyFill="1" applyBorder="1" applyAlignment="1">
      <alignment horizontal="center" vertical="center"/>
    </xf>
    <xf numFmtId="0" fontId="53" fillId="3" borderId="155" xfId="0" applyFont="1" applyFill="1" applyBorder="1" applyAlignment="1">
      <alignment horizontal="center" vertical="center"/>
    </xf>
    <xf numFmtId="0" fontId="58" fillId="3" borderId="155" xfId="0" applyFont="1" applyFill="1" applyBorder="1" applyAlignment="1">
      <alignment horizontal="center" vertical="center"/>
    </xf>
    <xf numFmtId="0" fontId="53" fillId="3" borderId="156" xfId="0" applyFont="1" applyFill="1" applyBorder="1" applyAlignment="1">
      <alignment horizontal="center" vertical="center"/>
    </xf>
    <xf numFmtId="1" fontId="52" fillId="3" borderId="96" xfId="0" applyNumberFormat="1" applyFont="1" applyFill="1" applyBorder="1" applyAlignment="1">
      <alignment horizontal="center" vertical="center"/>
    </xf>
    <xf numFmtId="49" fontId="3" fillId="3" borderId="96" xfId="0" applyNumberFormat="1" applyFont="1" applyFill="1" applyBorder="1" applyAlignment="1">
      <alignment horizontal="center" vertical="center"/>
    </xf>
    <xf numFmtId="0" fontId="50" fillId="3" borderId="96" xfId="0" applyFont="1" applyFill="1" applyBorder="1" applyAlignment="1">
      <alignment horizontal="center" vertical="center"/>
    </xf>
    <xf numFmtId="0" fontId="49" fillId="3" borderId="96" xfId="0" applyFont="1" applyFill="1" applyBorder="1" applyAlignment="1">
      <alignment horizontal="center" vertical="center"/>
    </xf>
    <xf numFmtId="1" fontId="51" fillId="3" borderId="96" xfId="0" applyNumberFormat="1" applyFont="1" applyFill="1" applyBorder="1" applyAlignment="1">
      <alignment horizontal="center" vertical="center"/>
    </xf>
    <xf numFmtId="2" fontId="50" fillId="3" borderId="9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0" fillId="31" borderId="172" xfId="0" applyFont="1" applyFill="1" applyBorder="1" applyAlignment="1">
      <alignment horizontal="center" vertical="center"/>
    </xf>
    <xf numFmtId="0" fontId="49" fillId="31" borderId="173" xfId="0" applyFont="1" applyFill="1" applyBorder="1" applyAlignment="1">
      <alignment horizontal="center" vertical="center"/>
    </xf>
    <xf numFmtId="2" fontId="50" fillId="32" borderId="76" xfId="0" applyNumberFormat="1" applyFont="1" applyFill="1" applyBorder="1" applyAlignment="1">
      <alignment horizontal="center" vertical="center"/>
    </xf>
    <xf numFmtId="0" fontId="50" fillId="31" borderId="123" xfId="0" applyFont="1" applyFill="1" applyBorder="1" applyAlignment="1">
      <alignment horizontal="center" vertical="center"/>
    </xf>
    <xf numFmtId="1" fontId="52" fillId="3" borderId="174" xfId="0" applyNumberFormat="1" applyFont="1" applyFill="1" applyBorder="1" applyAlignment="1">
      <alignment horizontal="center" vertical="center"/>
    </xf>
    <xf numFmtId="49" fontId="56" fillId="10" borderId="5" xfId="0" applyNumberFormat="1" applyFont="1" applyFill="1" applyBorder="1" applyAlignment="1">
      <alignment horizontal="center" vertical="center"/>
    </xf>
    <xf numFmtId="0" fontId="56" fillId="10" borderId="5" xfId="0" applyNumberFormat="1" applyFont="1" applyFill="1" applyBorder="1" applyAlignment="1">
      <alignment horizontal="center" vertical="center"/>
    </xf>
    <xf numFmtId="0" fontId="87" fillId="0" borderId="0" xfId="0" applyFont="1"/>
    <xf numFmtId="2" fontId="88" fillId="0" borderId="0" xfId="0" applyNumberFormat="1" applyFont="1"/>
    <xf numFmtId="0" fontId="0" fillId="0" borderId="0" xfId="0" applyAlignment="1" applyProtection="1"/>
    <xf numFmtId="0" fontId="3" fillId="3" borderId="5" xfId="0" applyFont="1" applyFill="1" applyBorder="1" applyAlignment="1" applyProtection="1">
      <alignment horizontal="center" vertical="center"/>
      <protection locked="0"/>
    </xf>
    <xf numFmtId="0" fontId="87" fillId="0" borderId="6" xfId="0" applyFont="1" applyBorder="1"/>
    <xf numFmtId="0" fontId="87" fillId="0" borderId="5" xfId="0" applyFont="1" applyBorder="1"/>
    <xf numFmtId="0" fontId="87" fillId="0" borderId="1" xfId="0" applyFont="1" applyBorder="1"/>
    <xf numFmtId="0" fontId="7" fillId="10" borderId="5" xfId="0" applyFont="1" applyFill="1" applyBorder="1" applyAlignment="1">
      <alignment horizontal="center" vertical="center"/>
    </xf>
    <xf numFmtId="0" fontId="70" fillId="0" borderId="5" xfId="0" applyFont="1" applyBorder="1"/>
    <xf numFmtId="0" fontId="70" fillId="0" borderId="1" xfId="0" applyFont="1" applyBorder="1"/>
    <xf numFmtId="0" fontId="79" fillId="3" borderId="6" xfId="0" applyFont="1" applyFill="1" applyBorder="1" applyAlignment="1">
      <alignment horizontal="center" vertical="center"/>
    </xf>
    <xf numFmtId="0" fontId="79" fillId="3" borderId="5" xfId="0" applyFont="1" applyFill="1" applyBorder="1" applyAlignment="1">
      <alignment horizontal="center" vertical="center"/>
    </xf>
    <xf numFmtId="1" fontId="63" fillId="3" borderId="6" xfId="0" applyNumberFormat="1" applyFont="1" applyFill="1" applyBorder="1" applyAlignment="1">
      <alignment horizontal="center" vertical="center"/>
    </xf>
    <xf numFmtId="1" fontId="63" fillId="3" borderId="5" xfId="0" applyNumberFormat="1" applyFont="1" applyFill="1" applyBorder="1" applyAlignment="1">
      <alignment horizontal="center" vertical="center"/>
    </xf>
    <xf numFmtId="0" fontId="50" fillId="0" borderId="114" xfId="0" applyFont="1" applyBorder="1" applyAlignment="1">
      <alignment horizontal="center" vertical="center"/>
    </xf>
    <xf numFmtId="0" fontId="89" fillId="0" borderId="115" xfId="0" applyFont="1" applyBorder="1" applyAlignment="1">
      <alignment horizontal="center" vertical="center"/>
    </xf>
    <xf numFmtId="2" fontId="90" fillId="31" borderId="115" xfId="0" applyNumberFormat="1" applyFont="1" applyFill="1" applyBorder="1" applyAlignment="1">
      <alignment horizontal="center" vertical="center"/>
    </xf>
    <xf numFmtId="0" fontId="51" fillId="31" borderId="115" xfId="0" applyFont="1" applyFill="1" applyBorder="1" applyAlignment="1">
      <alignment horizontal="center" vertical="center"/>
    </xf>
    <xf numFmtId="167" fontId="52" fillId="0" borderId="176" xfId="0" applyNumberFormat="1" applyFont="1" applyFill="1" applyBorder="1" applyAlignment="1">
      <alignment horizontal="center" vertical="center"/>
    </xf>
    <xf numFmtId="167" fontId="52" fillId="0" borderId="116" xfId="0" applyNumberFormat="1" applyFont="1" applyFill="1" applyBorder="1" applyAlignment="1">
      <alignment horizontal="center" vertical="center"/>
    </xf>
    <xf numFmtId="0" fontId="50" fillId="0" borderId="117" xfId="0" applyFont="1" applyBorder="1" applyAlignment="1">
      <alignment horizontal="center" vertical="center"/>
    </xf>
    <xf numFmtId="0" fontId="89" fillId="0" borderId="118" xfId="0" applyFont="1" applyBorder="1" applyAlignment="1">
      <alignment horizontal="center" vertical="center"/>
    </xf>
    <xf numFmtId="2" fontId="90" fillId="31" borderId="118" xfId="0" applyNumberFormat="1" applyFont="1" applyFill="1" applyBorder="1" applyAlignment="1">
      <alignment horizontal="center" vertical="center"/>
    </xf>
    <xf numFmtId="0" fontId="51" fillId="31" borderId="118" xfId="0" applyFont="1" applyFill="1" applyBorder="1" applyAlignment="1">
      <alignment horizontal="center" vertical="center"/>
    </xf>
    <xf numFmtId="167" fontId="52" fillId="0" borderId="119" xfId="0" applyNumberFormat="1" applyFont="1" applyFill="1" applyBorder="1" applyAlignment="1">
      <alignment horizontal="center" vertical="center"/>
    </xf>
    <xf numFmtId="0" fontId="67" fillId="0" borderId="161" xfId="0" applyFont="1" applyFill="1" applyBorder="1" applyAlignment="1">
      <alignment horizontal="center" vertical="center"/>
    </xf>
    <xf numFmtId="0" fontId="67" fillId="0" borderId="162" xfId="0" applyFont="1" applyFill="1" applyBorder="1" applyAlignment="1">
      <alignment horizontal="center" vertical="center"/>
    </xf>
    <xf numFmtId="1" fontId="51" fillId="0" borderId="120" xfId="0" applyNumberFormat="1" applyFont="1" applyFill="1" applyBorder="1" applyAlignment="1">
      <alignment horizontal="center" vertical="center"/>
    </xf>
    <xf numFmtId="1" fontId="51" fillId="0" borderId="122" xfId="0" applyNumberFormat="1" applyFont="1" applyFill="1" applyBorder="1" applyAlignment="1">
      <alignment horizontal="center" vertical="center"/>
    </xf>
    <xf numFmtId="1" fontId="52" fillId="32" borderId="176" xfId="0" applyNumberFormat="1" applyFont="1" applyFill="1" applyBorder="1" applyAlignment="1">
      <alignment horizontal="center" vertical="center"/>
    </xf>
    <xf numFmtId="1" fontId="91" fillId="0" borderId="114" xfId="0" applyNumberFormat="1" applyFont="1" applyFill="1" applyBorder="1" applyAlignment="1">
      <alignment horizontal="center" vertical="center"/>
    </xf>
    <xf numFmtId="1" fontId="52" fillId="32" borderId="116" xfId="0" applyNumberFormat="1" applyFont="1" applyFill="1" applyBorder="1" applyAlignment="1">
      <alignment horizontal="center" vertical="center"/>
    </xf>
    <xf numFmtId="0" fontId="91" fillId="0" borderId="114" xfId="0" applyFont="1" applyFill="1" applyBorder="1" applyAlignment="1">
      <alignment horizontal="center" vertical="center"/>
    </xf>
    <xf numFmtId="0" fontId="91" fillId="0" borderId="117" xfId="0" applyFont="1" applyFill="1" applyBorder="1" applyAlignment="1">
      <alignment horizontal="center" vertical="center"/>
    </xf>
    <xf numFmtId="1" fontId="52" fillId="32" borderId="119" xfId="0" applyNumberFormat="1" applyFont="1" applyFill="1" applyBorder="1" applyAlignment="1">
      <alignment horizontal="center" vertical="center"/>
    </xf>
    <xf numFmtId="0" fontId="50" fillId="0" borderId="177" xfId="0" applyFont="1" applyBorder="1" applyAlignment="1">
      <alignment horizontal="center" vertical="center"/>
    </xf>
    <xf numFmtId="0" fontId="89" fillId="0" borderId="175" xfId="0" applyFont="1" applyBorder="1" applyAlignment="1">
      <alignment horizontal="center" vertical="center"/>
    </xf>
    <xf numFmtId="2" fontId="90" fillId="31" borderId="175" xfId="0" applyNumberFormat="1" applyFont="1" applyFill="1" applyBorder="1" applyAlignment="1">
      <alignment horizontal="center" vertical="center"/>
    </xf>
    <xf numFmtId="0" fontId="51" fillId="31" borderId="175" xfId="0" applyFont="1" applyFill="1" applyBorder="1" applyAlignment="1">
      <alignment horizontal="center" vertical="center"/>
    </xf>
    <xf numFmtId="0" fontId="67" fillId="0" borderId="178" xfId="0" applyFont="1" applyFill="1" applyBorder="1" applyAlignment="1">
      <alignment horizontal="center" vertical="center"/>
    </xf>
    <xf numFmtId="1" fontId="91" fillId="0" borderId="177" xfId="0" applyNumberFormat="1" applyFont="1" applyFill="1" applyBorder="1" applyAlignment="1">
      <alignment horizontal="center" vertical="center"/>
    </xf>
    <xf numFmtId="1" fontId="51" fillId="0" borderId="179" xfId="0" applyNumberFormat="1" applyFont="1" applyFill="1" applyBorder="1" applyAlignment="1">
      <alignment horizontal="center" vertical="center"/>
    </xf>
    <xf numFmtId="0" fontId="44" fillId="12" borderId="180" xfId="0" applyFont="1" applyFill="1" applyBorder="1" applyAlignment="1">
      <alignment horizontal="center" vertical="center" wrapText="1"/>
    </xf>
    <xf numFmtId="0" fontId="44" fillId="12" borderId="181" xfId="0" applyFont="1" applyFill="1" applyBorder="1" applyAlignment="1">
      <alignment horizontal="center" vertical="center" wrapText="1"/>
    </xf>
    <xf numFmtId="1" fontId="44" fillId="12" borderId="142" xfId="0" applyNumberFormat="1" applyFont="1" applyFill="1" applyBorder="1" applyAlignment="1">
      <alignment horizontal="center" vertical="center" wrapText="1"/>
    </xf>
    <xf numFmtId="0" fontId="44" fillId="12" borderId="182" xfId="0" applyFont="1" applyFill="1" applyBorder="1" applyAlignment="1">
      <alignment horizontal="center" vertical="center" wrapText="1"/>
    </xf>
    <xf numFmtId="1" fontId="44" fillId="12" borderId="180" xfId="0" applyNumberFormat="1" applyFont="1" applyFill="1" applyBorder="1" applyAlignment="1">
      <alignment horizontal="center" vertical="center" wrapText="1"/>
    </xf>
    <xf numFmtId="1" fontId="49" fillId="3" borderId="131" xfId="0" applyNumberFormat="1" applyFont="1" applyFill="1" applyBorder="1" applyAlignment="1">
      <alignment horizontal="center" vertical="center"/>
    </xf>
    <xf numFmtId="0" fontId="56" fillId="10" borderId="5" xfId="0" applyFont="1" applyFill="1" applyBorder="1" applyAlignment="1">
      <alignment horizontal="center" vertical="center"/>
    </xf>
    <xf numFmtId="0" fontId="56" fillId="10" borderId="124" xfId="0" applyFont="1" applyFill="1" applyBorder="1" applyAlignment="1">
      <alignment horizontal="center" vertical="center"/>
    </xf>
    <xf numFmtId="0" fontId="56" fillId="10" borderId="129" xfId="0" applyFont="1" applyFill="1" applyBorder="1" applyAlignment="1">
      <alignment horizontal="center" vertical="center"/>
    </xf>
    <xf numFmtId="0" fontId="56" fillId="10" borderId="136" xfId="0" applyFont="1" applyFill="1" applyBorder="1" applyAlignment="1">
      <alignment horizontal="center" vertical="center"/>
    </xf>
    <xf numFmtId="0" fontId="46" fillId="10" borderId="5" xfId="0" applyFont="1" applyFill="1" applyBorder="1" applyAlignment="1">
      <alignment horizontal="center" vertical="center"/>
    </xf>
    <xf numFmtId="49" fontId="94" fillId="3" borderId="98" xfId="0" applyNumberFormat="1" applyFont="1" applyFill="1" applyBorder="1" applyAlignment="1">
      <alignment vertical="center" textRotation="90"/>
    </xf>
    <xf numFmtId="0" fontId="46" fillId="10" borderId="124" xfId="0" applyFont="1" applyFill="1" applyBorder="1" applyAlignment="1">
      <alignment horizontal="center" vertical="center"/>
    </xf>
    <xf numFmtId="0" fontId="46" fillId="10" borderId="129" xfId="0" applyFont="1" applyFill="1" applyBorder="1" applyAlignment="1">
      <alignment horizontal="center" vertical="center"/>
    </xf>
    <xf numFmtId="49" fontId="94" fillId="2" borderId="135" xfId="0" applyNumberFormat="1" applyFont="1" applyFill="1" applyBorder="1" applyAlignment="1">
      <alignment horizontal="center" vertical="center" textRotation="90"/>
    </xf>
    <xf numFmtId="49" fontId="94" fillId="2" borderId="86" xfId="0" applyNumberFormat="1" applyFont="1" applyFill="1" applyBorder="1" applyAlignment="1">
      <alignment horizontal="center" vertical="center" textRotation="90"/>
    </xf>
    <xf numFmtId="0" fontId="46" fillId="10" borderId="136" xfId="0" applyFont="1" applyFill="1" applyBorder="1" applyAlignment="1">
      <alignment horizontal="center" vertical="center"/>
    </xf>
    <xf numFmtId="0" fontId="56" fillId="10" borderId="1" xfId="0" applyFont="1" applyFill="1" applyBorder="1" applyAlignment="1">
      <alignment horizontal="center" vertical="center"/>
    </xf>
    <xf numFmtId="1" fontId="64" fillId="7" borderId="100" xfId="0" applyNumberFormat="1" applyFont="1" applyFill="1" applyBorder="1" applyAlignment="1">
      <alignment horizontal="center" vertical="center"/>
    </xf>
    <xf numFmtId="1" fontId="64" fillId="7" borderId="0" xfId="0" applyNumberFormat="1" applyFont="1" applyFill="1" applyBorder="1" applyAlignment="1">
      <alignment horizontal="center" vertical="center"/>
    </xf>
    <xf numFmtId="0" fontId="71" fillId="5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9" borderId="5" xfId="0" applyFont="1" applyFill="1" applyBorder="1" applyAlignment="1" applyProtection="1">
      <alignment horizontal="center" vertical="center"/>
      <protection locked="0"/>
    </xf>
    <xf numFmtId="0" fontId="14" fillId="8" borderId="1" xfId="0" applyFont="1" applyFill="1" applyBorder="1" applyAlignment="1" applyProtection="1">
      <alignment horizontal="center" vertical="center"/>
      <protection locked="0"/>
    </xf>
    <xf numFmtId="0" fontId="95" fillId="13" borderId="10" xfId="0" applyFont="1" applyFill="1" applyBorder="1" applyAlignment="1" applyProtection="1">
      <alignment horizontal="center" vertical="center"/>
    </xf>
    <xf numFmtId="0" fontId="95" fillId="13" borderId="9" xfId="0" applyFont="1" applyFill="1" applyBorder="1" applyAlignment="1" applyProtection="1">
      <alignment horizontal="center" vertical="center"/>
    </xf>
    <xf numFmtId="1" fontId="14" fillId="13" borderId="11" xfId="0" applyNumberFormat="1" applyFont="1" applyFill="1" applyBorder="1" applyAlignment="1" applyProtection="1">
      <alignment horizontal="center" vertical="center"/>
    </xf>
    <xf numFmtId="0" fontId="14" fillId="10" borderId="12" xfId="0" applyNumberFormat="1" applyFont="1" applyFill="1" applyBorder="1" applyAlignment="1" applyProtection="1">
      <alignment horizontal="center" vertical="center"/>
      <protection locked="0"/>
    </xf>
    <xf numFmtId="166" fontId="96" fillId="10" borderId="5" xfId="0" applyNumberFormat="1" applyFont="1" applyFill="1" applyBorder="1" applyAlignment="1" applyProtection="1">
      <alignment horizontal="center" vertical="center"/>
      <protection locked="0"/>
    </xf>
    <xf numFmtId="0" fontId="95" fillId="13" borderId="6" xfId="0" applyFont="1" applyFill="1" applyBorder="1" applyAlignment="1" applyProtection="1">
      <alignment horizontal="center" vertical="center"/>
    </xf>
    <xf numFmtId="2" fontId="51" fillId="31" borderId="0" xfId="0" applyNumberFormat="1" applyFont="1" applyFill="1" applyBorder="1" applyAlignment="1">
      <alignment horizontal="center" vertical="center"/>
    </xf>
    <xf numFmtId="0" fontId="3" fillId="6" borderId="5" xfId="0" applyNumberFormat="1" applyFont="1" applyFill="1" applyBorder="1" applyAlignment="1" applyProtection="1">
      <alignment horizontal="center" vertical="center"/>
      <protection locked="0"/>
    </xf>
    <xf numFmtId="12" fontId="3" fillId="10" borderId="0" xfId="0" applyNumberFormat="1" applyFont="1" applyFill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1" fontId="51" fillId="0" borderId="0" xfId="0" applyNumberFormat="1" applyFont="1" applyBorder="1" applyAlignment="1">
      <alignment horizontal="center" vertical="center"/>
    </xf>
    <xf numFmtId="0" fontId="50" fillId="31" borderId="0" xfId="0" applyFont="1" applyFill="1" applyBorder="1" applyAlignment="1">
      <alignment horizontal="center" vertical="center"/>
    </xf>
    <xf numFmtId="0" fontId="49" fillId="31" borderId="0" xfId="0" applyFont="1" applyFill="1" applyBorder="1" applyAlignment="1">
      <alignment horizontal="center" vertical="center"/>
    </xf>
    <xf numFmtId="1" fontId="51" fillId="31" borderId="0" xfId="0" applyNumberFormat="1" applyFont="1" applyFill="1" applyBorder="1" applyAlignment="1">
      <alignment horizontal="center" vertical="center"/>
    </xf>
    <xf numFmtId="2" fontId="64" fillId="2" borderId="0" xfId="0" applyNumberFormat="1" applyFont="1" applyFill="1" applyBorder="1" applyAlignment="1">
      <alignment horizontal="center" vertical="center"/>
    </xf>
    <xf numFmtId="1" fontId="64" fillId="4" borderId="85" xfId="0" applyNumberFormat="1" applyFont="1" applyFill="1" applyBorder="1" applyAlignment="1">
      <alignment horizontal="center" vertical="center"/>
    </xf>
    <xf numFmtId="1" fontId="63" fillId="4" borderId="85" xfId="0" applyNumberFormat="1" applyFont="1" applyFill="1" applyBorder="1" applyAlignment="1">
      <alignment horizontal="center" vertical="center"/>
    </xf>
    <xf numFmtId="1" fontId="57" fillId="4" borderId="85" xfId="0" applyNumberFormat="1" applyFont="1" applyFill="1" applyBorder="1" applyAlignment="1">
      <alignment horizontal="center" vertical="center"/>
    </xf>
    <xf numFmtId="49" fontId="56" fillId="4" borderId="87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5" fillId="13" borderId="9" xfId="0" applyFont="1" applyFill="1" applyBorder="1" applyAlignment="1" applyProtection="1">
      <alignment horizontal="center" vertical="center"/>
    </xf>
    <xf numFmtId="0" fontId="3" fillId="8" borderId="10" xfId="0" applyNumberFormat="1" applyFont="1" applyFill="1" applyBorder="1" applyAlignment="1" applyProtection="1">
      <alignment horizontal="center" vertical="center"/>
    </xf>
    <xf numFmtId="1" fontId="3" fillId="8" borderId="11" xfId="0" applyNumberFormat="1" applyFont="1" applyFill="1" applyBorder="1" applyAlignment="1" applyProtection="1">
      <alignment horizontal="center" vertical="center"/>
    </xf>
    <xf numFmtId="1" fontId="3" fillId="13" borderId="11" xfId="0" applyNumberFormat="1" applyFont="1" applyFill="1" applyBorder="1" applyAlignment="1" applyProtection="1">
      <alignment horizontal="center" vertical="center"/>
    </xf>
    <xf numFmtId="0" fontId="3" fillId="10" borderId="12" xfId="0" applyNumberFormat="1" applyFont="1" applyFill="1" applyBorder="1" applyAlignment="1" applyProtection="1">
      <alignment horizontal="center" vertical="center"/>
      <protection locked="0"/>
    </xf>
    <xf numFmtId="166" fontId="73" fillId="10" borderId="5" xfId="0" applyNumberFormat="1" applyFont="1" applyFill="1" applyBorder="1" applyAlignment="1" applyProtection="1">
      <alignment horizontal="center" vertical="center"/>
      <protection locked="0"/>
    </xf>
    <xf numFmtId="0" fontId="3" fillId="9" borderId="6" xfId="0" applyFont="1" applyFill="1" applyBorder="1" applyAlignment="1" applyProtection="1">
      <alignment horizontal="center" vertical="center"/>
      <protection locked="0"/>
    </xf>
    <xf numFmtId="0" fontId="30" fillId="23" borderId="5" xfId="2" applyFont="1" applyFill="1" applyAlignment="1">
      <alignment horizontal="center" vertical="center"/>
    </xf>
    <xf numFmtId="0" fontId="30" fillId="23" borderId="1" xfId="2" applyFont="1" applyFill="1" applyBorder="1" applyAlignment="1">
      <alignment horizontal="center" vertical="center"/>
    </xf>
    <xf numFmtId="0" fontId="30" fillId="23" borderId="9" xfId="2" applyFont="1" applyFill="1" applyBorder="1" applyAlignment="1">
      <alignment horizontal="center" vertical="center"/>
    </xf>
    <xf numFmtId="0" fontId="30" fillId="23" borderId="6" xfId="2" applyFont="1" applyFill="1" applyBorder="1" applyAlignment="1">
      <alignment horizontal="center" vertical="center"/>
    </xf>
    <xf numFmtId="0" fontId="30" fillId="20" borderId="1" xfId="2" applyFont="1" applyFill="1" applyBorder="1" applyAlignment="1">
      <alignment horizontal="center" vertical="center"/>
    </xf>
    <xf numFmtId="0" fontId="30" fillId="20" borderId="9" xfId="2" applyFont="1" applyFill="1" applyBorder="1" applyAlignment="1">
      <alignment horizontal="center" vertical="center"/>
    </xf>
    <xf numFmtId="0" fontId="30" fillId="20" borderId="30" xfId="2" applyFont="1" applyFill="1" applyBorder="1" applyAlignment="1">
      <alignment horizontal="center" vertical="center"/>
    </xf>
    <xf numFmtId="0" fontId="30" fillId="20" borderId="31" xfId="2" applyFont="1" applyFill="1" applyBorder="1" applyAlignment="1">
      <alignment horizontal="center" vertical="center"/>
    </xf>
    <xf numFmtId="0" fontId="30" fillId="20" borderId="6" xfId="2" applyFont="1" applyFill="1" applyBorder="1" applyAlignment="1">
      <alignment horizontal="center" vertical="center"/>
    </xf>
    <xf numFmtId="0" fontId="30" fillId="20" borderId="5" xfId="2" applyFont="1" applyFill="1" applyAlignment="1">
      <alignment horizontal="center" vertical="center"/>
    </xf>
    <xf numFmtId="0" fontId="30" fillId="22" borderId="5" xfId="2" applyFont="1" applyFill="1" applyAlignment="1">
      <alignment horizontal="center" vertical="center"/>
    </xf>
    <xf numFmtId="0" fontId="30" fillId="17" borderId="28" xfId="2" applyFont="1" applyFill="1" applyBorder="1" applyAlignment="1">
      <alignment horizontal="center" vertical="center"/>
    </xf>
    <xf numFmtId="0" fontId="30" fillId="17" borderId="5" xfId="2" applyFont="1" applyFill="1" applyAlignment="1">
      <alignment horizontal="center" vertical="center"/>
    </xf>
    <xf numFmtId="49" fontId="50" fillId="31" borderId="60" xfId="0" applyNumberFormat="1" applyFont="1" applyFill="1" applyBorder="1" applyAlignment="1">
      <alignment horizontal="left" vertical="center" wrapText="1"/>
    </xf>
    <xf numFmtId="49" fontId="50" fillId="31" borderId="163" xfId="0" applyNumberFormat="1" applyFont="1" applyFill="1" applyBorder="1" applyAlignment="1">
      <alignment horizontal="left" vertical="center" wrapText="1"/>
    </xf>
    <xf numFmtId="49" fontId="50" fillId="31" borderId="122" xfId="0" applyNumberFormat="1" applyFont="1" applyFill="1" applyBorder="1" applyAlignment="1">
      <alignment horizontal="left" vertical="center" wrapText="1"/>
    </xf>
    <xf numFmtId="0" fontId="50" fillId="3" borderId="162" xfId="0" applyFont="1" applyFill="1" applyBorder="1" applyAlignment="1">
      <alignment horizontal="center" vertical="center"/>
    </xf>
    <xf numFmtId="0" fontId="50" fillId="3" borderId="165" xfId="0" applyFont="1" applyFill="1" applyBorder="1" applyAlignment="1">
      <alignment horizontal="center" vertical="center"/>
    </xf>
    <xf numFmtId="0" fontId="51" fillId="13" borderId="170" xfId="0" applyFont="1" applyFill="1" applyBorder="1" applyAlignment="1">
      <alignment horizontal="left" vertical="center"/>
    </xf>
    <xf numFmtId="0" fontId="51" fillId="13" borderId="163" xfId="0" applyFont="1" applyFill="1" applyBorder="1" applyAlignment="1">
      <alignment horizontal="left" vertical="center"/>
    </xf>
    <xf numFmtId="0" fontId="51" fillId="13" borderId="47" xfId="0" applyFont="1" applyFill="1" applyBorder="1" applyAlignment="1">
      <alignment horizontal="left" vertical="center"/>
    </xf>
    <xf numFmtId="0" fontId="51" fillId="3" borderId="162" xfId="0" applyFont="1" applyFill="1" applyBorder="1" applyAlignment="1">
      <alignment horizontal="center" vertical="center"/>
    </xf>
    <xf numFmtId="0" fontId="51" fillId="3" borderId="165" xfId="0" applyFont="1" applyFill="1" applyBorder="1" applyAlignment="1">
      <alignment horizontal="center" vertical="center"/>
    </xf>
    <xf numFmtId="0" fontId="71" fillId="14" borderId="22" xfId="0" applyFont="1" applyFill="1" applyBorder="1" applyAlignment="1">
      <alignment horizontal="center" vertical="center"/>
    </xf>
    <xf numFmtId="0" fontId="71" fillId="14" borderId="3" xfId="0" applyFont="1" applyFill="1" applyBorder="1" applyAlignment="1">
      <alignment horizontal="center" vertical="center"/>
    </xf>
    <xf numFmtId="0" fontId="71" fillId="14" borderId="4" xfId="0" applyFont="1" applyFill="1" applyBorder="1" applyAlignment="1">
      <alignment horizontal="center" vertical="center"/>
    </xf>
    <xf numFmtId="0" fontId="71" fillId="14" borderId="15" xfId="0" applyFont="1" applyFill="1" applyBorder="1" applyAlignment="1">
      <alignment horizontal="center" vertical="center"/>
    </xf>
    <xf numFmtId="0" fontId="71" fillId="14" borderId="16" xfId="0" applyFont="1" applyFill="1" applyBorder="1" applyAlignment="1">
      <alignment horizontal="center" vertical="center"/>
    </xf>
    <xf numFmtId="0" fontId="71" fillId="14" borderId="23" xfId="0" applyFont="1" applyFill="1" applyBorder="1" applyAlignment="1">
      <alignment horizontal="center" vertical="center"/>
    </xf>
    <xf numFmtId="49" fontId="50" fillId="31" borderId="75" xfId="0" applyNumberFormat="1" applyFont="1" applyFill="1" applyBorder="1" applyAlignment="1">
      <alignment horizontal="center" vertical="center" wrapText="1"/>
    </xf>
    <xf numFmtId="49" fontId="50" fillId="31" borderId="123" xfId="0" applyNumberFormat="1" applyFont="1" applyFill="1" applyBorder="1" applyAlignment="1">
      <alignment horizontal="center" vertical="center" wrapText="1"/>
    </xf>
    <xf numFmtId="49" fontId="50" fillId="31" borderId="166" xfId="0" applyNumberFormat="1" applyFont="1" applyFill="1" applyBorder="1" applyAlignment="1">
      <alignment horizontal="center" vertical="center" wrapText="1"/>
    </xf>
    <xf numFmtId="49" fontId="51" fillId="13" borderId="167" xfId="0" applyNumberFormat="1" applyFont="1" applyFill="1" applyBorder="1" applyAlignment="1">
      <alignment horizontal="center" vertical="center" wrapText="1"/>
    </xf>
    <xf numFmtId="49" fontId="51" fillId="13" borderId="123" xfId="0" applyNumberFormat="1" applyFont="1" applyFill="1" applyBorder="1" applyAlignment="1">
      <alignment horizontal="center" vertical="center" wrapText="1"/>
    </xf>
    <xf numFmtId="49" fontId="51" fillId="13" borderId="142" xfId="0" applyNumberFormat="1" applyFont="1" applyFill="1" applyBorder="1" applyAlignment="1">
      <alignment horizontal="center" vertical="center" wrapText="1"/>
    </xf>
    <xf numFmtId="0" fontId="50" fillId="3" borderId="161" xfId="0" applyFont="1" applyFill="1" applyBorder="1" applyAlignment="1">
      <alignment horizontal="center" vertical="center"/>
    </xf>
    <xf numFmtId="0" fontId="50" fillId="3" borderId="164" xfId="0" applyFont="1" applyFill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4" fillId="0" borderId="78" xfId="0" applyFont="1" applyBorder="1" applyAlignment="1">
      <alignment horizontal="center" vertical="center"/>
    </xf>
    <xf numFmtId="49" fontId="50" fillId="31" borderId="59" xfId="0" applyNumberFormat="1" applyFont="1" applyFill="1" applyBorder="1" applyAlignment="1">
      <alignment horizontal="left" vertical="center" wrapText="1"/>
    </xf>
    <xf numFmtId="49" fontId="50" fillId="31" borderId="160" xfId="0" applyNumberFormat="1" applyFont="1" applyFill="1" applyBorder="1" applyAlignment="1">
      <alignment horizontal="left" vertical="center" wrapText="1"/>
    </xf>
    <xf numFmtId="49" fontId="50" fillId="31" borderId="121" xfId="0" applyNumberFormat="1" applyFont="1" applyFill="1" applyBorder="1" applyAlignment="1">
      <alignment horizontal="left" vertical="center" wrapText="1"/>
    </xf>
    <xf numFmtId="0" fontId="50" fillId="0" borderId="58" xfId="0" applyFont="1" applyBorder="1" applyAlignment="1">
      <alignment horizontal="center" vertical="center"/>
    </xf>
    <xf numFmtId="0" fontId="50" fillId="0" borderId="103" xfId="0" applyFont="1" applyBorder="1" applyAlignment="1">
      <alignment horizontal="center" vertical="center"/>
    </xf>
    <xf numFmtId="49" fontId="51" fillId="13" borderId="169" xfId="0" applyNumberFormat="1" applyFont="1" applyFill="1" applyBorder="1" applyAlignment="1">
      <alignment horizontal="left" vertical="center" wrapText="1"/>
    </xf>
    <xf numFmtId="49" fontId="51" fillId="13" borderId="160" xfId="0" applyNumberFormat="1" applyFont="1" applyFill="1" applyBorder="1" applyAlignment="1">
      <alignment horizontal="left" vertical="center" wrapText="1"/>
    </xf>
    <xf numFmtId="49" fontId="51" fillId="13" borderId="81" xfId="0" applyNumberFormat="1" applyFont="1" applyFill="1" applyBorder="1" applyAlignment="1">
      <alignment horizontal="left" vertical="center" wrapText="1"/>
    </xf>
    <xf numFmtId="0" fontId="84" fillId="0" borderId="58" xfId="0" applyFont="1" applyBorder="1" applyAlignment="1">
      <alignment horizontal="center" vertical="center"/>
    </xf>
    <xf numFmtId="0" fontId="84" fillId="0" borderId="103" xfId="0" applyFont="1" applyBorder="1" applyAlignment="1">
      <alignment horizontal="center" vertical="center"/>
    </xf>
    <xf numFmtId="49" fontId="50" fillId="31" borderId="22" xfId="0" applyNumberFormat="1" applyFont="1" applyFill="1" applyBorder="1" applyAlignment="1">
      <alignment horizontal="left" vertical="center" wrapText="1"/>
    </xf>
    <xf numFmtId="49" fontId="50" fillId="31" borderId="3" xfId="0" applyNumberFormat="1" applyFont="1" applyFill="1" applyBorder="1" applyAlignment="1">
      <alignment horizontal="left" vertical="center" wrapText="1"/>
    </xf>
    <xf numFmtId="49" fontId="50" fillId="31" borderId="120" xfId="0" applyNumberFormat="1" applyFont="1" applyFill="1" applyBorder="1" applyAlignment="1">
      <alignment horizontal="left" vertical="center" wrapText="1"/>
    </xf>
    <xf numFmtId="49" fontId="51" fillId="13" borderId="168" xfId="0" applyNumberFormat="1" applyFont="1" applyFill="1" applyBorder="1" applyAlignment="1">
      <alignment horizontal="left" vertical="center" wrapText="1"/>
    </xf>
    <xf numFmtId="49" fontId="51" fillId="13" borderId="3" xfId="0" applyNumberFormat="1" applyFont="1" applyFill="1" applyBorder="1" applyAlignment="1">
      <alignment horizontal="left" vertical="center" wrapText="1"/>
    </xf>
    <xf numFmtId="49" fontId="51" fillId="13" borderId="44" xfId="0" applyNumberFormat="1" applyFont="1" applyFill="1" applyBorder="1" applyAlignment="1">
      <alignment horizontal="left" vertical="center" wrapText="1"/>
    </xf>
    <xf numFmtId="0" fontId="51" fillId="3" borderId="161" xfId="0" applyFont="1" applyFill="1" applyBorder="1" applyAlignment="1">
      <alignment horizontal="center" vertical="center"/>
    </xf>
    <xf numFmtId="0" fontId="51" fillId="3" borderId="164" xfId="0" applyFont="1" applyFill="1" applyBorder="1" applyAlignment="1">
      <alignment horizontal="center" vertical="center"/>
    </xf>
    <xf numFmtId="0" fontId="87" fillId="0" borderId="5" xfId="0" applyFont="1" applyBorder="1" applyAlignment="1">
      <alignment horizontal="center"/>
    </xf>
    <xf numFmtId="0" fontId="87" fillId="0" borderId="89" xfId="0" applyFont="1" applyBorder="1" applyAlignment="1">
      <alignment horizontal="center"/>
    </xf>
    <xf numFmtId="0" fontId="87" fillId="0" borderId="2" xfId="0" applyFont="1" applyBorder="1" applyAlignment="1">
      <alignment horizontal="center"/>
    </xf>
    <xf numFmtId="0" fontId="87" fillId="0" borderId="6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48" xfId="0" applyFont="1" applyBorder="1" applyAlignment="1">
      <alignment horizontal="center"/>
    </xf>
    <xf numFmtId="0" fontId="87" fillId="0" borderId="42" xfId="0" applyFont="1" applyBorder="1" applyAlignment="1">
      <alignment horizontal="center"/>
    </xf>
    <xf numFmtId="0" fontId="87" fillId="0" borderId="147" xfId="0" applyFont="1" applyBorder="1" applyAlignment="1">
      <alignment horizontal="center"/>
    </xf>
    <xf numFmtId="0" fontId="86" fillId="3" borderId="60" xfId="0" applyFont="1" applyFill="1" applyBorder="1" applyAlignment="1">
      <alignment horizontal="center" vertical="center"/>
    </xf>
    <xf numFmtId="0" fontId="86" fillId="3" borderId="165" xfId="0" applyFont="1" applyFill="1" applyBorder="1" applyAlignment="1">
      <alignment horizontal="center" vertical="center"/>
    </xf>
    <xf numFmtId="0" fontId="85" fillId="3" borderId="162" xfId="0" applyFont="1" applyFill="1" applyBorder="1" applyAlignment="1">
      <alignment horizontal="center" vertical="center"/>
    </xf>
    <xf numFmtId="0" fontId="85" fillId="3" borderId="47" xfId="0" applyFont="1" applyFill="1" applyBorder="1" applyAlignment="1">
      <alignment horizontal="center" vertical="center"/>
    </xf>
    <xf numFmtId="0" fontId="86" fillId="3" borderId="75" xfId="0" applyFont="1" applyFill="1" applyBorder="1" applyAlignment="1">
      <alignment horizontal="center" vertical="center"/>
    </xf>
    <xf numFmtId="0" fontId="86" fillId="3" borderId="166" xfId="0" applyFont="1" applyFill="1" applyBorder="1" applyAlignment="1">
      <alignment horizontal="center" vertical="center"/>
    </xf>
    <xf numFmtId="1" fontId="93" fillId="3" borderId="2" xfId="0" applyNumberFormat="1" applyFont="1" applyFill="1" applyBorder="1" applyAlignment="1">
      <alignment horizontal="center" vertical="center"/>
    </xf>
    <xf numFmtId="1" fontId="93" fillId="3" borderId="3" xfId="0" applyNumberFormat="1" applyFont="1" applyFill="1" applyBorder="1" applyAlignment="1">
      <alignment horizontal="center" vertical="center"/>
    </xf>
    <xf numFmtId="1" fontId="93" fillId="3" borderId="44" xfId="0" applyNumberFormat="1" applyFont="1" applyFill="1" applyBorder="1" applyAlignment="1">
      <alignment horizontal="center" vertical="center"/>
    </xf>
    <xf numFmtId="1" fontId="60" fillId="21" borderId="158" xfId="0" applyNumberFormat="1" applyFont="1" applyFill="1" applyBorder="1" applyAlignment="1">
      <alignment horizontal="center" vertical="center"/>
    </xf>
    <xf numFmtId="1" fontId="60" fillId="21" borderId="155" xfId="0" applyNumberFormat="1" applyFont="1" applyFill="1" applyBorder="1" applyAlignment="1">
      <alignment horizontal="center" vertical="center"/>
    </xf>
    <xf numFmtId="0" fontId="86" fillId="0" borderId="58" xfId="0" applyFont="1" applyBorder="1" applyAlignment="1">
      <alignment horizontal="center" vertical="center"/>
    </xf>
    <xf numFmtId="0" fontId="86" fillId="0" borderId="171" xfId="0" applyFont="1" applyBorder="1" applyAlignment="1">
      <alignment horizontal="center" vertical="center"/>
    </xf>
    <xf numFmtId="0" fontId="86" fillId="3" borderId="22" xfId="0" applyFont="1" applyFill="1" applyBorder="1" applyAlignment="1">
      <alignment horizontal="center" vertical="center"/>
    </xf>
    <xf numFmtId="0" fontId="86" fillId="3" borderId="164" xfId="0" applyFont="1" applyFill="1" applyBorder="1" applyAlignment="1">
      <alignment horizontal="center" vertical="center"/>
    </xf>
    <xf numFmtId="0" fontId="86" fillId="34" borderId="22" xfId="0" applyFont="1" applyFill="1" applyBorder="1" applyAlignment="1">
      <alignment horizontal="center" vertical="center"/>
    </xf>
    <xf numFmtId="0" fontId="86" fillId="34" borderId="164" xfId="0" applyFont="1" applyFill="1" applyBorder="1" applyAlignment="1">
      <alignment horizontal="center" vertical="center"/>
    </xf>
    <xf numFmtId="0" fontId="85" fillId="0" borderId="58" xfId="0" applyFont="1" applyBorder="1" applyAlignment="1">
      <alignment horizontal="center" vertical="center"/>
    </xf>
    <xf numFmtId="0" fontId="85" fillId="0" borderId="103" xfId="0" applyFont="1" applyBorder="1" applyAlignment="1">
      <alignment horizontal="center" vertical="center"/>
    </xf>
    <xf numFmtId="0" fontId="85" fillId="3" borderId="22" xfId="0" applyFont="1" applyFill="1" applyBorder="1" applyAlignment="1">
      <alignment horizontal="center" vertical="center"/>
    </xf>
    <xf numFmtId="0" fontId="85" fillId="3" borderId="44" xfId="0" applyFont="1" applyFill="1" applyBorder="1" applyAlignment="1">
      <alignment horizontal="center" vertical="center"/>
    </xf>
    <xf numFmtId="0" fontId="85" fillId="34" borderId="60" xfId="0" applyFont="1" applyFill="1" applyBorder="1" applyAlignment="1">
      <alignment horizontal="center" vertical="center"/>
    </xf>
    <xf numFmtId="0" fontId="85" fillId="34" borderId="47" xfId="0" applyFont="1" applyFill="1" applyBorder="1" applyAlignment="1">
      <alignment horizontal="center" vertical="center"/>
    </xf>
    <xf numFmtId="49" fontId="56" fillId="10" borderId="60" xfId="0" applyNumberFormat="1" applyFont="1" applyFill="1" applyBorder="1" applyAlignment="1">
      <alignment horizontal="center" wrapText="1"/>
    </xf>
    <xf numFmtId="49" fontId="56" fillId="10" borderId="47" xfId="0" applyNumberFormat="1" applyFont="1" applyFill="1" applyBorder="1" applyAlignment="1">
      <alignment horizontal="center" wrapText="1"/>
    </xf>
    <xf numFmtId="1" fontId="60" fillId="3" borderId="22" xfId="0" applyNumberFormat="1" applyFont="1" applyFill="1" applyBorder="1" applyAlignment="1">
      <alignment horizontal="center" vertical="center"/>
    </xf>
    <xf numFmtId="1" fontId="60" fillId="3" borderId="120" xfId="0" applyNumberFormat="1" applyFont="1" applyFill="1" applyBorder="1" applyAlignment="1">
      <alignment horizontal="center" vertical="center"/>
    </xf>
    <xf numFmtId="1" fontId="60" fillId="3" borderId="114" xfId="0" applyNumberFormat="1" applyFont="1" applyFill="1" applyBorder="1" applyAlignment="1">
      <alignment horizontal="center" vertical="center"/>
    </xf>
    <xf numFmtId="0" fontId="60" fillId="3" borderId="115" xfId="0" applyFont="1" applyFill="1" applyBorder="1" applyAlignment="1">
      <alignment horizontal="center" vertical="center"/>
    </xf>
    <xf numFmtId="1" fontId="59" fillId="3" borderId="117" xfId="0" applyNumberFormat="1" applyFont="1" applyFill="1" applyBorder="1" applyAlignment="1">
      <alignment horizontal="center" vertical="center"/>
    </xf>
    <xf numFmtId="0" fontId="59" fillId="3" borderId="118" xfId="0" applyFont="1" applyFill="1" applyBorder="1" applyAlignment="1">
      <alignment horizontal="center" vertical="center"/>
    </xf>
    <xf numFmtId="49" fontId="80" fillId="10" borderId="22" xfId="0" applyNumberFormat="1" applyFont="1" applyFill="1" applyBorder="1" applyAlignment="1">
      <alignment horizontal="center" wrapText="1"/>
    </xf>
    <xf numFmtId="49" fontId="80" fillId="10" borderId="44" xfId="0" applyNumberFormat="1" applyFont="1" applyFill="1" applyBorder="1" applyAlignment="1">
      <alignment horizontal="center" wrapText="1"/>
    </xf>
    <xf numFmtId="1" fontId="61" fillId="3" borderId="114" xfId="0" applyNumberFormat="1" applyFont="1" applyFill="1" applyBorder="1" applyAlignment="1">
      <alignment horizontal="center" vertical="center"/>
    </xf>
    <xf numFmtId="0" fontId="61" fillId="3" borderId="115" xfId="0" applyFont="1" applyFill="1" applyBorder="1" applyAlignment="1">
      <alignment horizontal="center" vertical="center"/>
    </xf>
    <xf numFmtId="49" fontId="57" fillId="10" borderId="22" xfId="0" applyNumberFormat="1" applyFont="1" applyFill="1" applyBorder="1" applyAlignment="1">
      <alignment horizontal="center" wrapText="1"/>
    </xf>
    <xf numFmtId="49" fontId="57" fillId="10" borderId="44" xfId="0" applyNumberFormat="1" applyFont="1" applyFill="1" applyBorder="1" applyAlignment="1">
      <alignment horizontal="center" wrapText="1"/>
    </xf>
    <xf numFmtId="49" fontId="92" fillId="10" borderId="22" xfId="0" applyNumberFormat="1" applyFont="1" applyFill="1" applyBorder="1" applyAlignment="1">
      <alignment horizontal="center" vertical="center" wrapText="1"/>
    </xf>
    <xf numFmtId="49" fontId="92" fillId="10" borderId="44" xfId="0" applyNumberFormat="1" applyFont="1" applyFill="1" applyBorder="1" applyAlignment="1">
      <alignment horizontal="center" vertical="center" wrapText="1"/>
    </xf>
    <xf numFmtId="1" fontId="93" fillId="3" borderId="22" xfId="0" applyNumberFormat="1" applyFont="1" applyFill="1" applyBorder="1" applyAlignment="1">
      <alignment horizontal="center" vertical="center"/>
    </xf>
    <xf numFmtId="1" fontId="93" fillId="3" borderId="4" xfId="0" applyNumberFormat="1" applyFont="1" applyFill="1" applyBorder="1" applyAlignment="1">
      <alignment horizontal="center" vertical="center"/>
    </xf>
    <xf numFmtId="0" fontId="53" fillId="3" borderId="121" xfId="0" applyFont="1" applyFill="1" applyBorder="1" applyAlignment="1">
      <alignment horizontal="center" vertical="center"/>
    </xf>
    <xf numFmtId="0" fontId="53" fillId="3" borderId="113" xfId="0" applyFont="1" applyFill="1" applyBorder="1" applyAlignment="1">
      <alignment horizontal="center" vertical="center"/>
    </xf>
    <xf numFmtId="0" fontId="53" fillId="3" borderId="120" xfId="0" applyFont="1" applyFill="1" applyBorder="1" applyAlignment="1">
      <alignment horizontal="center" vertical="center"/>
    </xf>
    <xf numFmtId="0" fontId="53" fillId="3" borderId="116" xfId="0" applyFont="1" applyFill="1" applyBorder="1" applyAlignment="1">
      <alignment horizontal="center" vertical="center"/>
    </xf>
    <xf numFmtId="49" fontId="81" fillId="10" borderId="109" xfId="0" applyNumberFormat="1" applyFont="1" applyFill="1" applyBorder="1" applyAlignment="1">
      <alignment horizontal="center" vertical="center"/>
    </xf>
    <xf numFmtId="49" fontId="81" fillId="10" borderId="110" xfId="0" applyNumberFormat="1" applyFont="1" applyFill="1" applyBorder="1" applyAlignment="1">
      <alignment horizontal="center" vertical="center"/>
    </xf>
    <xf numFmtId="49" fontId="81" fillId="10" borderId="64" xfId="0" applyNumberFormat="1" applyFont="1" applyFill="1" applyBorder="1" applyAlignment="1">
      <alignment horizontal="center" vertical="center"/>
    </xf>
    <xf numFmtId="49" fontId="81" fillId="10" borderId="69" xfId="0" applyNumberFormat="1" applyFont="1" applyFill="1" applyBorder="1" applyAlignment="1">
      <alignment horizontal="center" vertical="center"/>
    </xf>
    <xf numFmtId="49" fontId="56" fillId="10" borderId="59" xfId="0" applyNumberFormat="1" applyFont="1" applyFill="1" applyBorder="1" applyAlignment="1">
      <alignment horizontal="center" wrapText="1"/>
    </xf>
    <xf numFmtId="49" fontId="56" fillId="10" borderId="81" xfId="0" applyNumberFormat="1" applyFont="1" applyFill="1" applyBorder="1" applyAlignment="1">
      <alignment horizontal="center" wrapText="1"/>
    </xf>
    <xf numFmtId="1" fontId="59" fillId="3" borderId="59" xfId="0" applyNumberFormat="1" applyFont="1" applyFill="1" applyBorder="1" applyAlignment="1">
      <alignment horizontal="center" vertical="center"/>
    </xf>
    <xf numFmtId="1" fontId="59" fillId="3" borderId="121" xfId="0" applyNumberFormat="1" applyFont="1" applyFill="1" applyBorder="1" applyAlignment="1">
      <alignment horizontal="center" vertical="center"/>
    </xf>
    <xf numFmtId="49" fontId="56" fillId="10" borderId="22" xfId="0" applyNumberFormat="1" applyFont="1" applyFill="1" applyBorder="1" applyAlignment="1">
      <alignment horizontal="center" wrapText="1"/>
    </xf>
    <xf numFmtId="49" fontId="56" fillId="10" borderId="44" xfId="0" applyNumberFormat="1" applyFont="1" applyFill="1" applyBorder="1" applyAlignment="1">
      <alignment horizontal="center" wrapText="1"/>
    </xf>
    <xf numFmtId="1" fontId="59" fillId="3" borderId="114" xfId="0" applyNumberFormat="1" applyFont="1" applyFill="1" applyBorder="1" applyAlignment="1">
      <alignment horizontal="center" vertical="center"/>
    </xf>
    <xf numFmtId="0" fontId="59" fillId="3" borderId="115" xfId="0" applyFont="1" applyFill="1" applyBorder="1" applyAlignment="1">
      <alignment horizontal="center" vertical="center"/>
    </xf>
    <xf numFmtId="1" fontId="59" fillId="3" borderId="157" xfId="0" applyNumberFormat="1" applyFont="1" applyFill="1" applyBorder="1" applyAlignment="1">
      <alignment horizontal="center" vertical="center"/>
    </xf>
    <xf numFmtId="0" fontId="59" fillId="3" borderId="154" xfId="0" applyFont="1" applyFill="1" applyBorder="1" applyAlignment="1">
      <alignment horizontal="center" vertical="center"/>
    </xf>
    <xf numFmtId="1" fontId="60" fillId="3" borderId="158" xfId="0" applyNumberFormat="1" applyFont="1" applyFill="1" applyBorder="1" applyAlignment="1">
      <alignment horizontal="center" vertical="center"/>
    </xf>
    <xf numFmtId="1" fontId="60" fillId="3" borderId="15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50" fillId="31" borderId="16" xfId="0" applyNumberFormat="1" applyFont="1" applyFill="1" applyBorder="1" applyAlignment="1">
      <alignment horizontal="center" vertical="center"/>
    </xf>
    <xf numFmtId="2" fontId="50" fillId="31" borderId="23" xfId="0" applyNumberFormat="1" applyFont="1" applyFill="1" applyBorder="1" applyAlignment="1">
      <alignment horizontal="center" vertical="center"/>
    </xf>
    <xf numFmtId="2" fontId="50" fillId="31" borderId="96" xfId="0" applyNumberFormat="1" applyFont="1" applyFill="1" applyBorder="1" applyAlignment="1">
      <alignment horizontal="center" vertical="center"/>
    </xf>
    <xf numFmtId="2" fontId="50" fillId="31" borderId="78" xfId="0" applyNumberFormat="1" applyFont="1" applyFill="1" applyBorder="1" applyAlignment="1">
      <alignment horizontal="center" vertical="center"/>
    </xf>
    <xf numFmtId="2" fontId="50" fillId="31" borderId="100" xfId="0" applyNumberFormat="1" applyFont="1" applyFill="1" applyBorder="1" applyAlignment="1">
      <alignment horizontal="center" vertical="center"/>
    </xf>
    <xf numFmtId="2" fontId="50" fillId="31" borderId="103" xfId="0" applyNumberFormat="1" applyFont="1" applyFill="1" applyBorder="1" applyAlignment="1">
      <alignment horizontal="center" vertical="center"/>
    </xf>
    <xf numFmtId="2" fontId="50" fillId="31" borderId="0" xfId="0" applyNumberFormat="1" applyFont="1" applyFill="1" applyBorder="1" applyAlignment="1">
      <alignment horizontal="center" vertical="center"/>
    </xf>
    <xf numFmtId="2" fontId="50" fillId="31" borderId="11" xfId="0" applyNumberFormat="1" applyFont="1" applyFill="1" applyBorder="1" applyAlignment="1">
      <alignment horizontal="center" vertical="center"/>
    </xf>
    <xf numFmtId="0" fontId="49" fillId="0" borderId="148" xfId="0" applyFont="1" applyBorder="1" applyAlignment="1">
      <alignment horizontal="center" vertical="center"/>
    </xf>
    <xf numFmtId="0" fontId="49" fillId="0" borderId="107" xfId="0" applyFont="1" applyBorder="1" applyAlignment="1">
      <alignment horizontal="center" vertical="center"/>
    </xf>
    <xf numFmtId="0" fontId="49" fillId="0" borderId="108" xfId="0" applyFont="1" applyBorder="1" applyAlignment="1">
      <alignment horizontal="center" vertical="center"/>
    </xf>
    <xf numFmtId="0" fontId="49" fillId="0" borderId="106" xfId="0" applyFont="1" applyBorder="1" applyAlignment="1">
      <alignment horizontal="center" vertical="center"/>
    </xf>
    <xf numFmtId="2" fontId="77" fillId="0" borderId="149" xfId="0" applyNumberFormat="1" applyFont="1" applyBorder="1" applyAlignment="1">
      <alignment horizontal="center" vertical="center"/>
    </xf>
    <xf numFmtId="2" fontId="77" fillId="0" borderId="150" xfId="0" applyNumberFormat="1" applyFont="1" applyBorder="1" applyAlignment="1">
      <alignment horizontal="center" vertical="center"/>
    </xf>
    <xf numFmtId="2" fontId="77" fillId="0" borderId="151" xfId="0" applyNumberFormat="1" applyFont="1" applyBorder="1" applyAlignment="1">
      <alignment horizontal="center" vertical="center"/>
    </xf>
    <xf numFmtId="2" fontId="77" fillId="0" borderId="153" xfId="0" applyNumberFormat="1" applyFont="1" applyBorder="1" applyAlignment="1">
      <alignment horizontal="center" vertical="center"/>
    </xf>
    <xf numFmtId="1" fontId="44" fillId="12" borderId="100" xfId="0" applyNumberFormat="1" applyFont="1" applyFill="1" applyBorder="1" applyAlignment="1">
      <alignment horizontal="center" vertical="center" wrapText="1"/>
    </xf>
    <xf numFmtId="1" fontId="44" fillId="12" borderId="103" xfId="0" applyNumberFormat="1" applyFont="1" applyFill="1" applyBorder="1" applyAlignment="1">
      <alignment horizontal="center" vertical="center" wrapText="1"/>
    </xf>
    <xf numFmtId="0" fontId="58" fillId="3" borderId="120" xfId="0" applyFont="1" applyFill="1" applyBorder="1" applyAlignment="1">
      <alignment horizontal="center" vertical="center"/>
    </xf>
    <xf numFmtId="0" fontId="58" fillId="3" borderId="116" xfId="0" applyFont="1" applyFill="1" applyBorder="1" applyAlignment="1">
      <alignment horizontal="center" vertical="center"/>
    </xf>
    <xf numFmtId="0" fontId="53" fillId="3" borderId="122" xfId="0" applyFont="1" applyFill="1" applyBorder="1" applyAlignment="1">
      <alignment horizontal="center" vertical="center"/>
    </xf>
    <xf numFmtId="0" fontId="53" fillId="3" borderId="119" xfId="0" applyFont="1" applyFill="1" applyBorder="1" applyAlignment="1">
      <alignment horizontal="center" vertical="center"/>
    </xf>
    <xf numFmtId="1" fontId="44" fillId="12" borderId="84" xfId="0" applyNumberFormat="1" applyFont="1" applyFill="1" applyBorder="1" applyAlignment="1">
      <alignment horizontal="center" vertical="center" wrapText="1"/>
    </xf>
    <xf numFmtId="1" fontId="44" fillId="12" borderId="82" xfId="0" applyNumberFormat="1" applyFont="1" applyFill="1" applyBorder="1" applyAlignment="1">
      <alignment horizontal="center" vertical="center" wrapText="1"/>
    </xf>
    <xf numFmtId="0" fontId="44" fillId="12" borderId="59" xfId="0" applyFont="1" applyFill="1" applyBorder="1" applyAlignment="1">
      <alignment horizontal="center" vertical="center" wrapText="1"/>
    </xf>
    <xf numFmtId="0" fontId="44" fillId="12" borderId="82" xfId="0" applyFont="1" applyFill="1" applyBorder="1" applyAlignment="1">
      <alignment horizontal="center" vertical="center" wrapText="1"/>
    </xf>
    <xf numFmtId="1" fontId="59" fillId="3" borderId="158" xfId="0" applyNumberFormat="1" applyFont="1" applyFill="1" applyBorder="1" applyAlignment="1">
      <alignment horizontal="center" vertical="center"/>
    </xf>
    <xf numFmtId="1" fontId="59" fillId="3" borderId="155" xfId="0" applyNumberFormat="1" applyFont="1" applyFill="1" applyBorder="1" applyAlignment="1">
      <alignment horizontal="center" vertical="center"/>
    </xf>
    <xf numFmtId="1" fontId="59" fillId="3" borderId="159" xfId="0" applyNumberFormat="1" applyFont="1" applyFill="1" applyBorder="1" applyAlignment="1">
      <alignment horizontal="center" vertical="center"/>
    </xf>
    <xf numFmtId="1" fontId="59" fillId="3" borderId="156" xfId="0" applyNumberFormat="1" applyFont="1" applyFill="1" applyBorder="1" applyAlignment="1">
      <alignment horizontal="center" vertical="center"/>
    </xf>
    <xf numFmtId="1" fontId="52" fillId="32" borderId="106" xfId="0" applyNumberFormat="1" applyFont="1" applyFill="1" applyBorder="1" applyAlignment="1">
      <alignment horizontal="center" vertical="center"/>
    </xf>
    <xf numFmtId="1" fontId="52" fillId="32" borderId="134" xfId="0" applyNumberFormat="1" applyFont="1" applyFill="1" applyBorder="1" applyAlignment="1">
      <alignment horizontal="center" vertical="center"/>
    </xf>
    <xf numFmtId="1" fontId="52" fillId="32" borderId="91" xfId="0" applyNumberFormat="1" applyFont="1" applyFill="1" applyBorder="1" applyAlignment="1">
      <alignment horizontal="center" vertical="center"/>
    </xf>
    <xf numFmtId="1" fontId="59" fillId="3" borderId="111" xfId="0" applyNumberFormat="1" applyFont="1" applyFill="1" applyBorder="1" applyAlignment="1">
      <alignment horizontal="center" vertical="center"/>
    </xf>
    <xf numFmtId="0" fontId="59" fillId="3" borderId="112" xfId="0" applyFont="1" applyFill="1" applyBorder="1" applyAlignment="1">
      <alignment horizontal="center" vertical="center"/>
    </xf>
    <xf numFmtId="1" fontId="63" fillId="32" borderId="148" xfId="0" applyNumberFormat="1" applyFont="1" applyFill="1" applyBorder="1" applyAlignment="1">
      <alignment horizontal="center" vertical="center"/>
    </xf>
    <xf numFmtId="1" fontId="63" fillId="32" borderId="106" xfId="0" applyNumberFormat="1" applyFont="1" applyFill="1" applyBorder="1" applyAlignment="1">
      <alignment horizontal="center" vertical="center"/>
    </xf>
    <xf numFmtId="1" fontId="63" fillId="32" borderId="134" xfId="0" applyNumberFormat="1" applyFont="1" applyFill="1" applyBorder="1" applyAlignment="1">
      <alignment horizontal="center" vertical="center"/>
    </xf>
    <xf numFmtId="1" fontId="60" fillId="2" borderId="158" xfId="0" applyNumberFormat="1" applyFont="1" applyFill="1" applyBorder="1" applyAlignment="1">
      <alignment horizontal="center" vertical="center"/>
    </xf>
    <xf numFmtId="1" fontId="60" fillId="2" borderId="155" xfId="0" applyNumberFormat="1" applyFont="1" applyFill="1" applyBorder="1" applyAlignment="1">
      <alignment horizontal="center" vertical="center"/>
    </xf>
    <xf numFmtId="49" fontId="76" fillId="2" borderId="98" xfId="0" applyNumberFormat="1" applyFont="1" applyFill="1" applyBorder="1" applyAlignment="1">
      <alignment horizontal="center" vertical="center" textRotation="90"/>
    </xf>
    <xf numFmtId="49" fontId="76" fillId="2" borderId="101" xfId="0" applyNumberFormat="1" applyFont="1" applyFill="1" applyBorder="1" applyAlignment="1">
      <alignment horizontal="center" vertical="center" textRotation="90"/>
    </xf>
    <xf numFmtId="49" fontId="76" fillId="2" borderId="49" xfId="0" applyNumberFormat="1" applyFont="1" applyFill="1" applyBorder="1" applyAlignment="1">
      <alignment horizontal="center" vertical="center" textRotation="90"/>
    </xf>
    <xf numFmtId="49" fontId="76" fillId="2" borderId="104" xfId="0" applyNumberFormat="1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/>
    <cellStyle name="Normal 3" xfId="2"/>
    <cellStyle name="Percent 2" xfId="3"/>
  </cellStyles>
  <dxfs count="83">
    <dxf>
      <fill>
        <patternFill>
          <bgColor theme="2" tint="-0.2499465926084170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fgColor auto="1"/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border outline="0">
        <left style="thin">
          <color indexed="64"/>
        </left>
        <right style="thin">
          <color indexed="64"/>
        </righ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" formatCode="0"/>
      <fill>
        <patternFill patternType="solid">
          <fgColor indexed="64"/>
          <bgColor rgb="FFF1F3DB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auto="1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scheme val="minor"/>
      </font>
      <fill>
        <patternFill patternType="solid">
          <fgColor indexed="64"/>
          <bgColor rgb="FFF1F3DB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scheme val="minor"/>
      </font>
      <fill>
        <patternFill patternType="solid">
          <fgColor indexed="64"/>
          <bgColor rgb="FFF1F3DB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auto="1"/>
        </right>
        <top/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auto="1"/>
        </left>
        <right/>
        <top/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font>
        <b/>
        <color auto="1"/>
      </font>
      <numFmt numFmtId="30" formatCode="@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FFFFCC"/>
      <color rgb="FF000099"/>
      <color rgb="FFF1F3DB"/>
      <color rgb="FFFF99FF"/>
      <color rgb="FFFFFF99"/>
      <color rgb="FF006600"/>
      <color rgb="FFDDDDDD"/>
      <color rgb="FFCC66FF"/>
      <color rgb="FF33CC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aka/Desktop/Copy%20of%20SIT(19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EP07775\AppData\Local\Microsoft\Windows\INetCache\Content.Outlook\76KDPLA8\Sucker%20Rod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T"/>
      <sheetName val="TOTAL"/>
      <sheetName val="wells group "/>
      <sheetName val="DOWN TIME"/>
      <sheetName val="R.CABLE2019"/>
      <sheetName val="Machinary PUMP SIT."/>
      <sheetName val="SIGNAL LIGHT "/>
      <sheetName val="ACT. SIT."/>
      <sheetName val="OFFSHOE GRAPH (2)"/>
      <sheetName val="Sheet1"/>
      <sheetName val="act.test"/>
      <sheetName val="ST.BY CABLES"/>
      <sheetName val="COMP.TEST"/>
      <sheetName val="OFFSHOE GRAPH"/>
      <sheetName val="Sheet2"/>
      <sheetName val="S.S. WELLS "/>
      <sheetName val="signal light 8-3-2015"/>
      <sheetName val="Chart1"/>
      <sheetName val="اسماء العاملين"/>
      <sheetName val="Sheet3"/>
      <sheetName val="Sheet8"/>
      <sheetName val="Sheet5"/>
      <sheetName val="Sheet6"/>
      <sheetName val="WELLS HISTORY"/>
      <sheetName val="COMP 21-JUNE 2016"/>
      <sheetName val="FEEDER"/>
    </sheetNames>
    <sheetDataSet>
      <sheetData sheetId="0">
        <row r="2">
          <cell r="AQ2" t="str">
            <v>WELLS No.</v>
          </cell>
          <cell r="AR2" t="str">
            <v>REP. G.RATE M3/D</v>
          </cell>
          <cell r="AS2" t="str">
            <v>REP. W.C  %  VOL</v>
          </cell>
          <cell r="AT2" t="str">
            <v>REP.   NET   M3/D</v>
          </cell>
          <cell r="AU2" t="str">
            <v>TEST G.RATE M3/D</v>
          </cell>
          <cell r="AV2" t="str">
            <v>ACT.  W.C  %  VOL</v>
          </cell>
          <cell r="AW2" t="str">
            <v>ACT.   NET M3/D</v>
          </cell>
          <cell r="AX2" t="str">
            <v>DIFF. M3 NET</v>
          </cell>
        </row>
        <row r="3">
          <cell r="AQ3" t="str">
            <v>113M-01</v>
          </cell>
          <cell r="AR3">
            <v>75</v>
          </cell>
          <cell r="AS3">
            <v>66</v>
          </cell>
          <cell r="AT3">
            <v>25.499999999999996</v>
          </cell>
          <cell r="AU3">
            <v>85</v>
          </cell>
          <cell r="AV3">
            <v>68.599999999999994</v>
          </cell>
          <cell r="AW3">
            <v>26.690000000000005</v>
          </cell>
          <cell r="AX3">
            <v>1.1900000000000084</v>
          </cell>
          <cell r="AZ3" t="str">
            <v>113M-80 H</v>
          </cell>
          <cell r="BA3">
            <v>90</v>
          </cell>
          <cell r="BB3">
            <v>50.7</v>
          </cell>
          <cell r="BC3">
            <v>44.37</v>
          </cell>
          <cell r="BD3">
            <v>100</v>
          </cell>
          <cell r="BE3">
            <v>65.5</v>
          </cell>
          <cell r="BF3">
            <v>34.5</v>
          </cell>
          <cell r="BG3">
            <v>-9.8699999999999974</v>
          </cell>
        </row>
        <row r="4">
          <cell r="AQ4" t="str">
            <v>113M-02</v>
          </cell>
          <cell r="AR4">
            <v>80</v>
          </cell>
          <cell r="AS4">
            <v>79.599999999999994</v>
          </cell>
          <cell r="AT4">
            <v>16.320000000000007</v>
          </cell>
          <cell r="AU4">
            <v>80</v>
          </cell>
          <cell r="AV4">
            <v>0.8</v>
          </cell>
          <cell r="AW4">
            <v>79.36</v>
          </cell>
          <cell r="AX4">
            <v>63.039999999999992</v>
          </cell>
          <cell r="AZ4" t="str">
            <v xml:space="preserve"> 113M-81</v>
          </cell>
          <cell r="BA4">
            <v>140</v>
          </cell>
          <cell r="BB4">
            <v>86</v>
          </cell>
          <cell r="BC4">
            <v>19.600000000000001</v>
          </cell>
          <cell r="BD4">
            <v>115</v>
          </cell>
          <cell r="BE4">
            <v>88.9</v>
          </cell>
          <cell r="BF4">
            <v>12.764999999999999</v>
          </cell>
          <cell r="BG4">
            <v>-6.8350000000000026</v>
          </cell>
        </row>
        <row r="5">
          <cell r="AQ5" t="str">
            <v>113M-04</v>
          </cell>
          <cell r="AR5">
            <v>90</v>
          </cell>
          <cell r="AS5">
            <v>93.6</v>
          </cell>
          <cell r="AT5">
            <v>5.7600000000000051</v>
          </cell>
          <cell r="AU5">
            <v>80</v>
          </cell>
          <cell r="AV5">
            <v>97.7</v>
          </cell>
          <cell r="AW5">
            <v>1.8400000000000016</v>
          </cell>
          <cell r="AX5">
            <v>-3.9200000000000035</v>
          </cell>
          <cell r="AZ5" t="str">
            <v>113M-82</v>
          </cell>
          <cell r="BA5">
            <v>90</v>
          </cell>
          <cell r="BB5">
            <v>51</v>
          </cell>
          <cell r="BC5">
            <v>44.1</v>
          </cell>
          <cell r="BD5">
            <v>80</v>
          </cell>
          <cell r="BE5">
            <v>58.5</v>
          </cell>
          <cell r="BF5">
            <v>33.200000000000003</v>
          </cell>
          <cell r="BG5">
            <v>-10.899999999999999</v>
          </cell>
        </row>
        <row r="6">
          <cell r="AQ6" t="str">
            <v>113M-08B</v>
          </cell>
          <cell r="AR6">
            <v>150</v>
          </cell>
          <cell r="AS6">
            <v>73.2</v>
          </cell>
          <cell r="AT6">
            <v>40.200000000000003</v>
          </cell>
          <cell r="AU6">
            <v>130</v>
          </cell>
          <cell r="AV6">
            <v>87.2</v>
          </cell>
          <cell r="AW6">
            <v>16.64</v>
          </cell>
          <cell r="AX6">
            <v>-23.560000000000002</v>
          </cell>
          <cell r="AZ6" t="str">
            <v>113M-83</v>
          </cell>
          <cell r="BA6">
            <v>0</v>
          </cell>
          <cell r="BB6">
            <v>94.6</v>
          </cell>
          <cell r="BC6">
            <v>0</v>
          </cell>
          <cell r="BD6">
            <v>0</v>
          </cell>
          <cell r="BE6">
            <v>92.5</v>
          </cell>
          <cell r="BF6">
            <v>0</v>
          </cell>
          <cell r="BG6">
            <v>0</v>
          </cell>
        </row>
        <row r="7">
          <cell r="AQ7" t="str">
            <v>113M-18</v>
          </cell>
          <cell r="AR7">
            <v>400</v>
          </cell>
          <cell r="AS7">
            <v>74.2</v>
          </cell>
          <cell r="AT7">
            <v>103.2</v>
          </cell>
          <cell r="AU7">
            <v>400</v>
          </cell>
          <cell r="AV7">
            <v>85.6</v>
          </cell>
          <cell r="AW7">
            <v>57.600000000000009</v>
          </cell>
          <cell r="AX7">
            <v>-45.599999999999994</v>
          </cell>
          <cell r="AZ7" t="str">
            <v xml:space="preserve"> 113M-84</v>
          </cell>
          <cell r="BA7">
            <v>550</v>
          </cell>
          <cell r="BB7">
            <v>27</v>
          </cell>
          <cell r="BC7">
            <v>401.5</v>
          </cell>
          <cell r="BD7">
            <v>545</v>
          </cell>
          <cell r="BE7">
            <v>96</v>
          </cell>
          <cell r="BF7">
            <v>21.800000000000018</v>
          </cell>
          <cell r="BG7">
            <v>-379.7</v>
          </cell>
        </row>
        <row r="8">
          <cell r="AQ8" t="str">
            <v>113M-26</v>
          </cell>
          <cell r="AR8">
            <v>80</v>
          </cell>
          <cell r="AS8">
            <v>93.6</v>
          </cell>
          <cell r="AT8">
            <v>5.1200000000000045</v>
          </cell>
          <cell r="AU8">
            <v>50</v>
          </cell>
          <cell r="AV8">
            <v>88</v>
          </cell>
          <cell r="AW8">
            <v>6</v>
          </cell>
          <cell r="AX8">
            <v>0.87999999999999545</v>
          </cell>
          <cell r="AZ8" t="str">
            <v>113M-86 S.T.</v>
          </cell>
          <cell r="BA8">
            <v>60</v>
          </cell>
          <cell r="BB8">
            <v>30</v>
          </cell>
          <cell r="BC8">
            <v>42</v>
          </cell>
          <cell r="BD8">
            <v>60</v>
          </cell>
          <cell r="BE8">
            <v>40.9</v>
          </cell>
          <cell r="BF8">
            <v>35.46</v>
          </cell>
          <cell r="BG8">
            <v>-6.5399999999999991</v>
          </cell>
        </row>
        <row r="9">
          <cell r="AQ9" t="str">
            <v>113M-29</v>
          </cell>
          <cell r="AR9">
            <v>120</v>
          </cell>
          <cell r="AS9">
            <v>70</v>
          </cell>
          <cell r="AT9">
            <v>36.000000000000007</v>
          </cell>
          <cell r="AU9">
            <v>95</v>
          </cell>
          <cell r="AV9">
            <v>54.1</v>
          </cell>
          <cell r="AW9">
            <v>43.604999999999997</v>
          </cell>
          <cell r="AX9">
            <v>7.6049999999999898</v>
          </cell>
          <cell r="BD9">
            <v>80</v>
          </cell>
          <cell r="BE9">
            <v>77.2</v>
          </cell>
          <cell r="BF9">
            <v>18.239999999999998</v>
          </cell>
          <cell r="BG9">
            <v>18.239999999999998</v>
          </cell>
        </row>
        <row r="10">
          <cell r="AQ10" t="str">
            <v>*113M-30</v>
          </cell>
          <cell r="AR10">
            <v>0</v>
          </cell>
          <cell r="AS10">
            <v>87</v>
          </cell>
          <cell r="AT10">
            <v>0</v>
          </cell>
          <cell r="AU10">
            <v>0</v>
          </cell>
          <cell r="AV10">
            <v>86.9</v>
          </cell>
          <cell r="AW10">
            <v>0</v>
          </cell>
          <cell r="AX10">
            <v>0</v>
          </cell>
          <cell r="AZ10" t="str">
            <v>113M-91</v>
          </cell>
          <cell r="BA10">
            <v>70</v>
          </cell>
          <cell r="BB10">
            <v>71.2</v>
          </cell>
          <cell r="BC10">
            <v>20.159999999999993</v>
          </cell>
          <cell r="BD10">
            <v>70</v>
          </cell>
          <cell r="BE10">
            <v>71.2</v>
          </cell>
          <cell r="BF10">
            <v>20.159999999999993</v>
          </cell>
          <cell r="BG10">
            <v>0</v>
          </cell>
        </row>
        <row r="11">
          <cell r="AQ11" t="str">
            <v>*113M-35</v>
          </cell>
          <cell r="AR11">
            <v>0</v>
          </cell>
          <cell r="AS11">
            <v>80</v>
          </cell>
          <cell r="AT11">
            <v>0</v>
          </cell>
          <cell r="AU11">
            <v>0</v>
          </cell>
          <cell r="AV11">
            <v>97.2</v>
          </cell>
          <cell r="AW11">
            <v>0</v>
          </cell>
          <cell r="AX11">
            <v>0</v>
          </cell>
          <cell r="AZ11" t="str">
            <v>113M-94</v>
          </cell>
          <cell r="BA11">
            <v>60</v>
          </cell>
          <cell r="BB11">
            <v>80</v>
          </cell>
          <cell r="BC11">
            <v>11.999999999999996</v>
          </cell>
          <cell r="BD11">
            <v>60</v>
          </cell>
          <cell r="BE11">
            <v>76.7</v>
          </cell>
          <cell r="BF11">
            <v>13.979999999999999</v>
          </cell>
          <cell r="BG11">
            <v>1.9800000000000022</v>
          </cell>
        </row>
        <row r="12">
          <cell r="AQ12" t="str">
            <v>113M-40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99</v>
          </cell>
          <cell r="AW12">
            <v>0</v>
          </cell>
          <cell r="AX12">
            <v>0</v>
          </cell>
          <cell r="AZ12" t="str">
            <v>113M-96</v>
          </cell>
          <cell r="BC12">
            <v>0</v>
          </cell>
          <cell r="BD12">
            <v>140</v>
          </cell>
          <cell r="BE12">
            <v>92</v>
          </cell>
          <cell r="BF12">
            <v>11.199999999999994</v>
          </cell>
          <cell r="BG12">
            <v>11.199999999999994</v>
          </cell>
        </row>
        <row r="13">
          <cell r="AQ13" t="str">
            <v xml:space="preserve">  113M-42</v>
          </cell>
          <cell r="AR13">
            <v>0</v>
          </cell>
          <cell r="AS13">
            <v>90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Z13" t="str">
            <v>*113M-97 RE</v>
          </cell>
          <cell r="BA13">
            <v>0</v>
          </cell>
          <cell r="BB13">
            <v>50</v>
          </cell>
          <cell r="BC13">
            <v>0</v>
          </cell>
          <cell r="BD13">
            <v>0</v>
          </cell>
          <cell r="BE13">
            <v>27.6</v>
          </cell>
          <cell r="BF13">
            <v>0</v>
          </cell>
          <cell r="BG13">
            <v>0</v>
          </cell>
        </row>
        <row r="14">
          <cell r="AQ14" t="str">
            <v>113M-45</v>
          </cell>
          <cell r="AR14">
            <v>50</v>
          </cell>
          <cell r="AS14">
            <v>60</v>
          </cell>
          <cell r="AT14">
            <v>20</v>
          </cell>
          <cell r="AU14">
            <v>60</v>
          </cell>
          <cell r="AV14">
            <v>95</v>
          </cell>
          <cell r="AW14">
            <v>3.0000000000000027</v>
          </cell>
          <cell r="AX14">
            <v>-16.999999999999996</v>
          </cell>
          <cell r="AZ14" t="str">
            <v>113M-99</v>
          </cell>
          <cell r="BA14">
            <v>250</v>
          </cell>
          <cell r="BB14">
            <v>84</v>
          </cell>
          <cell r="BC14">
            <v>40.000000000000007</v>
          </cell>
          <cell r="BD14">
            <v>210</v>
          </cell>
          <cell r="BE14">
            <v>79.599999999999994</v>
          </cell>
          <cell r="BF14">
            <v>42.840000000000018</v>
          </cell>
          <cell r="BG14">
            <v>2.8400000000000105</v>
          </cell>
        </row>
        <row r="15">
          <cell r="AQ15" t="str">
            <v>113M-46</v>
          </cell>
          <cell r="AR15">
            <v>200</v>
          </cell>
          <cell r="AS15">
            <v>95</v>
          </cell>
          <cell r="AT15">
            <v>10.000000000000009</v>
          </cell>
          <cell r="AU15">
            <v>185</v>
          </cell>
          <cell r="AV15">
            <v>93.3</v>
          </cell>
          <cell r="AW15">
            <v>12.39500000000001</v>
          </cell>
          <cell r="AX15">
            <v>2.3950000000000014</v>
          </cell>
          <cell r="AZ15" t="str">
            <v>113M-100</v>
          </cell>
          <cell r="BA15">
            <v>100</v>
          </cell>
          <cell r="BB15">
            <v>58.2</v>
          </cell>
          <cell r="BC15">
            <v>41.79999999999999</v>
          </cell>
          <cell r="BD15">
            <v>100</v>
          </cell>
          <cell r="BE15">
            <v>58.2</v>
          </cell>
          <cell r="BF15">
            <v>41.79999999999999</v>
          </cell>
          <cell r="BG15">
            <v>0</v>
          </cell>
        </row>
        <row r="16">
          <cell r="AQ16" t="str">
            <v>113M-48</v>
          </cell>
          <cell r="AR16">
            <v>80</v>
          </cell>
          <cell r="AS16">
            <v>41</v>
          </cell>
          <cell r="AT16">
            <v>47.2</v>
          </cell>
          <cell r="AU16">
            <v>80</v>
          </cell>
          <cell r="AV16">
            <v>36.799999999999997</v>
          </cell>
          <cell r="AW16">
            <v>50.56</v>
          </cell>
          <cell r="AX16">
            <v>3.3599999999999994</v>
          </cell>
          <cell r="AZ16" t="str">
            <v>113M-101</v>
          </cell>
          <cell r="BC16">
            <v>0</v>
          </cell>
          <cell r="BD16">
            <v>30</v>
          </cell>
          <cell r="BE16">
            <v>0.8</v>
          </cell>
          <cell r="BF16">
            <v>29.759999999999998</v>
          </cell>
          <cell r="BG16">
            <v>29.759999999999998</v>
          </cell>
        </row>
        <row r="17">
          <cell r="AQ17" t="str">
            <v>113M-49</v>
          </cell>
          <cell r="AR17">
            <v>90</v>
          </cell>
          <cell r="AS17">
            <v>83.5</v>
          </cell>
          <cell r="AT17">
            <v>14.850000000000003</v>
          </cell>
          <cell r="AU17">
            <v>90</v>
          </cell>
          <cell r="AV17">
            <v>84.2</v>
          </cell>
          <cell r="AW17">
            <v>14.219999999999992</v>
          </cell>
          <cell r="AX17">
            <v>-0.63000000000001144</v>
          </cell>
          <cell r="AZ17" t="str">
            <v>113M-102</v>
          </cell>
          <cell r="BA17">
            <v>100</v>
          </cell>
          <cell r="BB17">
            <v>80</v>
          </cell>
          <cell r="BC17">
            <v>19.999999999999996</v>
          </cell>
          <cell r="BD17">
            <v>60</v>
          </cell>
          <cell r="BE17">
            <v>89.3</v>
          </cell>
          <cell r="BF17">
            <v>6.419999999999999</v>
          </cell>
          <cell r="BG17">
            <v>-13.579999999999998</v>
          </cell>
        </row>
        <row r="18">
          <cell r="AQ18" t="str">
            <v>113M-50</v>
          </cell>
          <cell r="AR18">
            <v>30</v>
          </cell>
          <cell r="AS18">
            <v>3.6</v>
          </cell>
          <cell r="AT18">
            <v>28.919999999999998</v>
          </cell>
          <cell r="AU18">
            <v>30</v>
          </cell>
          <cell r="AV18">
            <v>4</v>
          </cell>
          <cell r="AW18">
            <v>28.799999999999997</v>
          </cell>
          <cell r="AX18">
            <v>-0.12000000000000099</v>
          </cell>
          <cell r="AZ18" t="str">
            <v>113M-103</v>
          </cell>
          <cell r="BA18">
            <v>400</v>
          </cell>
          <cell r="BB18">
            <v>71</v>
          </cell>
          <cell r="BC18">
            <v>116.00000000000001</v>
          </cell>
          <cell r="BD18">
            <v>400</v>
          </cell>
          <cell r="BE18">
            <v>95.6</v>
          </cell>
          <cell r="BF18">
            <v>17.600000000000016</v>
          </cell>
          <cell r="BG18">
            <v>-98.4</v>
          </cell>
        </row>
        <row r="19">
          <cell r="AQ19" t="str">
            <v>113M-55</v>
          </cell>
          <cell r="AR19">
            <v>50</v>
          </cell>
          <cell r="AS19">
            <v>67.400000000000006</v>
          </cell>
          <cell r="AT19">
            <v>16.299999999999997</v>
          </cell>
          <cell r="AU19">
            <v>50</v>
          </cell>
          <cell r="AV19">
            <v>20.3</v>
          </cell>
          <cell r="AW19">
            <v>39.849999999999994</v>
          </cell>
          <cell r="AX19">
            <v>23.549999999999997</v>
          </cell>
          <cell r="BA19">
            <v>45</v>
          </cell>
          <cell r="BB19">
            <v>50</v>
          </cell>
          <cell r="BC19">
            <v>22.5</v>
          </cell>
          <cell r="BD19">
            <v>50</v>
          </cell>
          <cell r="BE19">
            <v>37.200000000000003</v>
          </cell>
          <cell r="BF19">
            <v>31.399999999999995</v>
          </cell>
          <cell r="BG19">
            <v>8.899999999999995</v>
          </cell>
        </row>
        <row r="20">
          <cell r="AQ20" t="str">
            <v>113M-57</v>
          </cell>
          <cell r="AR20">
            <v>180</v>
          </cell>
          <cell r="AS20">
            <v>66</v>
          </cell>
          <cell r="AT20">
            <v>61.199999999999996</v>
          </cell>
          <cell r="AU20">
            <v>180</v>
          </cell>
          <cell r="AV20">
            <v>78.7</v>
          </cell>
          <cell r="AW20">
            <v>38.339999999999996</v>
          </cell>
          <cell r="AX20">
            <v>-22.86</v>
          </cell>
          <cell r="AZ20" t="str">
            <v>113M-107</v>
          </cell>
          <cell r="BA20">
            <v>60</v>
          </cell>
          <cell r="BB20">
            <v>80</v>
          </cell>
          <cell r="BC20">
            <v>11.999999999999996</v>
          </cell>
          <cell r="BD20">
            <v>60</v>
          </cell>
          <cell r="BE20">
            <v>90.7</v>
          </cell>
          <cell r="BF20">
            <v>5.5799999999999983</v>
          </cell>
          <cell r="BG20">
            <v>-6.4199999999999982</v>
          </cell>
        </row>
        <row r="21">
          <cell r="AQ21" t="str">
            <v>113M-58</v>
          </cell>
          <cell r="AR21">
            <v>130</v>
          </cell>
          <cell r="AS21">
            <v>91.3</v>
          </cell>
          <cell r="AT21">
            <v>11.310000000000009</v>
          </cell>
          <cell r="AU21">
            <v>130</v>
          </cell>
          <cell r="AV21">
            <v>91.3</v>
          </cell>
          <cell r="AW21">
            <v>11.310000000000009</v>
          </cell>
          <cell r="AX21">
            <v>0</v>
          </cell>
          <cell r="AZ21" t="str">
            <v>113M-108</v>
          </cell>
          <cell r="BA21">
            <v>100</v>
          </cell>
          <cell r="BB21">
            <v>95.2</v>
          </cell>
          <cell r="BC21">
            <v>4.7999999999999936</v>
          </cell>
          <cell r="BD21">
            <v>145</v>
          </cell>
          <cell r="BE21">
            <v>93</v>
          </cell>
          <cell r="BF21">
            <v>10.149999999999993</v>
          </cell>
          <cell r="BG21">
            <v>5.35</v>
          </cell>
        </row>
        <row r="22">
          <cell r="AQ22" t="str">
            <v xml:space="preserve"> 113M-59</v>
          </cell>
          <cell r="AR22">
            <v>170</v>
          </cell>
          <cell r="AS22">
            <v>90.8</v>
          </cell>
          <cell r="AT22">
            <v>15.640000000000015</v>
          </cell>
          <cell r="AU22">
            <v>170</v>
          </cell>
          <cell r="AV22">
            <v>82.9</v>
          </cell>
          <cell r="AW22">
            <v>29.06999999999999</v>
          </cell>
          <cell r="AX22">
            <v>13.429999999999975</v>
          </cell>
          <cell r="AZ22" t="str">
            <v>113M-109</v>
          </cell>
          <cell r="BA22">
            <v>90</v>
          </cell>
          <cell r="BB22">
            <v>90</v>
          </cell>
          <cell r="BC22">
            <v>8.9999999999999982</v>
          </cell>
          <cell r="BD22">
            <v>90</v>
          </cell>
          <cell r="BE22">
            <v>50.8</v>
          </cell>
          <cell r="BF22">
            <v>44.28</v>
          </cell>
          <cell r="BG22">
            <v>35.28</v>
          </cell>
        </row>
        <row r="23">
          <cell r="AQ23" t="str">
            <v>*113M-65</v>
          </cell>
          <cell r="AR23">
            <v>0</v>
          </cell>
          <cell r="AS23">
            <v>95</v>
          </cell>
          <cell r="AT23">
            <v>0</v>
          </cell>
          <cell r="AU23">
            <v>0</v>
          </cell>
          <cell r="AV23">
            <v>92</v>
          </cell>
          <cell r="AW23">
            <v>0</v>
          </cell>
          <cell r="AX23">
            <v>0</v>
          </cell>
          <cell r="AZ23" t="str">
            <v>*113M-110</v>
          </cell>
          <cell r="BA23">
            <v>0</v>
          </cell>
          <cell r="BB23">
            <v>94.6</v>
          </cell>
          <cell r="BC23">
            <v>0</v>
          </cell>
          <cell r="BD23">
            <v>0</v>
          </cell>
          <cell r="BE23">
            <v>93.7</v>
          </cell>
          <cell r="BF23">
            <v>0</v>
          </cell>
          <cell r="BG23">
            <v>0</v>
          </cell>
        </row>
        <row r="24">
          <cell r="AQ24" t="str">
            <v>113M-66</v>
          </cell>
          <cell r="AR24">
            <v>150</v>
          </cell>
          <cell r="AS24">
            <v>90</v>
          </cell>
          <cell r="AT24">
            <v>14.999999999999996</v>
          </cell>
          <cell r="AU24">
            <v>140</v>
          </cell>
          <cell r="AV24">
            <v>98</v>
          </cell>
          <cell r="AW24">
            <v>2.8000000000000025</v>
          </cell>
          <cell r="AX24">
            <v>-12.199999999999994</v>
          </cell>
          <cell r="AZ24" t="str">
            <v xml:space="preserve"> 113M-112</v>
          </cell>
          <cell r="BA24">
            <v>140</v>
          </cell>
          <cell r="BB24">
            <v>71.599999999999994</v>
          </cell>
          <cell r="BC24">
            <v>39.760000000000005</v>
          </cell>
          <cell r="BD24">
            <v>130</v>
          </cell>
          <cell r="BE24">
            <v>80.2</v>
          </cell>
          <cell r="BF24">
            <v>25.739999999999995</v>
          </cell>
          <cell r="BG24">
            <v>-14.02000000000001</v>
          </cell>
        </row>
        <row r="25">
          <cell r="AQ25" t="str">
            <v>*113M-67</v>
          </cell>
          <cell r="AR25">
            <v>0</v>
          </cell>
          <cell r="AS25">
            <v>97</v>
          </cell>
          <cell r="AT25">
            <v>0</v>
          </cell>
          <cell r="AU25">
            <v>0</v>
          </cell>
          <cell r="AV25">
            <v>92.7</v>
          </cell>
          <cell r="AW25">
            <v>0</v>
          </cell>
          <cell r="AX25">
            <v>0</v>
          </cell>
          <cell r="AZ25" t="str">
            <v xml:space="preserve"> 113M-114</v>
          </cell>
          <cell r="BA25">
            <v>45</v>
          </cell>
          <cell r="BB25">
            <v>80</v>
          </cell>
          <cell r="BC25">
            <v>8.9999999999999982</v>
          </cell>
          <cell r="BD25">
            <v>45</v>
          </cell>
          <cell r="BE25">
            <v>55.6</v>
          </cell>
          <cell r="BF25">
            <v>19.979999999999997</v>
          </cell>
          <cell r="BG25">
            <v>10.979999999999999</v>
          </cell>
        </row>
        <row r="26">
          <cell r="AQ26" t="str">
            <v>*113M-68 ST</v>
          </cell>
          <cell r="AR26">
            <v>0</v>
          </cell>
          <cell r="AS26">
            <v>98</v>
          </cell>
          <cell r="AT26">
            <v>0</v>
          </cell>
          <cell r="AU26">
            <v>0</v>
          </cell>
          <cell r="AV26">
            <v>96</v>
          </cell>
          <cell r="AW26">
            <v>0</v>
          </cell>
          <cell r="AX26">
            <v>0</v>
          </cell>
          <cell r="AZ26" t="str">
            <v>113M-115</v>
          </cell>
          <cell r="BA26">
            <v>120</v>
          </cell>
          <cell r="BC26">
            <v>11.88000000000001</v>
          </cell>
          <cell r="BD26">
            <v>120</v>
          </cell>
          <cell r="BE26">
            <v>90.1</v>
          </cell>
          <cell r="BF26">
            <v>11.88000000000001</v>
          </cell>
          <cell r="BG26">
            <v>0</v>
          </cell>
        </row>
        <row r="27">
          <cell r="AQ27" t="str">
            <v>113M-70</v>
          </cell>
          <cell r="AR27">
            <v>100</v>
          </cell>
          <cell r="AS27">
            <v>80</v>
          </cell>
          <cell r="AT27">
            <v>19.999999999999996</v>
          </cell>
          <cell r="AU27">
            <v>75</v>
          </cell>
          <cell r="AV27">
            <v>66.900000000000006</v>
          </cell>
          <cell r="AW27">
            <v>24.824999999999996</v>
          </cell>
          <cell r="AX27">
            <v>4.8249999999999993</v>
          </cell>
          <cell r="AZ27" t="str">
            <v>113M-116</v>
          </cell>
          <cell r="BA27">
            <v>80</v>
          </cell>
          <cell r="BB27">
            <v>48.9</v>
          </cell>
          <cell r="BC27">
            <v>40.880000000000003</v>
          </cell>
          <cell r="BD27">
            <v>70</v>
          </cell>
          <cell r="BE27">
            <v>96</v>
          </cell>
          <cell r="BF27">
            <v>2.8000000000000025</v>
          </cell>
          <cell r="BG27">
            <v>-38.08</v>
          </cell>
        </row>
        <row r="28">
          <cell r="AQ28" t="str">
            <v>113M-71</v>
          </cell>
          <cell r="AR28">
            <v>130</v>
          </cell>
          <cell r="AS28">
            <v>87</v>
          </cell>
          <cell r="AT28">
            <v>16.900000000000002</v>
          </cell>
          <cell r="AU28">
            <v>130</v>
          </cell>
          <cell r="AV28">
            <v>91.4</v>
          </cell>
          <cell r="AW28">
            <v>11.179999999999996</v>
          </cell>
          <cell r="AX28">
            <v>-5.720000000000006</v>
          </cell>
          <cell r="BA28">
            <v>40</v>
          </cell>
          <cell r="BB28">
            <v>46.5</v>
          </cell>
          <cell r="BC28">
            <v>21.4</v>
          </cell>
          <cell r="BD28">
            <v>50</v>
          </cell>
          <cell r="BE28">
            <v>42.4</v>
          </cell>
          <cell r="BF28">
            <v>28.800000000000004</v>
          </cell>
          <cell r="BG28">
            <v>7.4000000000000057</v>
          </cell>
        </row>
        <row r="29">
          <cell r="AU29">
            <v>35</v>
          </cell>
          <cell r="AV29">
            <v>67.8</v>
          </cell>
          <cell r="AW29">
            <v>11.270000000000003</v>
          </cell>
          <cell r="AX29">
            <v>11.270000000000003</v>
          </cell>
          <cell r="AZ29" t="str">
            <v>*113M-118</v>
          </cell>
          <cell r="BA29">
            <v>0</v>
          </cell>
          <cell r="BB29">
            <v>10</v>
          </cell>
          <cell r="BC29">
            <v>0</v>
          </cell>
          <cell r="BD29">
            <v>0</v>
          </cell>
          <cell r="BE29">
            <v>1.6</v>
          </cell>
          <cell r="BF29">
            <v>0</v>
          </cell>
          <cell r="BG29">
            <v>0</v>
          </cell>
        </row>
        <row r="30">
          <cell r="AQ30" t="str">
            <v>113M-74</v>
          </cell>
          <cell r="AR30">
            <v>150</v>
          </cell>
          <cell r="AS30">
            <v>80</v>
          </cell>
          <cell r="AT30">
            <v>29.999999999999993</v>
          </cell>
          <cell r="AU30">
            <v>180</v>
          </cell>
          <cell r="AV30">
            <v>69.599999999999994</v>
          </cell>
          <cell r="AW30">
            <v>54.720000000000006</v>
          </cell>
          <cell r="AX30">
            <v>24.720000000000013</v>
          </cell>
          <cell r="AZ30" t="str">
            <v>113M-119</v>
          </cell>
          <cell r="BA30">
            <v>100</v>
          </cell>
          <cell r="BB30">
            <v>1.6</v>
          </cell>
          <cell r="BC30">
            <v>98.4</v>
          </cell>
          <cell r="BD30">
            <v>90</v>
          </cell>
          <cell r="BE30">
            <v>7.3</v>
          </cell>
          <cell r="BF30">
            <v>83.43</v>
          </cell>
          <cell r="BG30">
            <v>-14.969999999999999</v>
          </cell>
        </row>
        <row r="31">
          <cell r="AQ31" t="str">
            <v>113M-76</v>
          </cell>
          <cell r="AR31">
            <v>80</v>
          </cell>
          <cell r="AS31">
            <v>93</v>
          </cell>
          <cell r="AT31">
            <v>5.5999999999999961</v>
          </cell>
          <cell r="AU31">
            <v>80</v>
          </cell>
          <cell r="AV31">
            <v>74.3</v>
          </cell>
          <cell r="AW31">
            <v>20.560000000000002</v>
          </cell>
          <cell r="AX31">
            <v>14.960000000000006</v>
          </cell>
          <cell r="BA31">
            <v>200</v>
          </cell>
          <cell r="BB31">
            <v>27.8</v>
          </cell>
          <cell r="BC31">
            <v>144.4</v>
          </cell>
          <cell r="BD31">
            <v>200</v>
          </cell>
          <cell r="BE31">
            <v>4.8</v>
          </cell>
          <cell r="BF31">
            <v>190.39999999999998</v>
          </cell>
          <cell r="BG31">
            <v>45.999999999999972</v>
          </cell>
        </row>
        <row r="32">
          <cell r="AQ32" t="str">
            <v xml:space="preserve"> 113M-77 H</v>
          </cell>
          <cell r="AR32">
            <v>170</v>
          </cell>
          <cell r="AS32">
            <v>85</v>
          </cell>
          <cell r="AT32">
            <v>25.500000000000004</v>
          </cell>
          <cell r="AU32">
            <v>170</v>
          </cell>
          <cell r="AV32">
            <v>85.4</v>
          </cell>
          <cell r="AW32">
            <v>24.819999999999986</v>
          </cell>
          <cell r="AX32">
            <v>-0.68000000000001748</v>
          </cell>
          <cell r="AZ32" t="str">
            <v>113M-121</v>
          </cell>
          <cell r="BA32">
            <v>100</v>
          </cell>
          <cell r="BB32">
            <v>13</v>
          </cell>
          <cell r="BC32">
            <v>87</v>
          </cell>
          <cell r="BD32">
            <v>115</v>
          </cell>
          <cell r="BE32">
            <v>0.8</v>
          </cell>
          <cell r="BF32">
            <v>114.08</v>
          </cell>
          <cell r="BG32">
            <v>27.08</v>
          </cell>
        </row>
        <row r="33">
          <cell r="AQ33" t="str">
            <v>113M-78</v>
          </cell>
          <cell r="AR33">
            <v>80</v>
          </cell>
          <cell r="AS33">
            <v>46</v>
          </cell>
          <cell r="AT33">
            <v>43.2</v>
          </cell>
          <cell r="AU33">
            <v>70</v>
          </cell>
          <cell r="AV33">
            <v>68.599999999999994</v>
          </cell>
          <cell r="AW33">
            <v>21.980000000000004</v>
          </cell>
          <cell r="AX33">
            <v>-21.22</v>
          </cell>
          <cell r="AZ33" t="str">
            <v>113M-122</v>
          </cell>
          <cell r="BA33">
            <v>100</v>
          </cell>
          <cell r="BB33">
            <v>4</v>
          </cell>
          <cell r="BC33">
            <v>96</v>
          </cell>
          <cell r="BD33">
            <v>100</v>
          </cell>
          <cell r="BE33">
            <v>4.5</v>
          </cell>
          <cell r="BF33">
            <v>95.5</v>
          </cell>
          <cell r="BG33">
            <v>-0.5</v>
          </cell>
        </row>
        <row r="34">
          <cell r="AQ34" t="str">
            <v>113M-79 H</v>
          </cell>
          <cell r="AR34">
            <v>50</v>
          </cell>
          <cell r="AS34">
            <v>53.2</v>
          </cell>
          <cell r="AT34">
            <v>23.4</v>
          </cell>
          <cell r="AU34">
            <v>50</v>
          </cell>
          <cell r="AV34">
            <v>82.2</v>
          </cell>
          <cell r="AW34">
            <v>8.8999999999999968</v>
          </cell>
          <cell r="AX34">
            <v>-14.500000000000002</v>
          </cell>
          <cell r="AZ34" t="str">
            <v>113M-123</v>
          </cell>
          <cell r="BA34">
            <v>180</v>
          </cell>
          <cell r="BB34">
            <v>4</v>
          </cell>
          <cell r="BC34">
            <v>172.79999999999998</v>
          </cell>
          <cell r="BD34">
            <v>180</v>
          </cell>
          <cell r="BE34">
            <v>4.5</v>
          </cell>
          <cell r="BF34">
            <v>171.9</v>
          </cell>
          <cell r="BG34">
            <v>-0.89999999999997726</v>
          </cell>
        </row>
        <row r="35">
          <cell r="AZ35" t="str">
            <v>113M-124</v>
          </cell>
          <cell r="BA35">
            <v>80</v>
          </cell>
          <cell r="BB35">
            <v>50</v>
          </cell>
          <cell r="BC35">
            <v>40</v>
          </cell>
          <cell r="BD35">
            <v>100</v>
          </cell>
          <cell r="BE35">
            <v>1.6</v>
          </cell>
          <cell r="BF35">
            <v>98.4</v>
          </cell>
          <cell r="BG35">
            <v>58.400000000000006</v>
          </cell>
        </row>
        <row r="36">
          <cell r="AZ36" t="str">
            <v>113M-125</v>
          </cell>
          <cell r="BA36">
            <v>80</v>
          </cell>
          <cell r="BB36">
            <v>100</v>
          </cell>
          <cell r="BC36">
            <v>0</v>
          </cell>
          <cell r="BD36">
            <v>50</v>
          </cell>
          <cell r="BE36">
            <v>100</v>
          </cell>
          <cell r="BF36">
            <v>0</v>
          </cell>
          <cell r="BG36">
            <v>0</v>
          </cell>
        </row>
        <row r="40">
          <cell r="AQ40" t="str">
            <v xml:space="preserve"> SINAI-02</v>
          </cell>
          <cell r="AR40">
            <v>600</v>
          </cell>
          <cell r="AS40">
            <v>94</v>
          </cell>
          <cell r="AT40">
            <v>36.000000000000028</v>
          </cell>
          <cell r="AU40">
            <v>600</v>
          </cell>
          <cell r="AV40">
            <v>94</v>
          </cell>
          <cell r="AW40">
            <v>36.000000000000028</v>
          </cell>
          <cell r="AX40">
            <v>0</v>
          </cell>
          <cell r="AZ40" t="str">
            <v>SINAI-07</v>
          </cell>
          <cell r="BA40">
            <v>300</v>
          </cell>
          <cell r="BB40">
            <v>92.7</v>
          </cell>
          <cell r="BC40">
            <v>21.899999999999984</v>
          </cell>
          <cell r="BD40">
            <v>350</v>
          </cell>
          <cell r="BE40">
            <v>89.5</v>
          </cell>
          <cell r="BF40">
            <v>36.749999999999993</v>
          </cell>
          <cell r="BG40">
            <v>14.850000000000009</v>
          </cell>
        </row>
        <row r="41">
          <cell r="AQ41" t="str">
            <v xml:space="preserve"> SINAI-04</v>
          </cell>
          <cell r="AR41">
            <v>500</v>
          </cell>
          <cell r="AS41">
            <v>93</v>
          </cell>
          <cell r="AT41">
            <v>34.999999999999979</v>
          </cell>
          <cell r="AU41">
            <v>520</v>
          </cell>
          <cell r="AV41">
            <v>95</v>
          </cell>
          <cell r="AW41">
            <v>26.000000000000021</v>
          </cell>
          <cell r="AX41">
            <v>-2.9999999999999503</v>
          </cell>
          <cell r="AZ41" t="str">
            <v xml:space="preserve">  SINAI-08</v>
          </cell>
          <cell r="BA41">
            <v>0</v>
          </cell>
          <cell r="BB41">
            <v>88</v>
          </cell>
          <cell r="BC41">
            <v>0</v>
          </cell>
          <cell r="BD41">
            <v>0</v>
          </cell>
          <cell r="BE41">
            <v>98</v>
          </cell>
          <cell r="BF41">
            <v>0</v>
          </cell>
          <cell r="BG41">
            <v>0</v>
          </cell>
        </row>
        <row r="42">
          <cell r="AQ42" t="str">
            <v>SINAI-06</v>
          </cell>
          <cell r="AR42">
            <v>100</v>
          </cell>
          <cell r="AS42">
            <v>90</v>
          </cell>
          <cell r="AT42">
            <v>9.9999999999999982</v>
          </cell>
          <cell r="AU42">
            <v>130</v>
          </cell>
          <cell r="AV42">
            <v>72.3</v>
          </cell>
          <cell r="AW42">
            <v>36.010000000000005</v>
          </cell>
          <cell r="AX42">
            <v>1.7399999999999984</v>
          </cell>
          <cell r="AZ42" t="str">
            <v xml:space="preserve">  SINAI-09</v>
          </cell>
          <cell r="BA42">
            <v>100</v>
          </cell>
          <cell r="BB42">
            <v>12</v>
          </cell>
          <cell r="BC42">
            <v>88</v>
          </cell>
          <cell r="BD42">
            <v>100</v>
          </cell>
          <cell r="BE42">
            <v>33.6</v>
          </cell>
          <cell r="BF42">
            <v>66.399999999999991</v>
          </cell>
          <cell r="BG42">
            <v>-21.600000000000009</v>
          </cell>
        </row>
        <row r="46">
          <cell r="AQ46" t="str">
            <v xml:space="preserve"> BM-15 Re.</v>
          </cell>
          <cell r="AR46">
            <v>50</v>
          </cell>
          <cell r="AS46">
            <v>75</v>
          </cell>
          <cell r="AT46">
            <v>12.5</v>
          </cell>
          <cell r="AU46">
            <v>50</v>
          </cell>
          <cell r="AV46">
            <v>33.1</v>
          </cell>
          <cell r="AW46">
            <v>33.450000000000003</v>
          </cell>
          <cell r="AX46">
            <v>20.950000000000003</v>
          </cell>
          <cell r="AZ46" t="str">
            <v>BM-86</v>
          </cell>
          <cell r="BA46">
            <v>30</v>
          </cell>
          <cell r="BB46">
            <v>10</v>
          </cell>
          <cell r="BC46">
            <v>27</v>
          </cell>
          <cell r="BD46">
            <v>30</v>
          </cell>
          <cell r="BE46">
            <v>33.799999999999997</v>
          </cell>
          <cell r="BF46">
            <v>19.86</v>
          </cell>
          <cell r="BG46">
            <v>-7.1400000000000006</v>
          </cell>
        </row>
        <row r="47">
          <cell r="AQ47" t="str">
            <v>BM-17</v>
          </cell>
          <cell r="AR47">
            <v>110</v>
          </cell>
          <cell r="AS47">
            <v>79</v>
          </cell>
          <cell r="AT47">
            <v>23.099999999999994</v>
          </cell>
          <cell r="AU47">
            <v>120</v>
          </cell>
          <cell r="AV47">
            <v>73.7</v>
          </cell>
          <cell r="AW47">
            <v>31.560000000000002</v>
          </cell>
          <cell r="AX47">
            <v>8.460000000000008</v>
          </cell>
          <cell r="AZ47" t="str">
            <v xml:space="preserve"> *BM-88</v>
          </cell>
          <cell r="BA47">
            <v>0</v>
          </cell>
          <cell r="BB47">
            <v>76.400000000000006</v>
          </cell>
          <cell r="BC47">
            <v>0</v>
          </cell>
          <cell r="BD47">
            <v>0</v>
          </cell>
          <cell r="BE47">
            <v>82.1</v>
          </cell>
          <cell r="BF47">
            <v>0</v>
          </cell>
          <cell r="BG47">
            <v>0</v>
          </cell>
        </row>
        <row r="48">
          <cell r="AT48">
            <v>0</v>
          </cell>
          <cell r="AU48">
            <v>0</v>
          </cell>
          <cell r="AV48">
            <v>40.9</v>
          </cell>
          <cell r="AW48">
            <v>0</v>
          </cell>
          <cell r="AX48">
            <v>0</v>
          </cell>
          <cell r="AZ48" t="str">
            <v xml:space="preserve">  *BM-89</v>
          </cell>
          <cell r="BA48">
            <v>0</v>
          </cell>
          <cell r="BC48">
            <v>0</v>
          </cell>
          <cell r="BD48">
            <v>0</v>
          </cell>
          <cell r="BE48">
            <v>92.6</v>
          </cell>
          <cell r="BF48">
            <v>0</v>
          </cell>
          <cell r="BG48">
            <v>0</v>
          </cell>
        </row>
        <row r="49">
          <cell r="AQ49" t="str">
            <v>BM-21</v>
          </cell>
          <cell r="AR49">
            <v>0</v>
          </cell>
          <cell r="AS49">
            <v>68.599999999999994</v>
          </cell>
          <cell r="AT49">
            <v>0</v>
          </cell>
          <cell r="AU49">
            <v>0</v>
          </cell>
          <cell r="AV49">
            <v>2.4</v>
          </cell>
          <cell r="AW49">
            <v>0</v>
          </cell>
          <cell r="AX49">
            <v>0</v>
          </cell>
          <cell r="AZ49" t="str">
            <v>BM-90</v>
          </cell>
          <cell r="BA49">
            <v>80</v>
          </cell>
          <cell r="BB49">
            <v>73.599999999999994</v>
          </cell>
          <cell r="BC49">
            <v>21.12</v>
          </cell>
          <cell r="BD49">
            <v>80</v>
          </cell>
          <cell r="BE49">
            <v>79.3</v>
          </cell>
          <cell r="BF49">
            <v>16.560000000000006</v>
          </cell>
          <cell r="BG49">
            <v>-4.5599999999999952</v>
          </cell>
        </row>
        <row r="50">
          <cell r="AQ50" t="str">
            <v>BM-22</v>
          </cell>
          <cell r="AR50">
            <v>50</v>
          </cell>
          <cell r="AS50">
            <v>61.9</v>
          </cell>
          <cell r="AT50">
            <v>19.05</v>
          </cell>
          <cell r="AU50">
            <v>50</v>
          </cell>
          <cell r="AV50">
            <v>78.400000000000006</v>
          </cell>
          <cell r="AW50">
            <v>10.799999999999999</v>
          </cell>
          <cell r="AX50">
            <v>-8.2500000000000018</v>
          </cell>
          <cell r="AZ50" t="str">
            <v>BM-91</v>
          </cell>
          <cell r="BA50">
            <v>120</v>
          </cell>
          <cell r="BB50">
            <v>48</v>
          </cell>
          <cell r="BC50">
            <v>62.400000000000006</v>
          </cell>
          <cell r="BD50">
            <v>110</v>
          </cell>
          <cell r="BE50">
            <v>33.799999999999997</v>
          </cell>
          <cell r="BF50">
            <v>72.820000000000007</v>
          </cell>
          <cell r="BG50">
            <v>10.420000000000002</v>
          </cell>
        </row>
        <row r="51">
          <cell r="AQ51" t="str">
            <v>BM-23 Re.</v>
          </cell>
          <cell r="AR51">
            <v>400</v>
          </cell>
          <cell r="AS51">
            <v>100</v>
          </cell>
          <cell r="AT51">
            <v>0</v>
          </cell>
          <cell r="AU51">
            <v>400</v>
          </cell>
          <cell r="AV51">
            <v>97.5</v>
          </cell>
          <cell r="AW51">
            <v>10.000000000000009</v>
          </cell>
          <cell r="AX51">
            <v>10.000000000000009</v>
          </cell>
          <cell r="AZ51" t="str">
            <v>BM-92 Re.</v>
          </cell>
          <cell r="BA51">
            <v>70</v>
          </cell>
          <cell r="BB51">
            <v>12</v>
          </cell>
          <cell r="BC51">
            <v>61.6</v>
          </cell>
          <cell r="BD51">
            <v>75</v>
          </cell>
          <cell r="BE51">
            <v>12</v>
          </cell>
          <cell r="BF51">
            <v>66</v>
          </cell>
          <cell r="BG51">
            <v>4.3999999999999986</v>
          </cell>
        </row>
        <row r="52">
          <cell r="AQ52" t="str">
            <v>BM-26</v>
          </cell>
          <cell r="AR52">
            <v>60</v>
          </cell>
          <cell r="AS52">
            <v>45</v>
          </cell>
          <cell r="AT52">
            <v>33</v>
          </cell>
          <cell r="AU52">
            <v>60</v>
          </cell>
          <cell r="AV52">
            <v>67.900000000000006</v>
          </cell>
          <cell r="AW52">
            <v>19.259999999999998</v>
          </cell>
          <cell r="AX52">
            <v>-13.740000000000002</v>
          </cell>
          <cell r="AZ52" t="str">
            <v>BM-93 Re.</v>
          </cell>
          <cell r="BA52">
            <v>50</v>
          </cell>
          <cell r="BB52">
            <v>70</v>
          </cell>
          <cell r="BC52">
            <v>15.000000000000002</v>
          </cell>
          <cell r="BD52">
            <v>40</v>
          </cell>
          <cell r="BE52">
            <v>71.7</v>
          </cell>
          <cell r="BF52">
            <v>11.319999999999997</v>
          </cell>
          <cell r="BG52">
            <v>-3.680000000000005</v>
          </cell>
        </row>
        <row r="53">
          <cell r="AQ53" t="str">
            <v>*BM-27</v>
          </cell>
          <cell r="AR53">
            <v>0</v>
          </cell>
          <cell r="AS53">
            <v>1.2</v>
          </cell>
          <cell r="AT53">
            <v>0</v>
          </cell>
          <cell r="AU53">
            <v>0</v>
          </cell>
          <cell r="AV53">
            <v>37.6</v>
          </cell>
          <cell r="AW53">
            <v>0</v>
          </cell>
          <cell r="AX53">
            <v>0</v>
          </cell>
          <cell r="AZ53" t="str">
            <v>BM-94 H</v>
          </cell>
          <cell r="BA53">
            <v>40</v>
          </cell>
          <cell r="BB53">
            <v>18</v>
          </cell>
          <cell r="BC53">
            <v>32.800000000000004</v>
          </cell>
          <cell r="BD53">
            <v>40</v>
          </cell>
          <cell r="BE53">
            <v>53.7</v>
          </cell>
          <cell r="BF53">
            <v>18.52</v>
          </cell>
          <cell r="BG53">
            <v>-14.280000000000005</v>
          </cell>
        </row>
        <row r="54">
          <cell r="AQ54" t="str">
            <v>BM-29</v>
          </cell>
          <cell r="AR54">
            <v>60</v>
          </cell>
          <cell r="AS54">
            <v>50</v>
          </cell>
          <cell r="AT54">
            <v>30</v>
          </cell>
          <cell r="AU54">
            <v>75</v>
          </cell>
          <cell r="AV54">
            <v>58.9</v>
          </cell>
          <cell r="AW54">
            <v>30.825000000000003</v>
          </cell>
          <cell r="AX54">
            <v>0.82500000000000284</v>
          </cell>
          <cell r="AZ54" t="str">
            <v>BM-95 H</v>
          </cell>
          <cell r="BA54">
            <v>35</v>
          </cell>
          <cell r="BB54">
            <v>10</v>
          </cell>
          <cell r="BC54">
            <v>31.5</v>
          </cell>
          <cell r="BD54">
            <v>30</v>
          </cell>
          <cell r="BE54">
            <v>0.8</v>
          </cell>
          <cell r="BF54">
            <v>29.759999999999998</v>
          </cell>
          <cell r="BG54">
            <v>-1.740000000000002</v>
          </cell>
        </row>
        <row r="55">
          <cell r="AQ55" t="str">
            <v>BM-30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94.3</v>
          </cell>
          <cell r="AW55">
            <v>0</v>
          </cell>
          <cell r="AX55">
            <v>0</v>
          </cell>
          <cell r="AZ55" t="str">
            <v xml:space="preserve"> BM-100</v>
          </cell>
          <cell r="BA55">
            <v>100</v>
          </cell>
          <cell r="BB55">
            <v>58.5</v>
          </cell>
          <cell r="BC55">
            <v>41.5</v>
          </cell>
          <cell r="BD55">
            <v>100</v>
          </cell>
          <cell r="BE55">
            <v>58.5</v>
          </cell>
          <cell r="BF55">
            <v>41.5</v>
          </cell>
          <cell r="BG55">
            <v>0</v>
          </cell>
        </row>
        <row r="56">
          <cell r="AQ56" t="str">
            <v xml:space="preserve"> BM-34</v>
          </cell>
          <cell r="AR56">
            <v>30</v>
          </cell>
          <cell r="AS56">
            <v>64.8</v>
          </cell>
          <cell r="AT56">
            <v>10.559999999999999</v>
          </cell>
          <cell r="AU56">
            <v>30</v>
          </cell>
          <cell r="AV56">
            <v>64.8</v>
          </cell>
          <cell r="AW56">
            <v>10.559999999999999</v>
          </cell>
          <cell r="AX56">
            <v>0</v>
          </cell>
          <cell r="AZ56" t="str">
            <v>*BM-101</v>
          </cell>
          <cell r="BA56">
            <v>0</v>
          </cell>
          <cell r="BB56">
            <v>74.3</v>
          </cell>
          <cell r="BC56">
            <v>0</v>
          </cell>
          <cell r="BD56">
            <v>0</v>
          </cell>
          <cell r="BE56">
            <v>74.3</v>
          </cell>
          <cell r="BF56">
            <v>0</v>
          </cell>
          <cell r="BG56">
            <v>0</v>
          </cell>
        </row>
        <row r="57">
          <cell r="AQ57" t="str">
            <v>* BM-36</v>
          </cell>
          <cell r="AU57">
            <v>0</v>
          </cell>
          <cell r="AV57">
            <v>80</v>
          </cell>
          <cell r="AW57">
            <v>0</v>
          </cell>
          <cell r="AX57">
            <v>0</v>
          </cell>
          <cell r="AZ57" t="str">
            <v>BM-102</v>
          </cell>
          <cell r="BA57">
            <v>50</v>
          </cell>
          <cell r="BB57">
            <v>85.2</v>
          </cell>
          <cell r="BC57">
            <v>7.4000000000000012</v>
          </cell>
          <cell r="BD57">
            <v>60</v>
          </cell>
          <cell r="BE57">
            <v>76.400000000000006</v>
          </cell>
          <cell r="BF57">
            <v>14.16</v>
          </cell>
          <cell r="BG57">
            <v>6.7599999999999989</v>
          </cell>
        </row>
        <row r="58">
          <cell r="AQ58" t="str">
            <v>BM-39 ST.</v>
          </cell>
          <cell r="AR58">
            <v>50</v>
          </cell>
          <cell r="AS58">
            <v>74</v>
          </cell>
          <cell r="AT58">
            <v>13</v>
          </cell>
          <cell r="AU58">
            <v>50</v>
          </cell>
          <cell r="AV58">
            <v>73.099999999999994</v>
          </cell>
          <cell r="AW58">
            <v>13.450000000000001</v>
          </cell>
          <cell r="AX58">
            <v>0.45000000000000107</v>
          </cell>
          <cell r="AZ58" t="str">
            <v>*BM-104</v>
          </cell>
          <cell r="BA58">
            <v>0</v>
          </cell>
          <cell r="BB58">
            <v>20</v>
          </cell>
          <cell r="BC58">
            <v>0</v>
          </cell>
          <cell r="BD58">
            <v>0</v>
          </cell>
          <cell r="BE58">
            <v>28.6</v>
          </cell>
          <cell r="BF58">
            <v>0</v>
          </cell>
          <cell r="BG58">
            <v>0</v>
          </cell>
        </row>
        <row r="59">
          <cell r="AQ59" t="str">
            <v>*BM-41</v>
          </cell>
          <cell r="AR59">
            <v>0</v>
          </cell>
          <cell r="AS59">
            <v>90</v>
          </cell>
          <cell r="AT59">
            <v>0</v>
          </cell>
          <cell r="AU59">
            <v>0</v>
          </cell>
          <cell r="AV59">
            <v>92</v>
          </cell>
          <cell r="AW59">
            <v>0</v>
          </cell>
          <cell r="AX59">
            <v>0</v>
          </cell>
          <cell r="AZ59" t="str">
            <v>BM-105</v>
          </cell>
          <cell r="BA59">
            <v>50</v>
          </cell>
          <cell r="BB59">
            <v>10</v>
          </cell>
          <cell r="BC59">
            <v>45</v>
          </cell>
          <cell r="BD59">
            <v>50</v>
          </cell>
          <cell r="BE59">
            <v>22.9</v>
          </cell>
          <cell r="BF59">
            <v>38.550000000000004</v>
          </cell>
          <cell r="BG59">
            <v>-6.4499999999999957</v>
          </cell>
        </row>
        <row r="60">
          <cell r="AQ60" t="str">
            <v xml:space="preserve"> BM-43</v>
          </cell>
          <cell r="AR60">
            <v>0</v>
          </cell>
          <cell r="AS60">
            <v>0</v>
          </cell>
          <cell r="AT60">
            <v>0</v>
          </cell>
          <cell r="AU60">
            <v>90</v>
          </cell>
          <cell r="AV60">
            <v>81.8</v>
          </cell>
          <cell r="AW60">
            <v>16.380000000000006</v>
          </cell>
          <cell r="AX60">
            <v>16.380000000000006</v>
          </cell>
          <cell r="AZ60" t="str">
            <v>*BM-106</v>
          </cell>
          <cell r="BA60">
            <v>0</v>
          </cell>
          <cell r="BB60">
            <v>78.900000000000006</v>
          </cell>
          <cell r="BC60">
            <v>0</v>
          </cell>
          <cell r="BD60">
            <v>0</v>
          </cell>
          <cell r="BE60">
            <v>85.3</v>
          </cell>
          <cell r="BF60">
            <v>0</v>
          </cell>
          <cell r="BG60">
            <v>0</v>
          </cell>
        </row>
        <row r="61">
          <cell r="AQ61" t="str">
            <v>BM-47 Re.</v>
          </cell>
          <cell r="AR61">
            <v>70</v>
          </cell>
          <cell r="AS61">
            <v>58.9</v>
          </cell>
          <cell r="AT61">
            <v>28.770000000000003</v>
          </cell>
          <cell r="AU61">
            <v>70</v>
          </cell>
          <cell r="AV61">
            <v>49.5</v>
          </cell>
          <cell r="AW61">
            <v>35.35</v>
          </cell>
          <cell r="AX61">
            <v>6.5799999999999983</v>
          </cell>
          <cell r="AZ61" t="str">
            <v>BM-112</v>
          </cell>
          <cell r="BA61">
            <v>70</v>
          </cell>
          <cell r="BB61">
            <v>50</v>
          </cell>
          <cell r="BC61">
            <v>35</v>
          </cell>
          <cell r="BD61">
            <v>60</v>
          </cell>
          <cell r="BE61">
            <v>39</v>
          </cell>
          <cell r="BF61">
            <v>36.6</v>
          </cell>
          <cell r="BG61">
            <v>1.6000000000000014</v>
          </cell>
        </row>
        <row r="62">
          <cell r="AQ62" t="str">
            <v>*BM-49</v>
          </cell>
          <cell r="AR62">
            <v>0</v>
          </cell>
          <cell r="AS62">
            <v>87</v>
          </cell>
          <cell r="AT62">
            <v>0</v>
          </cell>
          <cell r="AU62">
            <v>0</v>
          </cell>
          <cell r="AV62">
            <v>96</v>
          </cell>
          <cell r="AW62">
            <v>0</v>
          </cell>
          <cell r="AX62">
            <v>0</v>
          </cell>
          <cell r="AZ62" t="str">
            <v>BM-114</v>
          </cell>
          <cell r="BA62">
            <v>50</v>
          </cell>
          <cell r="BB62">
            <v>9.6999999999999993</v>
          </cell>
          <cell r="BC62">
            <v>45.15</v>
          </cell>
          <cell r="BD62">
            <v>50</v>
          </cell>
          <cell r="BE62">
            <v>8.1999999999999993</v>
          </cell>
          <cell r="BF62">
            <v>45.9</v>
          </cell>
          <cell r="BG62">
            <v>0.75</v>
          </cell>
        </row>
        <row r="63">
          <cell r="AQ63" t="str">
            <v>BM-51</v>
          </cell>
          <cell r="AR63">
            <v>130</v>
          </cell>
          <cell r="AS63">
            <v>82</v>
          </cell>
          <cell r="AT63">
            <v>23.400000000000006</v>
          </cell>
          <cell r="AU63">
            <v>130</v>
          </cell>
          <cell r="AV63">
            <v>82</v>
          </cell>
          <cell r="AW63">
            <v>23.400000000000006</v>
          </cell>
          <cell r="AX63">
            <v>0</v>
          </cell>
          <cell r="AZ63" t="str">
            <v>*BM-115</v>
          </cell>
          <cell r="BA63">
            <v>0</v>
          </cell>
          <cell r="BB63">
            <v>70</v>
          </cell>
          <cell r="BC63">
            <v>0</v>
          </cell>
          <cell r="BD63">
            <v>0</v>
          </cell>
          <cell r="BE63">
            <v>68.400000000000006</v>
          </cell>
          <cell r="BF63">
            <v>0</v>
          </cell>
          <cell r="BG63">
            <v>0</v>
          </cell>
        </row>
        <row r="64">
          <cell r="AQ64" t="str">
            <v>BM-52</v>
          </cell>
          <cell r="AR64">
            <v>40</v>
          </cell>
          <cell r="AS64">
            <v>41.3</v>
          </cell>
          <cell r="AT64">
            <v>23.479999999999997</v>
          </cell>
          <cell r="AU64">
            <v>40</v>
          </cell>
          <cell r="AV64">
            <v>41.3</v>
          </cell>
          <cell r="AW64">
            <v>23.479999999999997</v>
          </cell>
          <cell r="AX64">
            <v>0</v>
          </cell>
          <cell r="AZ64" t="str">
            <v>BM-116</v>
          </cell>
          <cell r="BA64">
            <v>100</v>
          </cell>
          <cell r="BB64">
            <v>90</v>
          </cell>
          <cell r="BC64">
            <v>9.9999999999999982</v>
          </cell>
          <cell r="BD64">
            <v>120</v>
          </cell>
          <cell r="BE64">
            <v>89.8</v>
          </cell>
          <cell r="BF64">
            <v>12.239999999999998</v>
          </cell>
          <cell r="BG64">
            <v>2.2400000000000002</v>
          </cell>
        </row>
        <row r="65">
          <cell r="AQ65" t="str">
            <v>BM-57</v>
          </cell>
          <cell r="AR65">
            <v>350</v>
          </cell>
          <cell r="AS65">
            <v>95</v>
          </cell>
          <cell r="AT65">
            <v>17.500000000000014</v>
          </cell>
          <cell r="AU65">
            <v>335</v>
          </cell>
          <cell r="AV65">
            <v>92.7</v>
          </cell>
          <cell r="AW65">
            <v>24.454999999999984</v>
          </cell>
          <cell r="AX65">
            <v>6.9549999999999699</v>
          </cell>
          <cell r="AZ65" t="str">
            <v>BM-118</v>
          </cell>
          <cell r="BA65">
            <v>400</v>
          </cell>
          <cell r="BB65">
            <v>96.8</v>
          </cell>
          <cell r="BC65">
            <v>12.800000000000011</v>
          </cell>
          <cell r="BD65">
            <v>400</v>
          </cell>
          <cell r="BE65">
            <v>96.3</v>
          </cell>
          <cell r="BF65">
            <v>14.800000000000013</v>
          </cell>
          <cell r="BG65">
            <v>2.0000000000000018</v>
          </cell>
        </row>
        <row r="66">
          <cell r="AQ66" t="str">
            <v>*BM-59</v>
          </cell>
          <cell r="AR66">
            <v>0</v>
          </cell>
          <cell r="AS66">
            <v>100</v>
          </cell>
          <cell r="AT66">
            <v>0</v>
          </cell>
          <cell r="AU66">
            <v>0</v>
          </cell>
          <cell r="AV66">
            <v>100</v>
          </cell>
          <cell r="AW66">
            <v>0</v>
          </cell>
          <cell r="AX66">
            <v>0</v>
          </cell>
          <cell r="AZ66" t="str">
            <v>BM-119</v>
          </cell>
          <cell r="BA66">
            <v>50</v>
          </cell>
          <cell r="BB66">
            <v>92</v>
          </cell>
          <cell r="BC66">
            <v>3.9999999999999982</v>
          </cell>
          <cell r="BD66">
            <v>50</v>
          </cell>
          <cell r="BE66">
            <v>82.4</v>
          </cell>
          <cell r="BF66">
            <v>8.7999999999999972</v>
          </cell>
          <cell r="BG66">
            <v>4.7999999999999989</v>
          </cell>
        </row>
        <row r="67">
          <cell r="AQ67" t="str">
            <v xml:space="preserve"> *BM-69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93.8</v>
          </cell>
          <cell r="AW67">
            <v>0</v>
          </cell>
          <cell r="AX67">
            <v>0</v>
          </cell>
          <cell r="BA67">
            <v>80</v>
          </cell>
          <cell r="BB67">
            <v>12</v>
          </cell>
          <cell r="BC67">
            <v>70.400000000000006</v>
          </cell>
          <cell r="BD67">
            <v>80</v>
          </cell>
          <cell r="BE67">
            <v>0.8</v>
          </cell>
          <cell r="BF67">
            <v>79.36</v>
          </cell>
          <cell r="BG67">
            <v>8.9599999999999937</v>
          </cell>
        </row>
        <row r="68">
          <cell r="AQ68" t="str">
            <v>BM-71</v>
          </cell>
          <cell r="AR68">
            <v>70</v>
          </cell>
          <cell r="AS68">
            <v>85.7</v>
          </cell>
          <cell r="AT68">
            <v>10.010000000000002</v>
          </cell>
          <cell r="AU68">
            <v>70</v>
          </cell>
          <cell r="AV68">
            <v>85.7</v>
          </cell>
          <cell r="AW68">
            <v>10.010000000000002</v>
          </cell>
          <cell r="AX68">
            <v>0</v>
          </cell>
          <cell r="AZ68" t="str">
            <v>BM-121</v>
          </cell>
          <cell r="BA68">
            <v>100</v>
          </cell>
          <cell r="BB68">
            <v>12</v>
          </cell>
          <cell r="BC68">
            <v>88</v>
          </cell>
          <cell r="BD68">
            <v>100</v>
          </cell>
          <cell r="BE68">
            <v>0.4</v>
          </cell>
          <cell r="BF68">
            <v>99.6</v>
          </cell>
          <cell r="BG68">
            <v>11.599999999999994</v>
          </cell>
        </row>
        <row r="69">
          <cell r="AQ69" t="str">
            <v>BM-72</v>
          </cell>
          <cell r="AR69">
            <v>40</v>
          </cell>
          <cell r="AS69">
            <v>37</v>
          </cell>
          <cell r="AT69">
            <v>25.2</v>
          </cell>
          <cell r="AU69">
            <v>40</v>
          </cell>
          <cell r="AV69">
            <v>33</v>
          </cell>
          <cell r="AW69">
            <v>26.799999999999997</v>
          </cell>
          <cell r="AX69">
            <v>1.5999999999999979</v>
          </cell>
          <cell r="BA69">
            <v>150</v>
          </cell>
          <cell r="BB69">
            <v>10</v>
          </cell>
          <cell r="BC69">
            <v>135</v>
          </cell>
          <cell r="BD69">
            <v>220</v>
          </cell>
          <cell r="BE69">
            <v>8.5</v>
          </cell>
          <cell r="BF69">
            <v>201.3</v>
          </cell>
          <cell r="BG69">
            <v>66.300000000000011</v>
          </cell>
        </row>
        <row r="70">
          <cell r="AQ70" t="str">
            <v>BM-73</v>
          </cell>
          <cell r="AR70">
            <v>90</v>
          </cell>
          <cell r="AS70">
            <v>67.7</v>
          </cell>
          <cell r="AT70">
            <v>29.069999999999997</v>
          </cell>
          <cell r="AU70">
            <v>60</v>
          </cell>
          <cell r="AV70">
            <v>89.3</v>
          </cell>
          <cell r="AW70">
            <v>6.419999999999999</v>
          </cell>
          <cell r="AX70">
            <v>-22.65</v>
          </cell>
          <cell r="BA70">
            <v>110</v>
          </cell>
          <cell r="BB70">
            <v>3.2</v>
          </cell>
          <cell r="BC70">
            <v>106.47999999999999</v>
          </cell>
          <cell r="BD70">
            <v>110</v>
          </cell>
          <cell r="BE70">
            <v>9.3000000000000007</v>
          </cell>
          <cell r="BF70">
            <v>99.77000000000001</v>
          </cell>
          <cell r="BG70">
            <v>-6.7099999999999795</v>
          </cell>
        </row>
        <row r="71">
          <cell r="AQ71" t="str">
            <v>BM-75</v>
          </cell>
          <cell r="AR71">
            <v>80</v>
          </cell>
          <cell r="AS71">
            <v>1.2</v>
          </cell>
          <cell r="AT71">
            <v>79.039999999999992</v>
          </cell>
          <cell r="AU71">
            <v>40</v>
          </cell>
          <cell r="AV71">
            <v>8.1</v>
          </cell>
          <cell r="AW71">
            <v>36.760000000000005</v>
          </cell>
          <cell r="AX71">
            <v>-42.279999999999987</v>
          </cell>
          <cell r="AZ71" t="str">
            <v>BM-125</v>
          </cell>
          <cell r="BA71">
            <v>0</v>
          </cell>
          <cell r="BB71">
            <v>0.4</v>
          </cell>
          <cell r="BC71">
            <v>0</v>
          </cell>
          <cell r="BD71">
            <v>0</v>
          </cell>
          <cell r="BE71">
            <v>0.4</v>
          </cell>
          <cell r="BF71">
            <v>0</v>
          </cell>
          <cell r="BG71">
            <v>0</v>
          </cell>
        </row>
        <row r="72">
          <cell r="AQ72" t="str">
            <v>*BM-77</v>
          </cell>
          <cell r="AR72">
            <v>0</v>
          </cell>
          <cell r="AS72">
            <v>93</v>
          </cell>
          <cell r="AT72">
            <v>0</v>
          </cell>
          <cell r="AU72">
            <v>0</v>
          </cell>
          <cell r="AV72">
            <v>96</v>
          </cell>
          <cell r="AW72">
            <v>0</v>
          </cell>
          <cell r="AX72">
            <v>0</v>
          </cell>
          <cell r="AZ72" t="str">
            <v>BMNW-04</v>
          </cell>
          <cell r="BD72">
            <v>0</v>
          </cell>
          <cell r="BE72">
            <v>27</v>
          </cell>
          <cell r="BF72">
            <v>0</v>
          </cell>
          <cell r="BG72">
            <v>0</v>
          </cell>
        </row>
        <row r="73">
          <cell r="AQ73" t="str">
            <v>BM-78</v>
          </cell>
          <cell r="AR73">
            <v>100</v>
          </cell>
          <cell r="AS73">
            <v>88</v>
          </cell>
          <cell r="AT73">
            <v>12</v>
          </cell>
          <cell r="AU73">
            <v>100</v>
          </cell>
          <cell r="AV73">
            <v>75.400000000000006</v>
          </cell>
          <cell r="AW73">
            <v>24.6</v>
          </cell>
          <cell r="AX73">
            <v>12.600000000000001</v>
          </cell>
          <cell r="AZ73" t="str">
            <v>BMNW-05</v>
          </cell>
          <cell r="BD73">
            <v>80</v>
          </cell>
          <cell r="BE73">
            <v>90</v>
          </cell>
          <cell r="BF73">
            <v>7.9999999999999982</v>
          </cell>
          <cell r="BG73">
            <v>7.9999999999999982</v>
          </cell>
        </row>
        <row r="74">
          <cell r="AQ74" t="str">
            <v>*BM-80</v>
          </cell>
          <cell r="AR74">
            <v>0</v>
          </cell>
          <cell r="AS74">
            <v>95</v>
          </cell>
          <cell r="AT74">
            <v>0</v>
          </cell>
          <cell r="AU74">
            <v>0</v>
          </cell>
          <cell r="AV74">
            <v>96</v>
          </cell>
          <cell r="AW74">
            <v>0</v>
          </cell>
          <cell r="AX74">
            <v>0</v>
          </cell>
          <cell r="AZ74" t="str">
            <v>BMSW-01 R</v>
          </cell>
          <cell r="BA74">
            <v>90</v>
          </cell>
          <cell r="BB74">
            <v>50</v>
          </cell>
          <cell r="BC74">
            <v>45</v>
          </cell>
          <cell r="BD74">
            <v>90</v>
          </cell>
          <cell r="BE74">
            <v>46.6</v>
          </cell>
          <cell r="BF74">
            <v>48.06</v>
          </cell>
          <cell r="BG74">
            <v>3.0600000000000023</v>
          </cell>
        </row>
        <row r="75">
          <cell r="AQ75" t="str">
            <v>BM-81</v>
          </cell>
          <cell r="AR75">
            <v>100</v>
          </cell>
          <cell r="AS75">
            <v>98</v>
          </cell>
          <cell r="AT75">
            <v>2.0000000000000018</v>
          </cell>
          <cell r="AU75">
            <v>100</v>
          </cell>
          <cell r="AV75">
            <v>97.6</v>
          </cell>
          <cell r="AW75">
            <v>2.4000000000000021</v>
          </cell>
          <cell r="AX75">
            <v>0.40000000000000036</v>
          </cell>
          <cell r="AZ75" t="str">
            <v>BMSW-2</v>
          </cell>
          <cell r="BC75">
            <v>0</v>
          </cell>
          <cell r="BD75">
            <v>40</v>
          </cell>
          <cell r="BE75">
            <v>1.2</v>
          </cell>
          <cell r="BF75">
            <v>39.519999999999996</v>
          </cell>
          <cell r="BG75">
            <v>39.519999999999996</v>
          </cell>
        </row>
        <row r="76">
          <cell r="AQ76" t="str">
            <v>BM-82 ST.</v>
          </cell>
          <cell r="AR76">
            <v>80</v>
          </cell>
          <cell r="AS76">
            <v>22.1</v>
          </cell>
          <cell r="AT76">
            <v>62.32</v>
          </cell>
          <cell r="AU76">
            <v>80</v>
          </cell>
          <cell r="AV76">
            <v>42.6</v>
          </cell>
          <cell r="AW76">
            <v>45.92</v>
          </cell>
          <cell r="AX76">
            <v>-16.399999999999999</v>
          </cell>
          <cell r="BC76">
            <v>0</v>
          </cell>
          <cell r="BD76">
            <v>0</v>
          </cell>
          <cell r="BE76">
            <v>73.5</v>
          </cell>
          <cell r="BF76">
            <v>0</v>
          </cell>
          <cell r="BG76">
            <v>0</v>
          </cell>
        </row>
        <row r="77">
          <cell r="AQ77" t="str">
            <v>BM-85</v>
          </cell>
          <cell r="AR77">
            <v>60</v>
          </cell>
          <cell r="AS77">
            <v>80</v>
          </cell>
          <cell r="AT77">
            <v>11.999999999999996</v>
          </cell>
          <cell r="AU77">
            <v>60</v>
          </cell>
          <cell r="AV77">
            <v>67.8</v>
          </cell>
          <cell r="AW77">
            <v>19.320000000000004</v>
          </cell>
          <cell r="AX77">
            <v>7.3200000000000074</v>
          </cell>
        </row>
        <row r="82">
          <cell r="AQ82" t="str">
            <v>Total Marine  Act.Net Oil (BEL+R/G)</v>
          </cell>
          <cell r="AU82">
            <v>22612.947701839999</v>
          </cell>
        </row>
        <row r="85">
          <cell r="AQ85" t="str">
            <v>Total Marine Rep.Net Oil</v>
          </cell>
          <cell r="AU85">
            <v>23926.657436320002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 Data List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3" name="Database" displayName="Database" ref="A7:AI153" totalsRowShown="0" headerRowDxfId="82" headerRowBorderDxfId="81" tableBorderDxfId="80" totalsRowBorderDxfId="79">
  <autoFilter ref="A7:AI153"/>
  <sortState ref="A72:AG72">
    <sortCondition ref="A7:A142"/>
  </sortState>
  <tableColumns count="35">
    <tableColumn id="2" name="Well" dataDxfId="78"/>
    <tableColumn id="3" name="Status" dataDxfId="77"/>
    <tableColumn id="41" name="Reporting Status"/>
    <tableColumn id="1" name="shut down reason" dataDxfId="76"/>
    <tableColumn id="5" name="LOCATION" dataDxfId="75"/>
    <tableColumn id="4" name="PLAT." dataDxfId="74"/>
    <tableColumn id="52" name="POWER FEEDER" dataDxfId="73"/>
    <tableColumn id="25" name="RATE , M3/D" dataDxfId="72"/>
    <tableColumn id="27" name="W.C %" dataDxfId="71"/>
    <tableColumn id="26" name="REP. NET " dataDxfId="70">
      <calculatedColumnFormula>Database[[#This Row],[RATE , M3/D]]*(1-I8/100)</calculatedColumnFormula>
    </tableColumn>
    <tableColumn id="62" name="ACT , M3/D2" dataDxfId="69"/>
    <tableColumn id="61" name="ACT.W.C %" dataDxfId="68"/>
    <tableColumn id="60" name="ACT NET " dataDxfId="67">
      <calculatedColumnFormula>Database[[#This Row],[ACT , M3/D2]]*(1-L8/100)</calculatedColumnFormula>
    </tableColumn>
    <tableColumn id="9" name="GOR M3/M3" dataDxfId="66"/>
    <tableColumn id="29" name="GAS MMS CF/D" dataDxfId="65"/>
    <tableColumn id="65" name="WHP,PSI" dataDxfId="64"/>
    <tableColumn id="66" name="AMP" dataDxfId="63"/>
    <tableColumn id="67" name="HZ" dataDxfId="62"/>
    <tableColumn id="30" name="MOTOR , HP " dataDxfId="61"/>
    <tableColumn id="64" name="DESGIN AMP." dataDxfId="60"/>
    <tableColumn id="12" name="DH Pump" dataDxfId="59"/>
    <tableColumn id="8" name="STG" dataDxfId="58"/>
    <tableColumn id="69" name="CH. VALVE" dataDxfId="57"/>
    <tableColumn id="10" name="PACKER" dataDxfId="56"/>
    <tableColumn id="68" name="S.V" dataDxfId="55"/>
    <tableColumn id="70" name="LAST W.O" dataDxfId="54"/>
    <tableColumn id="11" name="REMARKS" dataDxfId="53"/>
    <tableColumn id="18" name="SUB-MARINE CABLE" dataDxfId="52"/>
    <tableColumn id="35" name="EARTHED CABLE" dataDxfId="51"/>
    <tableColumn id="19" name="Panel Type" dataDxfId="50"/>
    <tableColumn id="6" name="DH Control Line" dataDxfId="49"/>
    <tableColumn id="34" name="CHEMICAL " dataDxfId="48"/>
    <tableColumn id="14" name="RAISER " dataDxfId="47"/>
    <tableColumn id="13" name="SIGNAL LIGHT " dataDxfId="46">
      <calculatedColumnFormula>VLOOKUP(E8,' Data Lists'!$Z$3:$AA$31,2,)</calculatedColumnFormula>
    </tableColumn>
    <tableColumn id="7" name="REMARKS2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Q179"/>
  <sheetViews>
    <sheetView view="pageBreakPreview" zoomScale="55" zoomScaleNormal="55" zoomScaleSheetLayoutView="55" workbookViewId="0">
      <pane ySplit="2" topLeftCell="A145" activePane="bottomLeft" state="frozen"/>
      <selection activeCell="B1" sqref="B1"/>
      <selection pane="bottomLeft" activeCell="B147" sqref="B147"/>
    </sheetView>
  </sheetViews>
  <sheetFormatPr defaultColWidth="19.28515625" defaultRowHeight="48" customHeight="1" x14ac:dyDescent="0.25"/>
  <cols>
    <col min="1" max="1" width="13.28515625" style="112" customWidth="1"/>
    <col min="2" max="2" width="56.5703125" style="113" customWidth="1"/>
    <col min="3" max="3" width="51.42578125" style="114" customWidth="1"/>
    <col min="4" max="4" width="23.7109375" style="115" customWidth="1"/>
    <col min="5" max="5" width="32" style="116" customWidth="1"/>
    <col min="6" max="6" width="51.85546875" style="115" customWidth="1"/>
    <col min="7" max="7" width="39.140625" style="117" customWidth="1"/>
    <col min="8" max="8" width="39.140625" style="118" customWidth="1"/>
    <col min="9" max="9" width="25.140625" style="222" customWidth="1"/>
    <col min="10" max="10" width="49" style="120" customWidth="1"/>
    <col min="11" max="16384" width="19.28515625" style="112"/>
  </cols>
  <sheetData>
    <row r="1" spans="1:77" ht="48" customHeight="1" x14ac:dyDescent="0.25">
      <c r="I1" s="119"/>
    </row>
    <row r="2" spans="1:77" s="130" customFormat="1" ht="142.5" customHeight="1" thickBot="1" x14ac:dyDescent="0.3">
      <c r="A2" s="121"/>
      <c r="B2" s="122" t="str">
        <f>[1]SIT!AQ2</f>
        <v>WELLS No.</v>
      </c>
      <c r="C2" s="123" t="str">
        <f>[1]SIT!AR2</f>
        <v>REP. G.RATE M3/D</v>
      </c>
      <c r="D2" s="124" t="str">
        <f>[1]SIT!AS2</f>
        <v>REP. W.C  %  VOL</v>
      </c>
      <c r="E2" s="125" t="str">
        <f>[1]SIT!AT2</f>
        <v>REP.   NET   M3/D</v>
      </c>
      <c r="F2" s="126" t="str">
        <f>[1]SIT!AU2</f>
        <v>TEST G.RATE M3/D</v>
      </c>
      <c r="G2" s="127" t="str">
        <f>[1]SIT!AV2</f>
        <v>ACT.  W.C  %  VOL</v>
      </c>
      <c r="H2" s="126" t="str">
        <f>[1]SIT!AW2</f>
        <v>ACT.   NET M3/D</v>
      </c>
      <c r="I2" s="124" t="str">
        <f>[1]SIT!AX2</f>
        <v>DIFF. M3 NET</v>
      </c>
      <c r="J2" s="128" t="s">
        <v>262</v>
      </c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</row>
    <row r="3" spans="1:77" ht="60" customHeight="1" x14ac:dyDescent="0.25">
      <c r="A3" s="121">
        <v>1</v>
      </c>
      <c r="B3" s="131" t="str">
        <f>[1]SIT!AQ3</f>
        <v>113M-01</v>
      </c>
      <c r="C3" s="132">
        <f>[1]SIT!AR3</f>
        <v>75</v>
      </c>
      <c r="D3" s="133">
        <f>[1]SIT!AS3</f>
        <v>66</v>
      </c>
      <c r="E3" s="134">
        <f>[1]SIT!AT3</f>
        <v>25.499999999999996</v>
      </c>
      <c r="F3" s="135">
        <f>[1]SIT!AU3</f>
        <v>85</v>
      </c>
      <c r="G3" s="133">
        <f>[1]SIT!AV3</f>
        <v>68.599999999999994</v>
      </c>
      <c r="H3" s="134">
        <f>[1]SIT!AW3</f>
        <v>26.690000000000005</v>
      </c>
      <c r="I3" s="136">
        <f>[1]SIT!AX3</f>
        <v>1.1900000000000084</v>
      </c>
      <c r="J3" s="664" t="s">
        <v>263</v>
      </c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</row>
    <row r="4" spans="1:77" ht="60" customHeight="1" x14ac:dyDescent="0.25">
      <c r="A4" s="121">
        <v>2</v>
      </c>
      <c r="B4" s="138" t="str">
        <f>[1]SIT!AQ32</f>
        <v xml:space="preserve"> 113M-77 H</v>
      </c>
      <c r="C4" s="139">
        <f>[1]SIT!AR32</f>
        <v>170</v>
      </c>
      <c r="D4" s="140">
        <f>[1]SIT!AS32</f>
        <v>85</v>
      </c>
      <c r="E4" s="141">
        <f>[1]SIT!AT32</f>
        <v>25.500000000000004</v>
      </c>
      <c r="F4" s="141">
        <f>[1]SIT!AU32</f>
        <v>170</v>
      </c>
      <c r="G4" s="140">
        <f>[1]SIT!AV32</f>
        <v>85.4</v>
      </c>
      <c r="H4" s="141">
        <f>[1]SIT!AW32</f>
        <v>24.819999999999986</v>
      </c>
      <c r="I4" s="141">
        <f>[1]SIT!AX32</f>
        <v>-0.68000000000001748</v>
      </c>
      <c r="J4" s="665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</row>
    <row r="5" spans="1:77" ht="60" customHeight="1" x14ac:dyDescent="0.25">
      <c r="A5" s="121">
        <v>3</v>
      </c>
      <c r="B5" s="142" t="str">
        <f>[1]SIT!AZ11</f>
        <v>113M-94</v>
      </c>
      <c r="C5" s="139">
        <f>[1]SIT!BA11</f>
        <v>60</v>
      </c>
      <c r="D5" s="140">
        <f>[1]SIT!BB11</f>
        <v>80</v>
      </c>
      <c r="E5" s="141">
        <f>[1]SIT!BC11</f>
        <v>11.999999999999996</v>
      </c>
      <c r="F5" s="141">
        <f>[1]SIT!BD11</f>
        <v>60</v>
      </c>
      <c r="G5" s="140">
        <f>[1]SIT!BE11</f>
        <v>76.7</v>
      </c>
      <c r="H5" s="141">
        <f>[1]SIT!BF11</f>
        <v>13.979999999999999</v>
      </c>
      <c r="I5" s="141">
        <f>[1]SIT!BG11</f>
        <v>1.9800000000000022</v>
      </c>
      <c r="J5" s="665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</row>
    <row r="6" spans="1:77" ht="60" customHeight="1" x14ac:dyDescent="0.25">
      <c r="A6" s="121"/>
      <c r="B6" s="142" t="s">
        <v>86</v>
      </c>
      <c r="C6" s="139">
        <f>[1]SIT!BA31</f>
        <v>200</v>
      </c>
      <c r="D6" s="140">
        <f>[1]SIT!BB31</f>
        <v>27.8</v>
      </c>
      <c r="E6" s="141">
        <f>[1]SIT!BC31</f>
        <v>144.4</v>
      </c>
      <c r="F6" s="141">
        <f>[1]SIT!BD31</f>
        <v>200</v>
      </c>
      <c r="G6" s="140">
        <f>[1]SIT!BE31</f>
        <v>4.8</v>
      </c>
      <c r="H6" s="141">
        <f>[1]SIT!BF31</f>
        <v>190.39999999999998</v>
      </c>
      <c r="I6" s="141">
        <f>[1]SIT!BG31</f>
        <v>45.999999999999972</v>
      </c>
      <c r="J6" s="665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</row>
    <row r="7" spans="1:77" s="146" customFormat="1" ht="60" customHeight="1" x14ac:dyDescent="0.25">
      <c r="A7" s="121"/>
      <c r="B7" s="143" t="s">
        <v>264</v>
      </c>
      <c r="C7" s="144">
        <f>SUM(C3:C6)</f>
        <v>505</v>
      </c>
      <c r="D7" s="145"/>
      <c r="E7" s="144">
        <f>SUM(E3:E6)</f>
        <v>207.4</v>
      </c>
      <c r="F7" s="144">
        <f>SUM(F3:F6)</f>
        <v>515</v>
      </c>
      <c r="G7" s="145"/>
      <c r="H7" s="144">
        <f>SUM(H3:H6)</f>
        <v>255.89</v>
      </c>
      <c r="I7" s="144">
        <f>SUM(I3:I6)</f>
        <v>48.489999999999966</v>
      </c>
      <c r="J7" s="145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</row>
    <row r="8" spans="1:77" ht="60" customHeight="1" x14ac:dyDescent="0.25">
      <c r="A8" s="121">
        <v>4</v>
      </c>
      <c r="B8" s="138" t="str">
        <f>[1]SIT!AQ4</f>
        <v>113M-02</v>
      </c>
      <c r="C8" s="139">
        <f>[1]SIT!AR4</f>
        <v>80</v>
      </c>
      <c r="D8" s="140">
        <f>[1]SIT!AS4</f>
        <v>79.599999999999994</v>
      </c>
      <c r="E8" s="141">
        <f>[1]SIT!AT4</f>
        <v>16.320000000000007</v>
      </c>
      <c r="F8" s="139">
        <f>[1]SIT!AU4</f>
        <v>80</v>
      </c>
      <c r="G8" s="140">
        <f>[1]SIT!AV4</f>
        <v>0.8</v>
      </c>
      <c r="H8" s="141">
        <f>[1]SIT!AW4</f>
        <v>79.36</v>
      </c>
      <c r="I8" s="141">
        <f>[1]SIT!AX4</f>
        <v>63.039999999999992</v>
      </c>
      <c r="J8" s="665" t="s">
        <v>265</v>
      </c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7"/>
      <c r="BW8" s="137"/>
      <c r="BX8" s="137"/>
      <c r="BY8" s="137"/>
    </row>
    <row r="9" spans="1:77" ht="60" customHeight="1" x14ac:dyDescent="0.25">
      <c r="A9" s="121">
        <v>5</v>
      </c>
      <c r="B9" s="138" t="str">
        <f>[1]SIT!AQ15</f>
        <v>113M-46</v>
      </c>
      <c r="C9" s="139">
        <f>[1]SIT!AR15</f>
        <v>200</v>
      </c>
      <c r="D9" s="140">
        <f>[1]SIT!AS15</f>
        <v>95</v>
      </c>
      <c r="E9" s="141">
        <f>[1]SIT!AT15</f>
        <v>10.000000000000009</v>
      </c>
      <c r="F9" s="141">
        <f>[1]SIT!AU15</f>
        <v>185</v>
      </c>
      <c r="G9" s="140">
        <f>[1]SIT!AV15</f>
        <v>93.3</v>
      </c>
      <c r="H9" s="141">
        <f>[1]SIT!AW15</f>
        <v>12.39500000000001</v>
      </c>
      <c r="I9" s="141">
        <f>[1]SIT!AX15</f>
        <v>2.3950000000000014</v>
      </c>
      <c r="J9" s="665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137"/>
      <c r="BW9" s="137"/>
      <c r="BX9" s="137"/>
      <c r="BY9" s="137"/>
    </row>
    <row r="10" spans="1:77" ht="60" customHeight="1" x14ac:dyDescent="0.25">
      <c r="A10" s="121">
        <v>6</v>
      </c>
      <c r="B10" s="142" t="str">
        <f>[1]SIT!AQ25</f>
        <v>*113M-67</v>
      </c>
      <c r="C10" s="139">
        <f>[1]SIT!AR25</f>
        <v>0</v>
      </c>
      <c r="D10" s="140">
        <f>[1]SIT!AS25</f>
        <v>97</v>
      </c>
      <c r="E10" s="141">
        <f>[1]SIT!AT25</f>
        <v>0</v>
      </c>
      <c r="F10" s="141">
        <f>[1]SIT!AU25</f>
        <v>0</v>
      </c>
      <c r="G10" s="140">
        <f>[1]SIT!AV25</f>
        <v>92.7</v>
      </c>
      <c r="H10" s="141">
        <f>[1]SIT!AW25</f>
        <v>0</v>
      </c>
      <c r="I10" s="141">
        <f>[1]SIT!AX25</f>
        <v>0</v>
      </c>
      <c r="J10" s="665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</row>
    <row r="11" spans="1:77" ht="60" customHeight="1" x14ac:dyDescent="0.25">
      <c r="A11" s="121">
        <v>7</v>
      </c>
      <c r="B11" s="138" t="str">
        <f>[1]SIT!AZ7</f>
        <v xml:space="preserve"> 113M-84</v>
      </c>
      <c r="C11" s="139">
        <f>[1]SIT!BA7</f>
        <v>550</v>
      </c>
      <c r="D11" s="140">
        <f>[1]SIT!BB7</f>
        <v>27</v>
      </c>
      <c r="E11" s="141">
        <f>[1]SIT!BC7</f>
        <v>401.5</v>
      </c>
      <c r="F11" s="141">
        <f>[1]SIT!BD7</f>
        <v>545</v>
      </c>
      <c r="G11" s="140">
        <f>[1]SIT!BE7</f>
        <v>96</v>
      </c>
      <c r="H11" s="141">
        <f>[1]SIT!BF7</f>
        <v>21.800000000000018</v>
      </c>
      <c r="I11" s="141">
        <f>[1]SIT!BG7</f>
        <v>-379.7</v>
      </c>
      <c r="J11" s="665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137"/>
      <c r="BW11" s="137"/>
      <c r="BX11" s="137"/>
      <c r="BY11" s="137"/>
    </row>
    <row r="12" spans="1:77" s="146" customFormat="1" ht="60" customHeight="1" x14ac:dyDescent="0.25">
      <c r="A12" s="121"/>
      <c r="B12" s="147" t="s">
        <v>264</v>
      </c>
      <c r="C12" s="148">
        <f>SUM(C8:C11)</f>
        <v>830</v>
      </c>
      <c r="D12" s="149"/>
      <c r="E12" s="148">
        <f>SUM(E8:E11)</f>
        <v>427.82</v>
      </c>
      <c r="F12" s="148">
        <f>SUM(F8:F11)</f>
        <v>810</v>
      </c>
      <c r="G12" s="149"/>
      <c r="H12" s="148">
        <f>SUM(H8:H11)</f>
        <v>113.55500000000004</v>
      </c>
      <c r="I12" s="148">
        <f>SUM(I8:I11)</f>
        <v>-314.26499999999999</v>
      </c>
      <c r="J12" s="149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</row>
    <row r="13" spans="1:77" ht="60" customHeight="1" x14ac:dyDescent="0.25">
      <c r="A13" s="121">
        <v>8</v>
      </c>
      <c r="B13" s="138" t="str">
        <f>[1]SIT!AZ56</f>
        <v>*BM-101</v>
      </c>
      <c r="C13" s="139">
        <f>[1]SIT!BA56</f>
        <v>0</v>
      </c>
      <c r="D13" s="140">
        <f>[1]SIT!BB56</f>
        <v>74.3</v>
      </c>
      <c r="E13" s="141">
        <f>[1]SIT!BC56</f>
        <v>0</v>
      </c>
      <c r="F13" s="141">
        <f>[1]SIT!BD56</f>
        <v>0</v>
      </c>
      <c r="G13" s="140">
        <f>[1]SIT!BE56</f>
        <v>74.3</v>
      </c>
      <c r="H13" s="141">
        <f>[1]SIT!BF56</f>
        <v>0</v>
      </c>
      <c r="I13" s="141">
        <f>[1]SIT!BG56</f>
        <v>0</v>
      </c>
      <c r="J13" s="665" t="s">
        <v>266</v>
      </c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137"/>
      <c r="BT13" s="137"/>
      <c r="BU13" s="137"/>
      <c r="BV13" s="137"/>
      <c r="BW13" s="137"/>
      <c r="BX13" s="137"/>
      <c r="BY13" s="137"/>
    </row>
    <row r="14" spans="1:77" ht="60" customHeight="1" x14ac:dyDescent="0.25">
      <c r="A14" s="121">
        <v>9</v>
      </c>
      <c r="B14" s="142" t="str">
        <f>[1]SIT!AZ58</f>
        <v>*BM-104</v>
      </c>
      <c r="C14" s="139">
        <f>[1]SIT!BA58</f>
        <v>0</v>
      </c>
      <c r="D14" s="140">
        <f>[1]SIT!BB58</f>
        <v>20</v>
      </c>
      <c r="E14" s="141">
        <f>[1]SIT!BC58</f>
        <v>0</v>
      </c>
      <c r="F14" s="141">
        <f>[1]SIT!BD58</f>
        <v>0</v>
      </c>
      <c r="G14" s="140">
        <f>[1]SIT!BE58</f>
        <v>28.6</v>
      </c>
      <c r="H14" s="141">
        <f>[1]SIT!BF58</f>
        <v>0</v>
      </c>
      <c r="I14" s="141">
        <f>[1]SIT!BG58</f>
        <v>0</v>
      </c>
      <c r="J14" s="665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</row>
    <row r="15" spans="1:77" s="146" customFormat="1" ht="60" customHeight="1" x14ac:dyDescent="0.25">
      <c r="A15" s="121"/>
      <c r="B15" s="147" t="s">
        <v>264</v>
      </c>
      <c r="C15" s="148">
        <f>SUM(C13:C14)</f>
        <v>0</v>
      </c>
      <c r="D15" s="149"/>
      <c r="E15" s="148">
        <f>SUM(E13:E14)</f>
        <v>0</v>
      </c>
      <c r="F15" s="148">
        <f>SUM(F13:F14)</f>
        <v>0</v>
      </c>
      <c r="G15" s="149"/>
      <c r="H15" s="148">
        <f>SUM(H13:H14)</f>
        <v>0</v>
      </c>
      <c r="I15" s="148">
        <f>SUM(I13:I14)</f>
        <v>0</v>
      </c>
      <c r="J15" s="149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137"/>
      <c r="BT15" s="137"/>
      <c r="BU15" s="137"/>
      <c r="BV15" s="137"/>
      <c r="BW15" s="137"/>
      <c r="BX15" s="137"/>
      <c r="BY15" s="137"/>
    </row>
    <row r="16" spans="1:77" ht="60" customHeight="1" x14ac:dyDescent="0.25">
      <c r="A16" s="121">
        <v>10</v>
      </c>
      <c r="B16" s="150" t="str">
        <f>[1]SIT!AQ5</f>
        <v>113M-04</v>
      </c>
      <c r="C16" s="151">
        <f>[1]SIT!AR5</f>
        <v>90</v>
      </c>
      <c r="D16" s="152">
        <f>[1]SIT!AS5</f>
        <v>93.6</v>
      </c>
      <c r="E16" s="153">
        <f>[1]SIT!AT5</f>
        <v>5.7600000000000051</v>
      </c>
      <c r="F16" s="153">
        <f>[1]SIT!AU5</f>
        <v>80</v>
      </c>
      <c r="G16" s="152">
        <f>[1]SIT!AV5</f>
        <v>97.7</v>
      </c>
      <c r="H16" s="153">
        <f>[1]SIT!AW5</f>
        <v>1.8400000000000016</v>
      </c>
      <c r="I16" s="153">
        <f>[1]SIT!AX5</f>
        <v>-3.9200000000000035</v>
      </c>
      <c r="J16" s="662" t="s">
        <v>267</v>
      </c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</row>
    <row r="17" spans="1:251" ht="60" customHeight="1" x14ac:dyDescent="0.25">
      <c r="A17" s="121">
        <v>11</v>
      </c>
      <c r="B17" s="154" t="str">
        <f>[1]SIT!AQ27</f>
        <v>113M-70</v>
      </c>
      <c r="C17" s="151">
        <f>[1]SIT!AR27</f>
        <v>100</v>
      </c>
      <c r="D17" s="152">
        <f>[1]SIT!AS27</f>
        <v>80</v>
      </c>
      <c r="E17" s="153">
        <f>[1]SIT!AT27</f>
        <v>19.999999999999996</v>
      </c>
      <c r="F17" s="153">
        <f>[1]SIT!AU27</f>
        <v>75</v>
      </c>
      <c r="G17" s="152">
        <f>[1]SIT!AV27</f>
        <v>66.900000000000006</v>
      </c>
      <c r="H17" s="153">
        <f>[1]SIT!AW27</f>
        <v>24.824999999999996</v>
      </c>
      <c r="I17" s="153">
        <f>[1]SIT!AX27</f>
        <v>4.8249999999999993</v>
      </c>
      <c r="J17" s="662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</row>
    <row r="18" spans="1:251" ht="60" customHeight="1" x14ac:dyDescent="0.25">
      <c r="A18" s="121">
        <v>12</v>
      </c>
      <c r="B18" s="150" t="str">
        <f>[1]SIT!AZ4</f>
        <v xml:space="preserve"> 113M-81</v>
      </c>
      <c r="C18" s="151">
        <f>[1]SIT!BA4</f>
        <v>140</v>
      </c>
      <c r="D18" s="152">
        <f>[1]SIT!BB4</f>
        <v>86</v>
      </c>
      <c r="E18" s="153">
        <f>[1]SIT!BC4</f>
        <v>19.600000000000001</v>
      </c>
      <c r="F18" s="153">
        <f>[1]SIT!BD4</f>
        <v>115</v>
      </c>
      <c r="G18" s="152">
        <f>[1]SIT!BE4</f>
        <v>88.9</v>
      </c>
      <c r="H18" s="153">
        <f>[1]SIT!BF4</f>
        <v>12.764999999999999</v>
      </c>
      <c r="I18" s="153">
        <f>[1]SIT!BG4</f>
        <v>-6.8350000000000026</v>
      </c>
      <c r="J18" s="662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137"/>
      <c r="BT18" s="137"/>
      <c r="BU18" s="137"/>
      <c r="BV18" s="137"/>
      <c r="BW18" s="137"/>
      <c r="BX18" s="137"/>
      <c r="BY18" s="137"/>
    </row>
    <row r="19" spans="1:251" ht="60" customHeight="1" x14ac:dyDescent="0.25">
      <c r="A19" s="121">
        <v>13</v>
      </c>
      <c r="B19" s="154" t="str">
        <f>[1]SIT!AZ5</f>
        <v>113M-82</v>
      </c>
      <c r="C19" s="151">
        <f>[1]SIT!BA5</f>
        <v>90</v>
      </c>
      <c r="D19" s="152">
        <f>[1]SIT!BB5</f>
        <v>51</v>
      </c>
      <c r="E19" s="153">
        <f>[1]SIT!BC5</f>
        <v>44.1</v>
      </c>
      <c r="F19" s="153">
        <f>[1]SIT!BD5</f>
        <v>80</v>
      </c>
      <c r="G19" s="152">
        <f>[1]SIT!BE5</f>
        <v>58.5</v>
      </c>
      <c r="H19" s="153">
        <f>[1]SIT!BF5</f>
        <v>33.200000000000003</v>
      </c>
      <c r="I19" s="153">
        <f>[1]SIT!BG5</f>
        <v>-10.899999999999999</v>
      </c>
      <c r="J19" s="662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</row>
    <row r="20" spans="1:251" ht="60" customHeight="1" x14ac:dyDescent="0.25">
      <c r="A20" s="121">
        <v>14</v>
      </c>
      <c r="B20" s="150" t="str">
        <f>[1]SIT!AZ6</f>
        <v>113M-83</v>
      </c>
      <c r="C20" s="151">
        <f>[1]SIT!BA6</f>
        <v>0</v>
      </c>
      <c r="D20" s="152">
        <f>[1]SIT!BB6</f>
        <v>94.6</v>
      </c>
      <c r="E20" s="153">
        <f>[1]SIT!BC6</f>
        <v>0</v>
      </c>
      <c r="F20" s="153">
        <f>[1]SIT!BD6</f>
        <v>0</v>
      </c>
      <c r="G20" s="152">
        <f>[1]SIT!BE6</f>
        <v>92.5</v>
      </c>
      <c r="H20" s="153">
        <f>[1]SIT!BF6</f>
        <v>0</v>
      </c>
      <c r="I20" s="153">
        <f>[1]SIT!BG6</f>
        <v>0</v>
      </c>
      <c r="J20" s="662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  <c r="BV20" s="137"/>
      <c r="BW20" s="137"/>
      <c r="BX20" s="137"/>
      <c r="BY20" s="137"/>
    </row>
    <row r="21" spans="1:251" ht="60" customHeight="1" x14ac:dyDescent="0.25">
      <c r="A21" s="121">
        <v>15</v>
      </c>
      <c r="B21" s="154" t="str">
        <f>[1]SIT!AZ61</f>
        <v>BM-112</v>
      </c>
      <c r="C21" s="151">
        <f>[1]SIT!BA61</f>
        <v>70</v>
      </c>
      <c r="D21" s="152">
        <f>[1]SIT!BB61</f>
        <v>50</v>
      </c>
      <c r="E21" s="153">
        <f>[1]SIT!BC61</f>
        <v>35</v>
      </c>
      <c r="F21" s="153">
        <f>[1]SIT!BD61</f>
        <v>60</v>
      </c>
      <c r="G21" s="152">
        <f>[1]SIT!BE61</f>
        <v>39</v>
      </c>
      <c r="H21" s="153">
        <f>[1]SIT!BF61</f>
        <v>36.6</v>
      </c>
      <c r="I21" s="153">
        <f>[1]SIT!BG61</f>
        <v>1.6000000000000014</v>
      </c>
      <c r="J21" s="662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</row>
    <row r="22" spans="1:251" s="146" customFormat="1" ht="60" customHeight="1" x14ac:dyDescent="0.25">
      <c r="A22" s="121"/>
      <c r="B22" s="147" t="s">
        <v>264</v>
      </c>
      <c r="C22" s="148">
        <f>SUM(C16:C21)</f>
        <v>490</v>
      </c>
      <c r="D22" s="149"/>
      <c r="E22" s="148">
        <f>SUM(E16:E21)</f>
        <v>124.46000000000001</v>
      </c>
      <c r="F22" s="148">
        <f>SUM(F16:F21)</f>
        <v>410</v>
      </c>
      <c r="G22" s="149"/>
      <c r="H22" s="148">
        <f>SUM(H16:H21)</f>
        <v>109.22999999999999</v>
      </c>
      <c r="I22" s="148">
        <f>SUM(I16:I21)</f>
        <v>-15.230000000000004</v>
      </c>
      <c r="J22" s="149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137"/>
      <c r="BT22" s="137"/>
      <c r="BU22" s="137"/>
      <c r="BV22" s="137"/>
      <c r="BW22" s="137"/>
      <c r="BX22" s="137"/>
      <c r="BY22" s="137"/>
    </row>
    <row r="23" spans="1:251" ht="60" customHeight="1" x14ac:dyDescent="0.25">
      <c r="A23" s="121">
        <v>16</v>
      </c>
      <c r="B23" s="150" t="str">
        <f>[1]SIT!AZ8</f>
        <v>113M-86 S.T.</v>
      </c>
      <c r="C23" s="151">
        <f>[1]SIT!BA8</f>
        <v>60</v>
      </c>
      <c r="D23" s="152">
        <f>[1]SIT!BB8</f>
        <v>30</v>
      </c>
      <c r="E23" s="153">
        <f>[1]SIT!BC8</f>
        <v>42</v>
      </c>
      <c r="F23" s="153">
        <f>[1]SIT!BD8</f>
        <v>60</v>
      </c>
      <c r="G23" s="152">
        <f>[1]SIT!BE8</f>
        <v>40.9</v>
      </c>
      <c r="H23" s="153">
        <f>[1]SIT!BF8</f>
        <v>35.46</v>
      </c>
      <c r="I23" s="153">
        <f>[1]SIT!BG8</f>
        <v>-6.5399999999999991</v>
      </c>
      <c r="J23" s="662" t="s">
        <v>268</v>
      </c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137"/>
      <c r="BT23" s="137"/>
      <c r="BU23" s="137"/>
      <c r="BV23" s="137"/>
      <c r="BW23" s="137"/>
      <c r="BX23" s="137"/>
      <c r="BY23" s="137"/>
    </row>
    <row r="24" spans="1:251" ht="60" customHeight="1" x14ac:dyDescent="0.25">
      <c r="A24" s="121">
        <v>17</v>
      </c>
      <c r="B24" s="150" t="str">
        <f>[1]SIT!AZ27</f>
        <v>113M-116</v>
      </c>
      <c r="C24" s="151">
        <f>[1]SIT!BA27</f>
        <v>80</v>
      </c>
      <c r="D24" s="152">
        <f>[1]SIT!BB27</f>
        <v>48.9</v>
      </c>
      <c r="E24" s="153">
        <f>[1]SIT!BC27</f>
        <v>40.880000000000003</v>
      </c>
      <c r="F24" s="153">
        <f>[1]SIT!BD27</f>
        <v>70</v>
      </c>
      <c r="G24" s="152">
        <f>[1]SIT!BE27</f>
        <v>96</v>
      </c>
      <c r="H24" s="153">
        <f>[1]SIT!BF27</f>
        <v>2.8000000000000025</v>
      </c>
      <c r="I24" s="153">
        <f>[1]SIT!BG27</f>
        <v>-38.08</v>
      </c>
      <c r="J24" s="662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137"/>
      <c r="BT24" s="137"/>
      <c r="BU24" s="137"/>
      <c r="BV24" s="137"/>
      <c r="BW24" s="137"/>
      <c r="BX24" s="137"/>
      <c r="BY24" s="137"/>
    </row>
    <row r="25" spans="1:251" s="146" customFormat="1" ht="60" customHeight="1" x14ac:dyDescent="0.25">
      <c r="A25" s="121"/>
      <c r="B25" s="147" t="s">
        <v>264</v>
      </c>
      <c r="C25" s="148">
        <f t="shared" ref="C25:I25" si="0">SUM(C23:C24)</f>
        <v>140</v>
      </c>
      <c r="D25" s="149"/>
      <c r="E25" s="148">
        <f t="shared" si="0"/>
        <v>82.88</v>
      </c>
      <c r="F25" s="148">
        <f t="shared" si="0"/>
        <v>130</v>
      </c>
      <c r="G25" s="148"/>
      <c r="H25" s="148">
        <f t="shared" si="0"/>
        <v>38.260000000000005</v>
      </c>
      <c r="I25" s="148">
        <f t="shared" si="0"/>
        <v>-44.62</v>
      </c>
      <c r="J25" s="149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137"/>
      <c r="BT25" s="137"/>
      <c r="BU25" s="137"/>
      <c r="BV25" s="137"/>
      <c r="BW25" s="137"/>
      <c r="BX25" s="137"/>
      <c r="BY25" s="137"/>
    </row>
    <row r="26" spans="1:251" ht="60" customHeight="1" x14ac:dyDescent="0.25">
      <c r="A26" s="121">
        <v>18</v>
      </c>
      <c r="B26" s="150" t="str">
        <f>[1]SIT!AQ22</f>
        <v xml:space="preserve"> 113M-59</v>
      </c>
      <c r="C26" s="151">
        <f>[1]SIT!AR22</f>
        <v>170</v>
      </c>
      <c r="D26" s="152">
        <f>[1]SIT!AS22</f>
        <v>90.8</v>
      </c>
      <c r="E26" s="153">
        <f>[1]SIT!AT22</f>
        <v>15.640000000000015</v>
      </c>
      <c r="F26" s="153">
        <f>[1]SIT!AU22</f>
        <v>170</v>
      </c>
      <c r="G26" s="152">
        <f>[1]SIT!AV22</f>
        <v>82.9</v>
      </c>
      <c r="H26" s="153">
        <f>[1]SIT!AW22</f>
        <v>29.06999999999999</v>
      </c>
      <c r="I26" s="153">
        <f>[1]SIT!AX22</f>
        <v>13.429999999999975</v>
      </c>
      <c r="J26" s="662" t="s">
        <v>269</v>
      </c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137"/>
      <c r="BT26" s="137"/>
      <c r="BU26" s="137"/>
      <c r="BV26" s="137"/>
      <c r="BW26" s="137"/>
      <c r="BX26" s="137"/>
      <c r="BY26" s="137"/>
    </row>
    <row r="27" spans="1:251" ht="60" customHeight="1" x14ac:dyDescent="0.25">
      <c r="A27" s="121">
        <v>19</v>
      </c>
      <c r="B27" s="154" t="str">
        <f>[1]SIT!AQ34</f>
        <v>113M-79 H</v>
      </c>
      <c r="C27" s="151">
        <f>[1]SIT!AR34</f>
        <v>50</v>
      </c>
      <c r="D27" s="152">
        <f>[1]SIT!AS34</f>
        <v>53.2</v>
      </c>
      <c r="E27" s="153">
        <f>[1]SIT!AT34</f>
        <v>23.4</v>
      </c>
      <c r="F27" s="153">
        <f>[1]SIT!AU34</f>
        <v>50</v>
      </c>
      <c r="G27" s="152">
        <f>[1]SIT!AV34</f>
        <v>82.2</v>
      </c>
      <c r="H27" s="153">
        <f>[1]SIT!AW34</f>
        <v>8.8999999999999968</v>
      </c>
      <c r="I27" s="153">
        <f>[1]SIT!AX34</f>
        <v>-14.500000000000002</v>
      </c>
      <c r="J27" s="662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137"/>
      <c r="BX27" s="137"/>
      <c r="BY27" s="137"/>
    </row>
    <row r="28" spans="1:251" ht="60" customHeight="1" x14ac:dyDescent="0.25">
      <c r="A28" s="121">
        <v>20</v>
      </c>
      <c r="B28" s="150" t="str">
        <f>[1]SIT!AZ10</f>
        <v>113M-91</v>
      </c>
      <c r="C28" s="151">
        <f>[1]SIT!BA10</f>
        <v>70</v>
      </c>
      <c r="D28" s="152">
        <f>[1]SIT!BB10</f>
        <v>71.2</v>
      </c>
      <c r="E28" s="153">
        <f>[1]SIT!BC10</f>
        <v>20.159999999999993</v>
      </c>
      <c r="F28" s="153">
        <f>[1]SIT!BD10</f>
        <v>70</v>
      </c>
      <c r="G28" s="152">
        <f>[1]SIT!BE10</f>
        <v>71.2</v>
      </c>
      <c r="H28" s="153">
        <f>[1]SIT!BF10</f>
        <v>20.159999999999993</v>
      </c>
      <c r="I28" s="153">
        <f>[1]SIT!BG10</f>
        <v>0</v>
      </c>
      <c r="J28" s="662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37"/>
      <c r="BQ28" s="137"/>
      <c r="BR28" s="137"/>
      <c r="BS28" s="137"/>
      <c r="BT28" s="137"/>
      <c r="BU28" s="137"/>
      <c r="BV28" s="137"/>
      <c r="BW28" s="137"/>
      <c r="BX28" s="137"/>
      <c r="BY28" s="137"/>
    </row>
    <row r="29" spans="1:251" ht="60" customHeight="1" x14ac:dyDescent="0.25">
      <c r="A29" s="121">
        <v>21</v>
      </c>
      <c r="B29" s="154" t="str">
        <f>[1]SIT!AZ16</f>
        <v>113M-101</v>
      </c>
      <c r="C29" s="151">
        <f>[1]SIT!BA16</f>
        <v>0</v>
      </c>
      <c r="D29" s="152">
        <f>[1]SIT!BB16</f>
        <v>0</v>
      </c>
      <c r="E29" s="153">
        <f>[1]SIT!BC16</f>
        <v>0</v>
      </c>
      <c r="F29" s="153">
        <f>[1]SIT!BD16</f>
        <v>30</v>
      </c>
      <c r="G29" s="152">
        <f>[1]SIT!BE16</f>
        <v>0.8</v>
      </c>
      <c r="H29" s="153">
        <f>[1]SIT!BF16</f>
        <v>29.759999999999998</v>
      </c>
      <c r="I29" s="153">
        <f>[1]SIT!BG16</f>
        <v>29.759999999999998</v>
      </c>
      <c r="J29" s="662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</row>
    <row r="30" spans="1:251" ht="60" customHeight="1" x14ac:dyDescent="0.25">
      <c r="A30" s="121">
        <v>22</v>
      </c>
      <c r="B30" s="154" t="s">
        <v>75</v>
      </c>
      <c r="C30" s="151">
        <f>[1]SIT!BA19</f>
        <v>45</v>
      </c>
      <c r="D30" s="151">
        <f>[1]SIT!BB19</f>
        <v>50</v>
      </c>
      <c r="E30" s="153">
        <f>[1]SIT!BC19</f>
        <v>22.5</v>
      </c>
      <c r="F30" s="151">
        <f>[1]SIT!BD19</f>
        <v>50</v>
      </c>
      <c r="G30" s="151">
        <f>[1]SIT!BE19</f>
        <v>37.200000000000003</v>
      </c>
      <c r="H30" s="153">
        <f>[1]SIT!BF19</f>
        <v>31.399999999999995</v>
      </c>
      <c r="I30" s="153">
        <f>[1]SIT!BG19</f>
        <v>8.899999999999995</v>
      </c>
      <c r="J30" s="662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</row>
    <row r="31" spans="1:251" ht="60" customHeight="1" x14ac:dyDescent="0.25">
      <c r="A31" s="121">
        <v>23</v>
      </c>
      <c r="B31" s="154" t="s">
        <v>84</v>
      </c>
      <c r="C31" s="151">
        <f>[1]SIT!BA28</f>
        <v>40</v>
      </c>
      <c r="D31" s="151">
        <f>[1]SIT!BB28</f>
        <v>46.5</v>
      </c>
      <c r="E31" s="153">
        <f>[1]SIT!BC28</f>
        <v>21.4</v>
      </c>
      <c r="F31" s="153">
        <f>[1]SIT!BD28</f>
        <v>50</v>
      </c>
      <c r="G31" s="152">
        <f>[1]SIT!BE28</f>
        <v>42.4</v>
      </c>
      <c r="H31" s="153">
        <f>[1]SIT!BF28</f>
        <v>28.800000000000004</v>
      </c>
      <c r="I31" s="153">
        <f>[1]SIT!BG28</f>
        <v>7.4000000000000057</v>
      </c>
      <c r="J31" s="662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12" t="e">
        <f>SUM(#REF!)</f>
        <v>#REF!</v>
      </c>
      <c r="CA31" s="112" t="e">
        <f>SUM((BY31*(1-BZ31/100)))</f>
        <v>#REF!</v>
      </c>
      <c r="CB31" s="112">
        <v>550</v>
      </c>
      <c r="CC31" s="112" t="e">
        <f>SUM(#REF!)</f>
        <v>#REF!</v>
      </c>
      <c r="CD31" s="112" t="e">
        <f>SUM((CB31*(1-CC31/100)))</f>
        <v>#REF!</v>
      </c>
      <c r="CE31" s="112" t="e">
        <f>SUM(-(BY31*(1-BZ31/100))+(CB31*(1-CC31/100)))</f>
        <v>#REF!</v>
      </c>
      <c r="CF31" s="112" t="s">
        <v>72</v>
      </c>
      <c r="CG31" s="112" t="e">
        <f>SUM(#REF!)</f>
        <v>#REF!</v>
      </c>
      <c r="CH31" s="112" t="e">
        <f>SUM(#REF!)</f>
        <v>#REF!</v>
      </c>
      <c r="CI31" s="112" t="e">
        <f>SUM((CG31*(1-CH31/100)))</f>
        <v>#REF!</v>
      </c>
      <c r="CJ31" s="112">
        <v>550</v>
      </c>
      <c r="CK31" s="112" t="e">
        <f>SUM(#REF!)</f>
        <v>#REF!</v>
      </c>
      <c r="CL31" s="112" t="e">
        <f>SUM((CJ31*(1-CK31/100)))</f>
        <v>#REF!</v>
      </c>
      <c r="CM31" s="112" t="e">
        <f>SUM(-(CG31*(1-CH31/100))+(CJ31*(1-CK31/100)))</f>
        <v>#REF!</v>
      </c>
      <c r="CN31" s="112" t="s">
        <v>72</v>
      </c>
      <c r="CO31" s="112">
        <f>SUM(BC66)</f>
        <v>0</v>
      </c>
      <c r="CP31" s="112" t="e">
        <f>SUM(#REF!)</f>
        <v>#REF!</v>
      </c>
      <c r="CQ31" s="112" t="e">
        <f>SUM((CO31*(1-CP31/100)))</f>
        <v>#REF!</v>
      </c>
      <c r="CR31" s="112">
        <v>550</v>
      </c>
      <c r="CS31" s="112" t="e">
        <f>SUM(#REF!)</f>
        <v>#REF!</v>
      </c>
      <c r="CT31" s="112" t="e">
        <f>SUM((CR31*(1-CS31/100)))</f>
        <v>#REF!</v>
      </c>
      <c r="CU31" s="112" t="e">
        <f>SUM(-(CO31*(1-CP31/100))+(CR31*(1-CS31/100)))</f>
        <v>#REF!</v>
      </c>
      <c r="CV31" s="112" t="s">
        <v>72</v>
      </c>
      <c r="CW31" s="112">
        <f>SUM(BK66)</f>
        <v>0</v>
      </c>
      <c r="CX31" s="112" t="e">
        <f>SUM(#REF!)</f>
        <v>#REF!</v>
      </c>
      <c r="CY31" s="112" t="e">
        <f>SUM((CW31*(1-CX31/100)))</f>
        <v>#REF!</v>
      </c>
      <c r="CZ31" s="112">
        <v>550</v>
      </c>
      <c r="DA31" s="112" t="e">
        <f>SUM(#REF!)</f>
        <v>#REF!</v>
      </c>
      <c r="DB31" s="112" t="e">
        <f>SUM((CZ31*(1-DA31/100)))</f>
        <v>#REF!</v>
      </c>
      <c r="DC31" s="112" t="e">
        <f>SUM(-(CW31*(1-CX31/100))+(CZ31*(1-DA31/100)))</f>
        <v>#REF!</v>
      </c>
      <c r="DD31" s="112" t="s">
        <v>72</v>
      </c>
      <c r="DE31" s="112">
        <f>SUM(BS66)</f>
        <v>0</v>
      </c>
      <c r="DF31" s="112" t="e">
        <f>SUM(#REF!)</f>
        <v>#REF!</v>
      </c>
      <c r="DG31" s="112" t="e">
        <f>SUM((DE31*(1-DF31/100)))</f>
        <v>#REF!</v>
      </c>
      <c r="DH31" s="112">
        <v>550</v>
      </c>
      <c r="DI31" s="112" t="e">
        <f>SUM(#REF!)</f>
        <v>#REF!</v>
      </c>
      <c r="DJ31" s="112" t="e">
        <f>SUM((DH31*(1-DI31/100)))</f>
        <v>#REF!</v>
      </c>
      <c r="DK31" s="112" t="e">
        <f>SUM(-(DE31*(1-DF31/100))+(DH31*(1-DI31/100)))</f>
        <v>#REF!</v>
      </c>
      <c r="DL31" s="112" t="s">
        <v>72</v>
      </c>
      <c r="DM31" s="112">
        <f>SUM(CA66)</f>
        <v>0</v>
      </c>
      <c r="DN31" s="112" t="e">
        <f>SUM(#REF!)</f>
        <v>#REF!</v>
      </c>
      <c r="DO31" s="112" t="e">
        <f>SUM((DM31*(1-DN31/100)))</f>
        <v>#REF!</v>
      </c>
      <c r="DP31" s="112">
        <v>550</v>
      </c>
      <c r="DQ31" s="112" t="e">
        <f>SUM(#REF!)</f>
        <v>#REF!</v>
      </c>
      <c r="DR31" s="112" t="e">
        <f>SUM((DP31*(1-DQ31/100)))</f>
        <v>#REF!</v>
      </c>
      <c r="DS31" s="112" t="e">
        <f>SUM(-(DM31*(1-DN31/100))+(DP31*(1-DQ31/100)))</f>
        <v>#REF!</v>
      </c>
      <c r="DT31" s="112" t="s">
        <v>72</v>
      </c>
      <c r="DU31" s="112">
        <f>SUM(CI66)</f>
        <v>0</v>
      </c>
      <c r="DV31" s="112" t="e">
        <f>SUM(#REF!)</f>
        <v>#REF!</v>
      </c>
      <c r="DW31" s="112" t="e">
        <f>SUM((DU31*(1-DV31/100)))</f>
        <v>#REF!</v>
      </c>
      <c r="DX31" s="112">
        <v>550</v>
      </c>
      <c r="DY31" s="112" t="e">
        <f>SUM(#REF!)</f>
        <v>#REF!</v>
      </c>
      <c r="DZ31" s="112" t="e">
        <f>SUM((DX31*(1-DY31/100)))</f>
        <v>#REF!</v>
      </c>
      <c r="EA31" s="112" t="e">
        <f>SUM(-(DU31*(1-DV31/100))+(DX31*(1-DY31/100)))</f>
        <v>#REF!</v>
      </c>
      <c r="EB31" s="112" t="s">
        <v>72</v>
      </c>
      <c r="EC31" s="112">
        <f>SUM(CQ66)</f>
        <v>0</v>
      </c>
      <c r="ED31" s="112" t="e">
        <f>SUM(#REF!)</f>
        <v>#REF!</v>
      </c>
      <c r="EE31" s="112" t="e">
        <f>SUM((EC31*(1-ED31/100)))</f>
        <v>#REF!</v>
      </c>
      <c r="EF31" s="112">
        <v>550</v>
      </c>
      <c r="EG31" s="112" t="e">
        <f>SUM(#REF!)</f>
        <v>#REF!</v>
      </c>
      <c r="EH31" s="112" t="e">
        <f>SUM((EF31*(1-EG31/100)))</f>
        <v>#REF!</v>
      </c>
      <c r="EI31" s="112" t="e">
        <f>SUM(-(EC31*(1-ED31/100))+(EF31*(1-EG31/100)))</f>
        <v>#REF!</v>
      </c>
      <c r="EJ31" s="112" t="s">
        <v>72</v>
      </c>
      <c r="EK31" s="112">
        <f>SUM(CY66)</f>
        <v>0</v>
      </c>
      <c r="EL31" s="112" t="e">
        <f>SUM(#REF!)</f>
        <v>#REF!</v>
      </c>
      <c r="EM31" s="112" t="e">
        <f>SUM((EK31*(1-EL31/100)))</f>
        <v>#REF!</v>
      </c>
      <c r="EN31" s="112">
        <v>550</v>
      </c>
      <c r="EO31" s="112" t="e">
        <f>SUM(#REF!)</f>
        <v>#REF!</v>
      </c>
      <c r="EP31" s="112" t="e">
        <f>SUM((EN31*(1-EO31/100)))</f>
        <v>#REF!</v>
      </c>
      <c r="EQ31" s="112" t="e">
        <f>SUM(-(EK31*(1-EL31/100))+(EN31*(1-EO31/100)))</f>
        <v>#REF!</v>
      </c>
      <c r="ER31" s="112" t="s">
        <v>72</v>
      </c>
      <c r="ES31" s="112">
        <f>SUM(DG66)</f>
        <v>0</v>
      </c>
      <c r="ET31" s="112" t="e">
        <f>SUM(#REF!)</f>
        <v>#REF!</v>
      </c>
      <c r="EU31" s="112" t="e">
        <f>SUM((ES31*(1-ET31/100)))</f>
        <v>#REF!</v>
      </c>
      <c r="EV31" s="112">
        <v>550</v>
      </c>
      <c r="EW31" s="112" t="e">
        <f>SUM(#REF!)</f>
        <v>#REF!</v>
      </c>
      <c r="EX31" s="112" t="e">
        <f>SUM((EV31*(1-EW31/100)))</f>
        <v>#REF!</v>
      </c>
      <c r="EY31" s="112" t="e">
        <f>SUM(-(ES31*(1-ET31/100))+(EV31*(1-EW31/100)))</f>
        <v>#REF!</v>
      </c>
      <c r="EZ31" s="112" t="s">
        <v>72</v>
      </c>
      <c r="FA31" s="112">
        <f>SUM(DO66)</f>
        <v>0</v>
      </c>
      <c r="FB31" s="112" t="e">
        <f>SUM(#REF!)</f>
        <v>#REF!</v>
      </c>
      <c r="FC31" s="112" t="e">
        <f>SUM((FA31*(1-FB31/100)))</f>
        <v>#REF!</v>
      </c>
      <c r="FD31" s="112">
        <v>550</v>
      </c>
      <c r="FE31" s="112" t="e">
        <f>SUM(#REF!)</f>
        <v>#REF!</v>
      </c>
      <c r="FF31" s="112" t="e">
        <f>SUM((FD31*(1-FE31/100)))</f>
        <v>#REF!</v>
      </c>
      <c r="FG31" s="112" t="e">
        <f>SUM(-(FA31*(1-FB31/100))+(FD31*(1-FE31/100)))</f>
        <v>#REF!</v>
      </c>
      <c r="FH31" s="112" t="s">
        <v>72</v>
      </c>
      <c r="FI31" s="112">
        <f>SUM(DW66)</f>
        <v>0</v>
      </c>
      <c r="FJ31" s="112" t="e">
        <f>SUM(#REF!)</f>
        <v>#REF!</v>
      </c>
      <c r="FK31" s="112" t="e">
        <f>SUM((FI31*(1-FJ31/100)))</f>
        <v>#REF!</v>
      </c>
      <c r="FL31" s="112">
        <v>550</v>
      </c>
      <c r="FM31" s="112" t="e">
        <f>SUM(#REF!)</f>
        <v>#REF!</v>
      </c>
      <c r="FN31" s="112" t="e">
        <f>SUM((FL31*(1-FM31/100)))</f>
        <v>#REF!</v>
      </c>
      <c r="FO31" s="112" t="e">
        <f>SUM(-(FI31*(1-FJ31/100))+(FL31*(1-FM31/100)))</f>
        <v>#REF!</v>
      </c>
      <c r="FP31" s="112" t="s">
        <v>72</v>
      </c>
      <c r="FQ31" s="112">
        <f>SUM(EE66)</f>
        <v>0</v>
      </c>
      <c r="FR31" s="112" t="e">
        <f>SUM(#REF!)</f>
        <v>#REF!</v>
      </c>
      <c r="FS31" s="112" t="e">
        <f>SUM((FQ31*(1-FR31/100)))</f>
        <v>#REF!</v>
      </c>
      <c r="FT31" s="112">
        <v>550</v>
      </c>
      <c r="FU31" s="112" t="e">
        <f>SUM(#REF!)</f>
        <v>#REF!</v>
      </c>
      <c r="FV31" s="112" t="e">
        <f>SUM((FT31*(1-FU31/100)))</f>
        <v>#REF!</v>
      </c>
      <c r="FW31" s="112" t="e">
        <f>SUM(-(FQ31*(1-FR31/100))+(FT31*(1-FU31/100)))</f>
        <v>#REF!</v>
      </c>
      <c r="FX31" s="112" t="s">
        <v>72</v>
      </c>
      <c r="FY31" s="112">
        <f>SUM(EM66)</f>
        <v>0</v>
      </c>
      <c r="FZ31" s="112" t="e">
        <f>SUM(#REF!)</f>
        <v>#REF!</v>
      </c>
      <c r="GA31" s="112" t="e">
        <f>SUM((FY31*(1-FZ31/100)))</f>
        <v>#REF!</v>
      </c>
      <c r="GB31" s="112">
        <v>550</v>
      </c>
      <c r="GC31" s="112" t="e">
        <f>SUM(#REF!)</f>
        <v>#REF!</v>
      </c>
      <c r="GD31" s="112" t="e">
        <f>SUM((GB31*(1-GC31/100)))</f>
        <v>#REF!</v>
      </c>
      <c r="GE31" s="112" t="e">
        <f>SUM(-(FY31*(1-FZ31/100))+(GB31*(1-GC31/100)))</f>
        <v>#REF!</v>
      </c>
      <c r="GF31" s="112" t="s">
        <v>72</v>
      </c>
      <c r="GG31" s="112">
        <f>SUM(EU66)</f>
        <v>0</v>
      </c>
      <c r="GH31" s="112" t="e">
        <f>SUM(#REF!)</f>
        <v>#REF!</v>
      </c>
      <c r="GI31" s="112" t="e">
        <f>SUM((GG31*(1-GH31/100)))</f>
        <v>#REF!</v>
      </c>
      <c r="GJ31" s="112">
        <v>550</v>
      </c>
      <c r="GK31" s="112" t="e">
        <f>SUM(#REF!)</f>
        <v>#REF!</v>
      </c>
      <c r="GL31" s="112" t="e">
        <f>SUM((GJ31*(1-GK31/100)))</f>
        <v>#REF!</v>
      </c>
      <c r="GM31" s="112" t="e">
        <f>SUM(-(GG31*(1-GH31/100))+(GJ31*(1-GK31/100)))</f>
        <v>#REF!</v>
      </c>
      <c r="GN31" s="112" t="s">
        <v>72</v>
      </c>
      <c r="GO31" s="112">
        <f>SUM(FC66)</f>
        <v>0</v>
      </c>
      <c r="GP31" s="112" t="e">
        <f>SUM(#REF!)</f>
        <v>#REF!</v>
      </c>
      <c r="GQ31" s="112" t="e">
        <f>SUM((GO31*(1-GP31/100)))</f>
        <v>#REF!</v>
      </c>
      <c r="GR31" s="112">
        <v>550</v>
      </c>
      <c r="GS31" s="112" t="e">
        <f>SUM(#REF!)</f>
        <v>#REF!</v>
      </c>
      <c r="GT31" s="112" t="e">
        <f>SUM((GR31*(1-GS31/100)))</f>
        <v>#REF!</v>
      </c>
      <c r="GU31" s="112" t="e">
        <f>SUM(-(GO31*(1-GP31/100))+(GR31*(1-GS31/100)))</f>
        <v>#REF!</v>
      </c>
      <c r="GV31" s="112" t="s">
        <v>72</v>
      </c>
      <c r="GW31" s="112">
        <f>SUM(FK66)</f>
        <v>0</v>
      </c>
      <c r="GX31" s="112" t="e">
        <f>SUM(#REF!)</f>
        <v>#REF!</v>
      </c>
      <c r="GY31" s="112" t="e">
        <f>SUM((GW31*(1-GX31/100)))</f>
        <v>#REF!</v>
      </c>
      <c r="GZ31" s="112">
        <v>550</v>
      </c>
      <c r="HA31" s="112" t="e">
        <f>SUM(#REF!)</f>
        <v>#REF!</v>
      </c>
      <c r="HB31" s="112" t="e">
        <f>SUM((GZ31*(1-HA31/100)))</f>
        <v>#REF!</v>
      </c>
      <c r="HC31" s="112" t="e">
        <f>SUM(-(GW31*(1-GX31/100))+(GZ31*(1-HA31/100)))</f>
        <v>#REF!</v>
      </c>
      <c r="HD31" s="112" t="s">
        <v>72</v>
      </c>
      <c r="HE31" s="112">
        <f>SUM(FS66)</f>
        <v>0</v>
      </c>
      <c r="HF31" s="112" t="e">
        <f>SUM(#REF!)</f>
        <v>#REF!</v>
      </c>
      <c r="HG31" s="112" t="e">
        <f>SUM((HE31*(1-HF31/100)))</f>
        <v>#REF!</v>
      </c>
      <c r="HH31" s="112">
        <v>550</v>
      </c>
      <c r="HI31" s="112" t="e">
        <f>SUM(#REF!)</f>
        <v>#REF!</v>
      </c>
      <c r="HJ31" s="112" t="e">
        <f>SUM((HH31*(1-HI31/100)))</f>
        <v>#REF!</v>
      </c>
      <c r="HK31" s="112" t="e">
        <f>SUM(-(HE31*(1-HF31/100))+(HH31*(1-HI31/100)))</f>
        <v>#REF!</v>
      </c>
      <c r="HL31" s="112" t="s">
        <v>72</v>
      </c>
      <c r="HM31" s="112">
        <f>SUM(GA66)</f>
        <v>0</v>
      </c>
      <c r="HN31" s="112" t="e">
        <f>SUM(#REF!)</f>
        <v>#REF!</v>
      </c>
      <c r="HO31" s="112" t="e">
        <f>SUM((HM31*(1-HN31/100)))</f>
        <v>#REF!</v>
      </c>
      <c r="HP31" s="112">
        <v>550</v>
      </c>
      <c r="HQ31" s="112" t="e">
        <f>SUM(#REF!)</f>
        <v>#REF!</v>
      </c>
      <c r="HR31" s="112" t="e">
        <f>SUM((HP31*(1-HQ31/100)))</f>
        <v>#REF!</v>
      </c>
      <c r="HS31" s="112" t="e">
        <f>SUM(-(HM31*(1-HN31/100))+(HP31*(1-HQ31/100)))</f>
        <v>#REF!</v>
      </c>
      <c r="HT31" s="112" t="s">
        <v>72</v>
      </c>
      <c r="HU31" s="112">
        <f>SUM(GI66)</f>
        <v>0</v>
      </c>
      <c r="HV31" s="112" t="e">
        <f>SUM(#REF!)</f>
        <v>#REF!</v>
      </c>
      <c r="HW31" s="112" t="e">
        <f>SUM((HU31*(1-HV31/100)))</f>
        <v>#REF!</v>
      </c>
      <c r="HX31" s="112">
        <v>550</v>
      </c>
      <c r="HY31" s="112" t="e">
        <f>SUM(#REF!)</f>
        <v>#REF!</v>
      </c>
      <c r="HZ31" s="112" t="e">
        <f>SUM((HX31*(1-HY31/100)))</f>
        <v>#REF!</v>
      </c>
      <c r="IA31" s="112" t="e">
        <f>SUM(-(HU31*(1-HV31/100))+(HX31*(1-HY31/100)))</f>
        <v>#REF!</v>
      </c>
      <c r="IB31" s="112" t="s">
        <v>72</v>
      </c>
      <c r="IC31" s="112">
        <f>SUM(GQ66)</f>
        <v>0</v>
      </c>
      <c r="ID31" s="112" t="e">
        <f>SUM(#REF!)</f>
        <v>#REF!</v>
      </c>
      <c r="IE31" s="112" t="e">
        <f>SUM((IC31*(1-ID31/100)))</f>
        <v>#REF!</v>
      </c>
      <c r="IF31" s="112">
        <v>550</v>
      </c>
      <c r="IG31" s="112" t="e">
        <f>SUM(#REF!)</f>
        <v>#REF!</v>
      </c>
      <c r="IH31" s="112" t="e">
        <f>SUM((IF31*(1-IG31/100)))</f>
        <v>#REF!</v>
      </c>
      <c r="II31" s="112" t="e">
        <f>SUM(-(IC31*(1-ID31/100))+(IF31*(1-IG31/100)))</f>
        <v>#REF!</v>
      </c>
      <c r="IJ31" s="112" t="s">
        <v>72</v>
      </c>
      <c r="IK31" s="112">
        <f>SUM(GY66)</f>
        <v>0</v>
      </c>
      <c r="IL31" s="112" t="e">
        <f>SUM(#REF!)</f>
        <v>#REF!</v>
      </c>
      <c r="IM31" s="112" t="e">
        <f>SUM((IK31*(1-IL31/100)))</f>
        <v>#REF!</v>
      </c>
      <c r="IN31" s="112">
        <v>550</v>
      </c>
      <c r="IO31" s="112" t="e">
        <f>SUM(#REF!)</f>
        <v>#REF!</v>
      </c>
      <c r="IP31" s="112" t="e">
        <f>SUM((IN31*(1-IO31/100)))</f>
        <v>#REF!</v>
      </c>
      <c r="IQ31" s="112" t="e">
        <f>SUM(-(IK31*(1-IL31/100))+(IN31*(1-IO31/100)))</f>
        <v>#REF!</v>
      </c>
    </row>
    <row r="32" spans="1:251" s="146" customFormat="1" ht="60" customHeight="1" x14ac:dyDescent="0.25">
      <c r="A32" s="121">
        <v>24</v>
      </c>
      <c r="B32" s="154" t="str">
        <f>[1]SIT!AZ34</f>
        <v>113M-123</v>
      </c>
      <c r="C32" s="151">
        <f>[1]SIT!BA34</f>
        <v>180</v>
      </c>
      <c r="D32" s="151">
        <f>[1]SIT!BB34</f>
        <v>4</v>
      </c>
      <c r="E32" s="153">
        <f>[1]SIT!BC34</f>
        <v>172.79999999999998</v>
      </c>
      <c r="F32" s="153">
        <f>[1]SIT!BD34</f>
        <v>180</v>
      </c>
      <c r="G32" s="152">
        <f>[1]SIT!BE34</f>
        <v>4.5</v>
      </c>
      <c r="H32" s="153">
        <f>[1]SIT!BF34</f>
        <v>171.9</v>
      </c>
      <c r="I32" s="153">
        <f>[1]SIT!BG34</f>
        <v>-0.89999999999997726</v>
      </c>
      <c r="J32" s="151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</row>
    <row r="33" spans="1:77" ht="60" customHeight="1" x14ac:dyDescent="0.25">
      <c r="A33" s="121"/>
      <c r="B33" s="147" t="s">
        <v>264</v>
      </c>
      <c r="C33" s="148">
        <f>SUM(C26:C32)</f>
        <v>555</v>
      </c>
      <c r="D33" s="149"/>
      <c r="E33" s="148">
        <f>SUM(E26:E31)</f>
        <v>103.1</v>
      </c>
      <c r="F33" s="148">
        <f>SUM(F26:F32)</f>
        <v>600</v>
      </c>
      <c r="G33" s="149"/>
      <c r="H33" s="148">
        <f>SUM(H26:H32)</f>
        <v>319.99</v>
      </c>
      <c r="I33" s="148">
        <f>SUM(I26:I32)</f>
        <v>44.089999999999989</v>
      </c>
      <c r="J33" s="149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</row>
    <row r="34" spans="1:77" ht="60" customHeight="1" x14ac:dyDescent="0.25">
      <c r="A34" s="121">
        <v>25</v>
      </c>
      <c r="B34" s="154" t="str">
        <f>[1]SIT!AQ6</f>
        <v>113M-08B</v>
      </c>
      <c r="C34" s="151">
        <f>[1]SIT!AR6</f>
        <v>150</v>
      </c>
      <c r="D34" s="152">
        <f>[1]SIT!AS6</f>
        <v>73.2</v>
      </c>
      <c r="E34" s="153">
        <f>[1]SIT!AT6</f>
        <v>40.200000000000003</v>
      </c>
      <c r="F34" s="153">
        <f>[1]SIT!AU6</f>
        <v>130</v>
      </c>
      <c r="G34" s="152">
        <f>[1]SIT!AV6</f>
        <v>87.2</v>
      </c>
      <c r="H34" s="153">
        <f>[1]SIT!AW6</f>
        <v>16.64</v>
      </c>
      <c r="I34" s="153">
        <f>[1]SIT!AX6</f>
        <v>-23.560000000000002</v>
      </c>
      <c r="J34" s="657" t="s">
        <v>270</v>
      </c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</row>
    <row r="35" spans="1:77" ht="60" customHeight="1" x14ac:dyDescent="0.25">
      <c r="A35" s="121">
        <v>26</v>
      </c>
      <c r="B35" s="150" t="str">
        <f>[1]SIT!AQ28</f>
        <v>113M-71</v>
      </c>
      <c r="C35" s="151">
        <f>[1]SIT!AR28</f>
        <v>130</v>
      </c>
      <c r="D35" s="152">
        <f>[1]SIT!AS28</f>
        <v>87</v>
      </c>
      <c r="E35" s="153">
        <f>[1]SIT!AT28</f>
        <v>16.900000000000002</v>
      </c>
      <c r="F35" s="153">
        <f>[1]SIT!AU28</f>
        <v>130</v>
      </c>
      <c r="G35" s="152">
        <f>[1]SIT!AV28</f>
        <v>91.4</v>
      </c>
      <c r="H35" s="153">
        <f>[1]SIT!AW28</f>
        <v>11.179999999999996</v>
      </c>
      <c r="I35" s="153">
        <f>[1]SIT!AX28</f>
        <v>-5.720000000000006</v>
      </c>
      <c r="J35" s="658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</row>
    <row r="36" spans="1:77" ht="60" customHeight="1" x14ac:dyDescent="0.25">
      <c r="A36" s="121">
        <v>27</v>
      </c>
      <c r="B36" s="154" t="str">
        <f>[1]SIT!AQ33</f>
        <v>113M-78</v>
      </c>
      <c r="C36" s="151">
        <f>[1]SIT!AR33</f>
        <v>80</v>
      </c>
      <c r="D36" s="152">
        <f>[1]SIT!AS33</f>
        <v>46</v>
      </c>
      <c r="E36" s="153">
        <f>[1]SIT!AT33</f>
        <v>43.2</v>
      </c>
      <c r="F36" s="153">
        <f>[1]SIT!AU33</f>
        <v>70</v>
      </c>
      <c r="G36" s="152">
        <f>[1]SIT!AV33</f>
        <v>68.599999999999994</v>
      </c>
      <c r="H36" s="153">
        <f>[1]SIT!AW33</f>
        <v>21.980000000000004</v>
      </c>
      <c r="I36" s="153">
        <f>[1]SIT!AX33</f>
        <v>-21.22</v>
      </c>
      <c r="J36" s="658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</row>
    <row r="37" spans="1:77" ht="60" customHeight="1" x14ac:dyDescent="0.25">
      <c r="A37" s="121">
        <v>28</v>
      </c>
      <c r="B37" s="150" t="str">
        <f>[1]SIT!AZ15</f>
        <v>113M-100</v>
      </c>
      <c r="C37" s="151">
        <f>[1]SIT!BA15</f>
        <v>100</v>
      </c>
      <c r="D37" s="152">
        <f>[1]SIT!BB15</f>
        <v>58.2</v>
      </c>
      <c r="E37" s="153">
        <f>[1]SIT!BC15</f>
        <v>41.79999999999999</v>
      </c>
      <c r="F37" s="153">
        <f>[1]SIT!BD15</f>
        <v>100</v>
      </c>
      <c r="G37" s="152">
        <f>[1]SIT!BE15</f>
        <v>58.2</v>
      </c>
      <c r="H37" s="153">
        <f>[1]SIT!BF15</f>
        <v>41.79999999999999</v>
      </c>
      <c r="I37" s="153">
        <f>[1]SIT!BG15</f>
        <v>0</v>
      </c>
      <c r="J37" s="658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</row>
    <row r="38" spans="1:77" ht="60" customHeight="1" x14ac:dyDescent="0.25">
      <c r="A38" s="121">
        <v>29</v>
      </c>
      <c r="B38" s="154" t="str">
        <f>[1]SIT!AZ20</f>
        <v>113M-107</v>
      </c>
      <c r="C38" s="151">
        <f>[1]SIT!BA20</f>
        <v>60</v>
      </c>
      <c r="D38" s="152">
        <f>[1]SIT!BB20</f>
        <v>80</v>
      </c>
      <c r="E38" s="153">
        <f>[1]SIT!BC20</f>
        <v>11.999999999999996</v>
      </c>
      <c r="F38" s="153">
        <f>[1]SIT!BD20</f>
        <v>60</v>
      </c>
      <c r="G38" s="152">
        <f>[1]SIT!BE20</f>
        <v>90.7</v>
      </c>
      <c r="H38" s="153">
        <f>[1]SIT!BF20</f>
        <v>5.5799999999999983</v>
      </c>
      <c r="I38" s="153">
        <f>[1]SIT!BG20</f>
        <v>-6.4199999999999982</v>
      </c>
      <c r="J38" s="658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</row>
    <row r="39" spans="1:77" ht="60" customHeight="1" x14ac:dyDescent="0.25">
      <c r="A39" s="121">
        <v>30</v>
      </c>
      <c r="B39" s="150" t="str">
        <f>[1]SIT!AZ22</f>
        <v>113M-109</v>
      </c>
      <c r="C39" s="151">
        <f>[1]SIT!BA22</f>
        <v>90</v>
      </c>
      <c r="D39" s="152">
        <f>[1]SIT!BB22</f>
        <v>90</v>
      </c>
      <c r="E39" s="153">
        <f>[1]SIT!BC22</f>
        <v>8.9999999999999982</v>
      </c>
      <c r="F39" s="153">
        <f>[1]SIT!BD22</f>
        <v>90</v>
      </c>
      <c r="G39" s="152">
        <f>[1]SIT!BE22</f>
        <v>50.8</v>
      </c>
      <c r="H39" s="153">
        <f>[1]SIT!BF22</f>
        <v>44.28</v>
      </c>
      <c r="I39" s="153">
        <f>[1]SIT!BG22</f>
        <v>35.28</v>
      </c>
      <c r="J39" s="658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</row>
    <row r="40" spans="1:77" s="146" customFormat="1" ht="60" customHeight="1" x14ac:dyDescent="0.25">
      <c r="A40" s="121">
        <v>31</v>
      </c>
      <c r="B40" s="154" t="str">
        <f>[1]SIT!AZ23</f>
        <v>*113M-110</v>
      </c>
      <c r="C40" s="151">
        <f>[1]SIT!BA23</f>
        <v>0</v>
      </c>
      <c r="D40" s="152">
        <f>[1]SIT!BB23</f>
        <v>94.6</v>
      </c>
      <c r="E40" s="153">
        <f>[1]SIT!BC23</f>
        <v>0</v>
      </c>
      <c r="F40" s="153">
        <f>[1]SIT!BD23</f>
        <v>0</v>
      </c>
      <c r="G40" s="152">
        <f>[1]SIT!BE23</f>
        <v>93.7</v>
      </c>
      <c r="H40" s="153">
        <f>[1]SIT!BF23</f>
        <v>0</v>
      </c>
      <c r="I40" s="153">
        <f>[1]SIT!BG23</f>
        <v>0</v>
      </c>
      <c r="J40" s="658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</row>
    <row r="41" spans="1:77" ht="60" customHeight="1" x14ac:dyDescent="0.25">
      <c r="A41" s="121"/>
      <c r="B41" s="154" t="str">
        <f>[1]SIT!AZ35</f>
        <v>113M-124</v>
      </c>
      <c r="C41" s="151">
        <f>[1]SIT!BA35</f>
        <v>80</v>
      </c>
      <c r="D41" s="152">
        <f>[1]SIT!BB35</f>
        <v>50</v>
      </c>
      <c r="E41" s="153">
        <f>[1]SIT!BC35</f>
        <v>40</v>
      </c>
      <c r="F41" s="153">
        <f>[1]SIT!BD35</f>
        <v>100</v>
      </c>
      <c r="G41" s="152">
        <f>[1]SIT!BE35</f>
        <v>1.6</v>
      </c>
      <c r="H41" s="153">
        <f>[1]SIT!BF35</f>
        <v>98.4</v>
      </c>
      <c r="I41" s="153">
        <f>[1]SIT!BG35</f>
        <v>58.400000000000006</v>
      </c>
      <c r="J41" s="658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</row>
    <row r="42" spans="1:77" s="146" customFormat="1" ht="60" customHeight="1" thickBot="1" x14ac:dyDescent="0.3">
      <c r="A42" s="121">
        <v>32</v>
      </c>
      <c r="B42" s="155" t="s">
        <v>264</v>
      </c>
      <c r="C42" s="156">
        <f>SUM(C34:C41)</f>
        <v>690</v>
      </c>
      <c r="D42" s="157"/>
      <c r="E42" s="156">
        <f>SUM(E34:E40)</f>
        <v>163.1</v>
      </c>
      <c r="F42" s="156">
        <f>SUM(F34:F41)</f>
        <v>680</v>
      </c>
      <c r="G42" s="157"/>
      <c r="H42" s="156">
        <f>SUM(H34:H41)</f>
        <v>239.85999999999999</v>
      </c>
      <c r="I42" s="156">
        <f>SUM(I34:I40)</f>
        <v>-21.64</v>
      </c>
      <c r="J42" s="659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</row>
    <row r="43" spans="1:77" ht="60" customHeight="1" thickTop="1" x14ac:dyDescent="0.25">
      <c r="A43" s="121"/>
      <c r="B43" s="158" t="str">
        <f>[1]SIT!AZ14</f>
        <v>113M-99</v>
      </c>
      <c r="C43" s="159">
        <f>[1]SIT!BA14</f>
        <v>250</v>
      </c>
      <c r="D43" s="160">
        <f>[1]SIT!BB14</f>
        <v>84</v>
      </c>
      <c r="E43" s="161">
        <f>[1]SIT!BC14</f>
        <v>40.000000000000007</v>
      </c>
      <c r="F43" s="161">
        <f>[1]SIT!BD14</f>
        <v>210</v>
      </c>
      <c r="G43" s="160">
        <f>[1]SIT!BE14</f>
        <v>79.599999999999994</v>
      </c>
      <c r="H43" s="161">
        <f>[1]SIT!BF14</f>
        <v>42.840000000000018</v>
      </c>
      <c r="I43" s="161">
        <f>[1]SIT!BG14</f>
        <v>2.8400000000000105</v>
      </c>
      <c r="J43" s="660" t="s">
        <v>271</v>
      </c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</row>
    <row r="44" spans="1:77" ht="60" customHeight="1" x14ac:dyDescent="0.25">
      <c r="A44" s="121">
        <v>33</v>
      </c>
      <c r="B44" s="147" t="s">
        <v>264</v>
      </c>
      <c r="C44" s="148">
        <f>SUM(C43:C43)</f>
        <v>250</v>
      </c>
      <c r="D44" s="149"/>
      <c r="E44" s="148">
        <f>SUM(E43:E43)</f>
        <v>40.000000000000007</v>
      </c>
      <c r="F44" s="148">
        <f>SUM(F43:F43)</f>
        <v>210</v>
      </c>
      <c r="G44" s="149"/>
      <c r="H44" s="148">
        <f>SUM(H43:H43)</f>
        <v>42.840000000000018</v>
      </c>
      <c r="I44" s="148">
        <f>SUM(I43:I43)</f>
        <v>2.8400000000000105</v>
      </c>
      <c r="J44" s="661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</row>
    <row r="45" spans="1:77" ht="60" customHeight="1" x14ac:dyDescent="0.25">
      <c r="A45" s="121">
        <v>34</v>
      </c>
      <c r="B45" s="150" t="str">
        <f>[1]SIT!AQ7</f>
        <v>113M-18</v>
      </c>
      <c r="C45" s="151">
        <f>[1]SIT!AR7</f>
        <v>400</v>
      </c>
      <c r="D45" s="152">
        <f>[1]SIT!AS7</f>
        <v>74.2</v>
      </c>
      <c r="E45" s="153">
        <f>[1]SIT!AT7</f>
        <v>103.2</v>
      </c>
      <c r="F45" s="153">
        <f>[1]SIT!AU7</f>
        <v>400</v>
      </c>
      <c r="G45" s="152">
        <f>[1]SIT!AV7</f>
        <v>85.6</v>
      </c>
      <c r="H45" s="153">
        <f>[1]SIT!AW7</f>
        <v>57.600000000000009</v>
      </c>
      <c r="I45" s="153">
        <f>[1]SIT!AX7</f>
        <v>-45.599999999999994</v>
      </c>
      <c r="J45" s="657" t="s">
        <v>272</v>
      </c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</row>
    <row r="46" spans="1:77" ht="60" customHeight="1" x14ac:dyDescent="0.25">
      <c r="A46" s="121">
        <v>35</v>
      </c>
      <c r="B46" s="150" t="str">
        <f>[1]SIT!AQ23</f>
        <v>*113M-65</v>
      </c>
      <c r="C46" s="151">
        <f>[1]SIT!AR23</f>
        <v>0</v>
      </c>
      <c r="D46" s="152">
        <f>[1]SIT!AS23</f>
        <v>95</v>
      </c>
      <c r="E46" s="153">
        <f>[1]SIT!AT23</f>
        <v>0</v>
      </c>
      <c r="F46" s="153">
        <f>[1]SIT!AU23</f>
        <v>0</v>
      </c>
      <c r="G46" s="152">
        <f>[1]SIT!AV23</f>
        <v>92</v>
      </c>
      <c r="H46" s="153">
        <f>[1]SIT!AW23</f>
        <v>0</v>
      </c>
      <c r="I46" s="153">
        <f>[1]SIT!AX23</f>
        <v>0</v>
      </c>
      <c r="J46" s="658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</row>
    <row r="47" spans="1:77" ht="60" customHeight="1" x14ac:dyDescent="0.25">
      <c r="A47" s="121">
        <v>36</v>
      </c>
      <c r="B47" s="150" t="str">
        <f>[1]SIT!AQ24</f>
        <v>113M-66</v>
      </c>
      <c r="C47" s="151">
        <f>[1]SIT!AR24</f>
        <v>150</v>
      </c>
      <c r="D47" s="152">
        <f>[1]SIT!AS24</f>
        <v>90</v>
      </c>
      <c r="E47" s="153">
        <f>[1]SIT!AT24</f>
        <v>14.999999999999996</v>
      </c>
      <c r="F47" s="153">
        <f>[1]SIT!AU24</f>
        <v>140</v>
      </c>
      <c r="G47" s="152">
        <f>[1]SIT!AV24</f>
        <v>98</v>
      </c>
      <c r="H47" s="153">
        <f>[1]SIT!AW24</f>
        <v>2.8000000000000025</v>
      </c>
      <c r="I47" s="153">
        <f>[1]SIT!AX24</f>
        <v>-12.199999999999994</v>
      </c>
      <c r="J47" s="658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</row>
    <row r="48" spans="1:77" ht="60" customHeight="1" x14ac:dyDescent="0.25">
      <c r="A48" s="121">
        <v>37</v>
      </c>
      <c r="B48" s="150" t="str">
        <f>[1]SIT!AQ30</f>
        <v>113M-74</v>
      </c>
      <c r="C48" s="151">
        <f>[1]SIT!AR30</f>
        <v>150</v>
      </c>
      <c r="D48" s="152">
        <f>[1]SIT!AS30</f>
        <v>80</v>
      </c>
      <c r="E48" s="153">
        <f>[1]SIT!AT30</f>
        <v>29.999999999999993</v>
      </c>
      <c r="F48" s="153">
        <f>[1]SIT!AU30</f>
        <v>180</v>
      </c>
      <c r="G48" s="152">
        <f>[1]SIT!AV30</f>
        <v>69.599999999999994</v>
      </c>
      <c r="H48" s="153">
        <f>[1]SIT!AW30</f>
        <v>54.720000000000006</v>
      </c>
      <c r="I48" s="153">
        <f>[1]SIT!AX30</f>
        <v>24.720000000000013</v>
      </c>
      <c r="J48" s="658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</row>
    <row r="49" spans="1:77" ht="60" customHeight="1" x14ac:dyDescent="0.25">
      <c r="A49" s="121">
        <v>38</v>
      </c>
      <c r="B49" s="150" t="str">
        <f>[1]SIT!AZ3</f>
        <v>113M-80 H</v>
      </c>
      <c r="C49" s="151">
        <f>[1]SIT!BA3</f>
        <v>90</v>
      </c>
      <c r="D49" s="152">
        <f>[1]SIT!BB3</f>
        <v>50.7</v>
      </c>
      <c r="E49" s="153">
        <f>[1]SIT!BC3</f>
        <v>44.37</v>
      </c>
      <c r="F49" s="153">
        <f>[1]SIT!BD3</f>
        <v>100</v>
      </c>
      <c r="G49" s="152">
        <f>[1]SIT!BE3</f>
        <v>65.5</v>
      </c>
      <c r="H49" s="153">
        <f>[1]SIT!BF3</f>
        <v>34.5</v>
      </c>
      <c r="I49" s="153">
        <f>[1]SIT!BG3</f>
        <v>-9.8699999999999974</v>
      </c>
      <c r="J49" s="658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</row>
    <row r="50" spans="1:77" ht="60" customHeight="1" x14ac:dyDescent="0.25">
      <c r="A50" s="121">
        <v>39</v>
      </c>
      <c r="B50" s="150" t="s">
        <v>65</v>
      </c>
      <c r="C50" s="151">
        <v>0</v>
      </c>
      <c r="D50" s="152">
        <v>0</v>
      </c>
      <c r="E50" s="153">
        <v>0</v>
      </c>
      <c r="F50" s="153">
        <f>[1]SIT!$BD$9</f>
        <v>80</v>
      </c>
      <c r="G50" s="152">
        <f>[1]SIT!BE9</f>
        <v>77.2</v>
      </c>
      <c r="H50" s="153">
        <f>[1]SIT!BF9</f>
        <v>18.239999999999998</v>
      </c>
      <c r="I50" s="153">
        <f>[1]SIT!BG9</f>
        <v>18.239999999999998</v>
      </c>
      <c r="J50" s="658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</row>
    <row r="51" spans="1:77" ht="60" customHeight="1" x14ac:dyDescent="0.25">
      <c r="A51" s="121">
        <v>40</v>
      </c>
      <c r="B51" s="150" t="str">
        <f>[1]SIT!AZ17</f>
        <v>113M-102</v>
      </c>
      <c r="C51" s="151">
        <f>[1]SIT!BA17</f>
        <v>100</v>
      </c>
      <c r="D51" s="152">
        <f>[1]SIT!BB17</f>
        <v>80</v>
      </c>
      <c r="E51" s="153">
        <f>[1]SIT!BC17</f>
        <v>19.999999999999996</v>
      </c>
      <c r="F51" s="153">
        <f>[1]SIT!BD17</f>
        <v>60</v>
      </c>
      <c r="G51" s="152">
        <f>[1]SIT!BE17</f>
        <v>89.3</v>
      </c>
      <c r="H51" s="153">
        <f>[1]SIT!BF17</f>
        <v>6.419999999999999</v>
      </c>
      <c r="I51" s="153">
        <f>[1]SIT!BG17</f>
        <v>-13.579999999999998</v>
      </c>
      <c r="J51" s="658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</row>
    <row r="52" spans="1:77" s="146" customFormat="1" ht="60" customHeight="1" x14ac:dyDescent="0.25">
      <c r="A52" s="121">
        <v>41</v>
      </c>
      <c r="B52" s="150" t="str">
        <f>[1]SIT!AZ21</f>
        <v>113M-108</v>
      </c>
      <c r="C52" s="151">
        <f>[1]SIT!BA21</f>
        <v>100</v>
      </c>
      <c r="D52" s="152">
        <f>[1]SIT!BB21</f>
        <v>95.2</v>
      </c>
      <c r="E52" s="153">
        <f>[1]SIT!BC21</f>
        <v>4.7999999999999936</v>
      </c>
      <c r="F52" s="153">
        <f>[1]SIT!BD21</f>
        <v>145</v>
      </c>
      <c r="G52" s="152">
        <f>[1]SIT!BE21</f>
        <v>93</v>
      </c>
      <c r="H52" s="153">
        <f>[1]SIT!BF21</f>
        <v>10.149999999999993</v>
      </c>
      <c r="I52" s="153">
        <f>[1]SIT!BG21</f>
        <v>5.35</v>
      </c>
      <c r="J52" s="658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</row>
    <row r="53" spans="1:77" s="146" customFormat="1" ht="60" customHeight="1" x14ac:dyDescent="0.25">
      <c r="A53" s="121">
        <v>42</v>
      </c>
      <c r="B53" s="150" t="str">
        <f>[1]SIT!AZ13</f>
        <v>*113M-97 RE</v>
      </c>
      <c r="C53" s="151">
        <f>[1]SIT!BA13</f>
        <v>0</v>
      </c>
      <c r="D53" s="152">
        <f>[1]SIT!BB13</f>
        <v>50</v>
      </c>
      <c r="E53" s="153">
        <f>[1]SIT!BC13</f>
        <v>0</v>
      </c>
      <c r="F53" s="153">
        <f>[1]SIT!BD13</f>
        <v>0</v>
      </c>
      <c r="G53" s="152">
        <f>[1]SIT!BE13</f>
        <v>27.6</v>
      </c>
      <c r="H53" s="153">
        <f>[1]SIT!BF13</f>
        <v>0</v>
      </c>
      <c r="I53" s="153">
        <f>[1]SIT!BG13</f>
        <v>0</v>
      </c>
      <c r="J53" s="658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</row>
    <row r="54" spans="1:77" s="162" customFormat="1" ht="60" customHeight="1" x14ac:dyDescent="0.25">
      <c r="A54" s="121">
        <v>43</v>
      </c>
      <c r="B54" s="150" t="str">
        <f>[1]SIT!AZ29</f>
        <v>*113M-118</v>
      </c>
      <c r="C54" s="151">
        <f>[1]SIT!BA29</f>
        <v>0</v>
      </c>
      <c r="D54" s="152">
        <f>[1]SIT!BB29</f>
        <v>10</v>
      </c>
      <c r="E54" s="153">
        <f>[1]SIT!BC29</f>
        <v>0</v>
      </c>
      <c r="F54" s="153">
        <f>[1]SIT!BD29</f>
        <v>0</v>
      </c>
      <c r="G54" s="152">
        <f>[1]SIT!BE29</f>
        <v>1.6</v>
      </c>
      <c r="H54" s="153">
        <f>[1]SIT!BF29</f>
        <v>0</v>
      </c>
      <c r="I54" s="153">
        <f>[1]SIT!BG29</f>
        <v>0</v>
      </c>
      <c r="J54" s="658"/>
      <c r="L54" s="163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</row>
    <row r="55" spans="1:77" s="146" customFormat="1" ht="60" customHeight="1" x14ac:dyDescent="0.25">
      <c r="A55" s="121">
        <v>44</v>
      </c>
      <c r="B55" s="150" t="str">
        <f>[1]SIT!AZ30</f>
        <v>113M-119</v>
      </c>
      <c r="C55" s="151">
        <f>[1]SIT!BA30</f>
        <v>100</v>
      </c>
      <c r="D55" s="152">
        <f>[1]SIT!BB30</f>
        <v>1.6</v>
      </c>
      <c r="E55" s="153">
        <f>[1]SIT!BC30</f>
        <v>98.4</v>
      </c>
      <c r="F55" s="153">
        <f>[1]SIT!BD30</f>
        <v>90</v>
      </c>
      <c r="G55" s="152">
        <f>[1]SIT!BE30</f>
        <v>7.3</v>
      </c>
      <c r="H55" s="153">
        <f>[1]SIT!BF30</f>
        <v>83.43</v>
      </c>
      <c r="I55" s="153">
        <f>[1]SIT!BG30</f>
        <v>-14.969999999999999</v>
      </c>
      <c r="J55" s="658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</row>
    <row r="56" spans="1:77" ht="60" customHeight="1" x14ac:dyDescent="0.25">
      <c r="A56" s="121"/>
      <c r="B56" s="150" t="str">
        <f>[1]SIT!AZ12</f>
        <v>113M-96</v>
      </c>
      <c r="C56" s="151">
        <f>[1]SIT!BA12</f>
        <v>0</v>
      </c>
      <c r="D56" s="151">
        <f>[1]SIT!BB12</f>
        <v>0</v>
      </c>
      <c r="E56" s="151">
        <f>[1]SIT!BC12</f>
        <v>0</v>
      </c>
      <c r="F56" s="151">
        <f>[1]SIT!BD12</f>
        <v>140</v>
      </c>
      <c r="G56" s="151">
        <f>[1]SIT!BE12</f>
        <v>92</v>
      </c>
      <c r="H56" s="153">
        <f>[1]SIT!BF12</f>
        <v>11.199999999999994</v>
      </c>
      <c r="I56" s="153">
        <f>[1]SIT!BG12</f>
        <v>11.199999999999994</v>
      </c>
      <c r="J56" s="658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</row>
    <row r="57" spans="1:77" ht="60" customHeight="1" x14ac:dyDescent="0.25">
      <c r="A57" s="121">
        <v>45</v>
      </c>
      <c r="B57" s="150" t="str">
        <f>[1]SIT!AZ36</f>
        <v>113M-125</v>
      </c>
      <c r="C57" s="151">
        <f>[1]SIT!BA36</f>
        <v>80</v>
      </c>
      <c r="D57" s="151">
        <f>[1]SIT!BB36</f>
        <v>100</v>
      </c>
      <c r="E57" s="151">
        <f>[1]SIT!BC36</f>
        <v>0</v>
      </c>
      <c r="F57" s="151">
        <f>[1]SIT!BD36</f>
        <v>50</v>
      </c>
      <c r="G57" s="151">
        <f>[1]SIT!BE36</f>
        <v>100</v>
      </c>
      <c r="H57" s="153">
        <f>[1]SIT!BF36</f>
        <v>0</v>
      </c>
      <c r="I57" s="153">
        <f>[1]SIT!BG36</f>
        <v>0</v>
      </c>
      <c r="J57" s="658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</row>
    <row r="58" spans="1:77" s="146" customFormat="1" ht="60" customHeight="1" x14ac:dyDescent="0.25">
      <c r="A58" s="121">
        <v>46</v>
      </c>
      <c r="B58" s="147" t="s">
        <v>264</v>
      </c>
      <c r="C58" s="148">
        <f>SUM(C45:C57)</f>
        <v>1170</v>
      </c>
      <c r="D58" s="148"/>
      <c r="E58" s="148">
        <f>SUM(E45:E56)</f>
        <v>315.77</v>
      </c>
      <c r="F58" s="148">
        <f>SUM(F45:F56)</f>
        <v>1335</v>
      </c>
      <c r="G58" s="148"/>
      <c r="H58" s="148">
        <f>SUM(H45:H56)</f>
        <v>279.06</v>
      </c>
      <c r="I58" s="148">
        <f>SUM(I45:I56)</f>
        <v>-36.70999999999998</v>
      </c>
      <c r="J58" s="661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</row>
    <row r="59" spans="1:77" ht="60" customHeight="1" x14ac:dyDescent="0.25">
      <c r="A59" s="121"/>
      <c r="B59" s="150" t="str">
        <f>[1]SIT!AQ8</f>
        <v>113M-26</v>
      </c>
      <c r="C59" s="151">
        <f>[1]SIT!AR8</f>
        <v>80</v>
      </c>
      <c r="D59" s="152">
        <f>[1]SIT!AS8</f>
        <v>93.6</v>
      </c>
      <c r="E59" s="153">
        <f>[1]SIT!AT8</f>
        <v>5.1200000000000045</v>
      </c>
      <c r="F59" s="153">
        <f>[1]SIT!AU8</f>
        <v>50</v>
      </c>
      <c r="G59" s="152">
        <f>[1]SIT!AV8</f>
        <v>88</v>
      </c>
      <c r="H59" s="153">
        <f>[1]SIT!AW8</f>
        <v>6</v>
      </c>
      <c r="I59" s="153">
        <f>[1]SIT!AX8</f>
        <v>0.87999999999999545</v>
      </c>
      <c r="J59" s="151" t="s">
        <v>32</v>
      </c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</row>
    <row r="60" spans="1:77" ht="60" customHeight="1" x14ac:dyDescent="0.25">
      <c r="A60" s="121">
        <v>47</v>
      </c>
      <c r="B60" s="150" t="str">
        <f>[1]SIT!$AZ$32</f>
        <v>113M-121</v>
      </c>
      <c r="C60" s="151">
        <f>[1]SIT!$BA$32</f>
        <v>100</v>
      </c>
      <c r="D60" s="152">
        <f>[1]SIT!BB32</f>
        <v>13</v>
      </c>
      <c r="E60" s="153">
        <f>[1]SIT!BC32</f>
        <v>87</v>
      </c>
      <c r="F60" s="153">
        <f>[1]SIT!BD32</f>
        <v>115</v>
      </c>
      <c r="G60" s="152">
        <f>[1]SIT!BE32</f>
        <v>0.8</v>
      </c>
      <c r="H60" s="153">
        <f>[1]SIT!BF32</f>
        <v>114.08</v>
      </c>
      <c r="I60" s="153">
        <f>[1]SIT!BG32</f>
        <v>27.08</v>
      </c>
      <c r="J60" s="151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</row>
    <row r="61" spans="1:77" s="146" customFormat="1" ht="60" customHeight="1" x14ac:dyDescent="0.25">
      <c r="A61" s="121">
        <v>48</v>
      </c>
      <c r="B61" s="147" t="s">
        <v>264</v>
      </c>
      <c r="C61" s="148">
        <f>SUM(C59:C60)</f>
        <v>180</v>
      </c>
      <c r="D61" s="149"/>
      <c r="E61" s="148">
        <f>SUM(E59:E60)</f>
        <v>92.12</v>
      </c>
      <c r="F61" s="148">
        <f>SUM(F59:F60)</f>
        <v>165</v>
      </c>
      <c r="G61" s="149"/>
      <c r="H61" s="148">
        <f>SUM(H59:H60)</f>
        <v>120.08</v>
      </c>
      <c r="I61" s="148">
        <f>SUM(I59:I60)</f>
        <v>27.959999999999994</v>
      </c>
      <c r="J61" s="149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</row>
    <row r="62" spans="1:77" s="165" customFormat="1" ht="60" customHeight="1" x14ac:dyDescent="0.25">
      <c r="A62" s="121">
        <v>45</v>
      </c>
      <c r="B62" s="150" t="str">
        <f>[1]SIT!AQ11</f>
        <v>*113M-35</v>
      </c>
      <c r="C62" s="151">
        <f>[1]SIT!AR11</f>
        <v>0</v>
      </c>
      <c r="D62" s="152">
        <f>[1]SIT!AS11</f>
        <v>80</v>
      </c>
      <c r="E62" s="153">
        <f>[1]SIT!AT11</f>
        <v>0</v>
      </c>
      <c r="F62" s="153">
        <f>[1]SIT!AU11</f>
        <v>0</v>
      </c>
      <c r="G62" s="152">
        <f>[1]SIT!AV11</f>
        <v>97.2</v>
      </c>
      <c r="H62" s="153">
        <f>[1]SIT!AW11</f>
        <v>0</v>
      </c>
      <c r="I62" s="153">
        <f>[1]SIT!AX11</f>
        <v>0</v>
      </c>
      <c r="J62" s="662" t="s">
        <v>35</v>
      </c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</row>
    <row r="63" spans="1:77" s="165" customFormat="1" ht="60" customHeight="1" x14ac:dyDescent="0.25">
      <c r="A63" s="121"/>
      <c r="B63" s="150" t="str">
        <f>[1]SIT!AQ12</f>
        <v>113M-40</v>
      </c>
      <c r="C63" s="151">
        <f>[1]SIT!AR12</f>
        <v>0</v>
      </c>
      <c r="D63" s="152">
        <f>[1]SIT!AS12</f>
        <v>0</v>
      </c>
      <c r="E63" s="153">
        <f>[1]SIT!AT12</f>
        <v>0</v>
      </c>
      <c r="F63" s="153">
        <f>[1]SIT!AU12</f>
        <v>0</v>
      </c>
      <c r="G63" s="152">
        <f>[1]SIT!AV12</f>
        <v>99</v>
      </c>
      <c r="H63" s="153">
        <f>[1]SIT!AW12</f>
        <v>0</v>
      </c>
      <c r="I63" s="153">
        <f>[1]SIT!AX12</f>
        <v>0</v>
      </c>
      <c r="J63" s="66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</row>
    <row r="64" spans="1:77" s="165" customFormat="1" ht="60" customHeight="1" x14ac:dyDescent="0.25">
      <c r="A64" s="121">
        <v>46</v>
      </c>
      <c r="B64" s="147" t="s">
        <v>264</v>
      </c>
      <c r="C64" s="148">
        <f>SUM(C62:C63)</f>
        <v>0</v>
      </c>
      <c r="D64" s="149"/>
      <c r="E64" s="148">
        <f>SUM(E62:E63)</f>
        <v>0</v>
      </c>
      <c r="F64" s="148">
        <f>SUM(F62:F63)</f>
        <v>0</v>
      </c>
      <c r="G64" s="149"/>
      <c r="H64" s="148">
        <f>SUM(H62:H63)</f>
        <v>0</v>
      </c>
      <c r="I64" s="148">
        <f>SUM(I62:I63)</f>
        <v>0</v>
      </c>
      <c r="J64" s="149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</row>
    <row r="65" spans="1:77" s="165" customFormat="1" ht="60" customHeight="1" x14ac:dyDescent="0.25">
      <c r="A65" s="121">
        <v>47</v>
      </c>
      <c r="B65" s="151" t="s">
        <v>53</v>
      </c>
      <c r="C65" s="151"/>
      <c r="D65" s="151"/>
      <c r="E65" s="151"/>
      <c r="F65" s="151">
        <f>[1]SIT!AU29</f>
        <v>35</v>
      </c>
      <c r="G65" s="151">
        <f>[1]SIT!AV29</f>
        <v>67.8</v>
      </c>
      <c r="H65" s="151">
        <f>[1]SIT!AW29</f>
        <v>11.270000000000003</v>
      </c>
      <c r="I65" s="151">
        <f>[1]SIT!AX29</f>
        <v>11.270000000000003</v>
      </c>
      <c r="J65" s="662" t="s">
        <v>112</v>
      </c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</row>
    <row r="66" spans="1:77" s="165" customFormat="1" ht="60" customHeight="1" x14ac:dyDescent="0.25">
      <c r="A66" s="121">
        <v>48</v>
      </c>
      <c r="B66" s="166" t="s">
        <v>264</v>
      </c>
      <c r="C66" s="167"/>
      <c r="D66" s="167"/>
      <c r="E66" s="167"/>
      <c r="F66" s="167">
        <f>F65</f>
        <v>35</v>
      </c>
      <c r="G66" s="167"/>
      <c r="H66" s="167">
        <f>H65</f>
        <v>11.270000000000003</v>
      </c>
      <c r="I66" s="167">
        <f>I65</f>
        <v>11.270000000000003</v>
      </c>
      <c r="J66" s="66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</row>
    <row r="67" spans="1:77" s="146" customFormat="1" ht="60" customHeight="1" x14ac:dyDescent="0.25">
      <c r="A67" s="121">
        <v>49</v>
      </c>
      <c r="B67" s="168" t="str">
        <f>[1]SIT!AQ26</f>
        <v>*113M-68 ST</v>
      </c>
      <c r="C67" s="169">
        <f>[1]SIT!AR26</f>
        <v>0</v>
      </c>
      <c r="D67" s="170">
        <f>[1]SIT!AS26</f>
        <v>98</v>
      </c>
      <c r="E67" s="171">
        <f>[1]SIT!AT26</f>
        <v>0</v>
      </c>
      <c r="F67" s="171">
        <f>[1]SIT!AU26</f>
        <v>0</v>
      </c>
      <c r="G67" s="170">
        <f>[1]SIT!AV26</f>
        <v>96</v>
      </c>
      <c r="H67" s="171">
        <f>[1]SIT!AW26</f>
        <v>0</v>
      </c>
      <c r="I67" s="171">
        <f>[1]SIT!AX26</f>
        <v>0</v>
      </c>
      <c r="J67" s="663" t="s">
        <v>113</v>
      </c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</row>
    <row r="68" spans="1:77" s="165" customFormat="1" ht="60" customHeight="1" x14ac:dyDescent="0.25">
      <c r="A68" s="121">
        <v>50</v>
      </c>
      <c r="B68" s="168" t="str">
        <f>[1]SIT!AQ58</f>
        <v>BM-39 ST.</v>
      </c>
      <c r="C68" s="169">
        <f>[1]SIT!AR58</f>
        <v>50</v>
      </c>
      <c r="D68" s="170">
        <f>[1]SIT!AS58</f>
        <v>74</v>
      </c>
      <c r="E68" s="171">
        <f>[1]SIT!AT58</f>
        <v>13</v>
      </c>
      <c r="F68" s="171">
        <f>[1]SIT!AU58</f>
        <v>50</v>
      </c>
      <c r="G68" s="170">
        <f>[1]SIT!AV58</f>
        <v>73.099999999999994</v>
      </c>
      <c r="H68" s="171">
        <f>[1]SIT!AW58</f>
        <v>13.450000000000001</v>
      </c>
      <c r="I68" s="171">
        <f>[1]SIT!AX58</f>
        <v>0.45000000000000107</v>
      </c>
      <c r="J68" s="663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</row>
    <row r="69" spans="1:77" s="165" customFormat="1" ht="60" customHeight="1" x14ac:dyDescent="0.25">
      <c r="A69" s="121"/>
      <c r="B69" s="168" t="str">
        <f>[1]SIT!AQ66</f>
        <v>*BM-59</v>
      </c>
      <c r="C69" s="169">
        <f>[1]SIT!AR66</f>
        <v>0</v>
      </c>
      <c r="D69" s="170">
        <f>[1]SIT!AS66</f>
        <v>100</v>
      </c>
      <c r="E69" s="171">
        <f>[1]SIT!AT66</f>
        <v>0</v>
      </c>
      <c r="F69" s="171">
        <f>[1]SIT!AU66</f>
        <v>0</v>
      </c>
      <c r="G69" s="170">
        <f>[1]SIT!AV66</f>
        <v>100</v>
      </c>
      <c r="H69" s="171">
        <f>[1]SIT!AW66</f>
        <v>0</v>
      </c>
      <c r="I69" s="171">
        <f>[1]SIT!AX66</f>
        <v>0</v>
      </c>
      <c r="J69" s="663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</row>
    <row r="70" spans="1:77" s="146" customFormat="1" ht="60" customHeight="1" x14ac:dyDescent="0.25">
      <c r="A70" s="121">
        <v>51</v>
      </c>
      <c r="B70" s="168" t="str">
        <f>[1]SIT!AZ47</f>
        <v xml:space="preserve"> *BM-88</v>
      </c>
      <c r="C70" s="169">
        <f>[1]SIT!BA47</f>
        <v>0</v>
      </c>
      <c r="D70" s="170">
        <f>[1]SIT!BB47</f>
        <v>76.400000000000006</v>
      </c>
      <c r="E70" s="171">
        <f>[1]SIT!BC47</f>
        <v>0</v>
      </c>
      <c r="F70" s="171">
        <f>[1]SIT!BD47</f>
        <v>0</v>
      </c>
      <c r="G70" s="170">
        <f>[1]SIT!BE47</f>
        <v>82.1</v>
      </c>
      <c r="H70" s="171">
        <f>[1]SIT!BF47</f>
        <v>0</v>
      </c>
      <c r="I70" s="171">
        <f>[1]SIT!BG47</f>
        <v>0</v>
      </c>
      <c r="J70" s="663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</row>
    <row r="71" spans="1:77" s="165" customFormat="1" ht="60" customHeight="1" x14ac:dyDescent="0.25">
      <c r="A71" s="121">
        <v>52</v>
      </c>
      <c r="B71" s="168" t="str">
        <f>[1]SIT!AZ50</f>
        <v>BM-91</v>
      </c>
      <c r="C71" s="169">
        <f>[1]SIT!BA50</f>
        <v>120</v>
      </c>
      <c r="D71" s="170">
        <f>[1]SIT!BB50</f>
        <v>48</v>
      </c>
      <c r="E71" s="171">
        <f>[1]SIT!BC50</f>
        <v>62.400000000000006</v>
      </c>
      <c r="F71" s="171">
        <f>[1]SIT!BD50</f>
        <v>110</v>
      </c>
      <c r="G71" s="170">
        <f>[1]SIT!BE50</f>
        <v>33.799999999999997</v>
      </c>
      <c r="H71" s="171">
        <f>[1]SIT!BF50</f>
        <v>72.820000000000007</v>
      </c>
      <c r="I71" s="171">
        <f>[1]SIT!BG50</f>
        <v>10.420000000000002</v>
      </c>
      <c r="J71" s="663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</row>
    <row r="72" spans="1:77" s="165" customFormat="1" ht="60" customHeight="1" x14ac:dyDescent="0.25">
      <c r="A72" s="121"/>
      <c r="B72" s="147" t="s">
        <v>264</v>
      </c>
      <c r="C72" s="148">
        <f>SUM(C67:C71)</f>
        <v>170</v>
      </c>
      <c r="D72" s="149"/>
      <c r="E72" s="148">
        <f>SUM(E67:E71)</f>
        <v>75.400000000000006</v>
      </c>
      <c r="F72" s="148">
        <f>SUM(F67:F71)</f>
        <v>160</v>
      </c>
      <c r="G72" s="149"/>
      <c r="H72" s="148">
        <f>SUM(H67:H71)</f>
        <v>86.27000000000001</v>
      </c>
      <c r="I72" s="148">
        <f>SUM(I67:I71)</f>
        <v>10.870000000000003</v>
      </c>
      <c r="J72" s="149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</row>
    <row r="73" spans="1:77" s="165" customFormat="1" ht="60" customHeight="1" x14ac:dyDescent="0.25">
      <c r="A73" s="121">
        <v>53</v>
      </c>
      <c r="B73" s="168" t="str">
        <f>[1]SIT!AQ64</f>
        <v>BM-52</v>
      </c>
      <c r="C73" s="169">
        <f>[1]SIT!AR64</f>
        <v>40</v>
      </c>
      <c r="D73" s="170">
        <f>[1]SIT!AS64</f>
        <v>41.3</v>
      </c>
      <c r="E73" s="171">
        <f>[1]SIT!AT64</f>
        <v>23.479999999999997</v>
      </c>
      <c r="F73" s="171">
        <f>[1]SIT!AU64</f>
        <v>40</v>
      </c>
      <c r="G73" s="170">
        <f>[1]SIT!AV64</f>
        <v>41.3</v>
      </c>
      <c r="H73" s="171">
        <f>[1]SIT!AW64</f>
        <v>23.479999999999997</v>
      </c>
      <c r="I73" s="171">
        <f>[1]SIT!AX64</f>
        <v>0</v>
      </c>
      <c r="J73" s="663" t="s">
        <v>114</v>
      </c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</row>
    <row r="74" spans="1:77" s="165" customFormat="1" ht="60" customHeight="1" x14ac:dyDescent="0.25">
      <c r="A74" s="121">
        <v>54</v>
      </c>
      <c r="B74" s="168" t="str">
        <f>[1]SIT!AZ24</f>
        <v xml:space="preserve"> 113M-112</v>
      </c>
      <c r="C74" s="169">
        <f>[1]SIT!BA24</f>
        <v>140</v>
      </c>
      <c r="D74" s="170">
        <f>[1]SIT!BB24</f>
        <v>71.599999999999994</v>
      </c>
      <c r="E74" s="171">
        <f>[1]SIT!BC24</f>
        <v>39.760000000000005</v>
      </c>
      <c r="F74" s="171">
        <f>[1]SIT!BD24</f>
        <v>130</v>
      </c>
      <c r="G74" s="170">
        <f>[1]SIT!BE24</f>
        <v>80.2</v>
      </c>
      <c r="H74" s="171">
        <f>[1]SIT!BF24</f>
        <v>25.739999999999995</v>
      </c>
      <c r="I74" s="171">
        <f>[1]SIT!BG24</f>
        <v>-14.02000000000001</v>
      </c>
      <c r="J74" s="663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</row>
    <row r="75" spans="1:77" s="146" customFormat="1" ht="60" customHeight="1" x14ac:dyDescent="0.25">
      <c r="A75" s="121">
        <v>55</v>
      </c>
      <c r="B75" s="168" t="s">
        <v>237</v>
      </c>
      <c r="C75" s="169">
        <f>[1]SIT!BA67</f>
        <v>80</v>
      </c>
      <c r="D75" s="169">
        <f>[1]SIT!BB67</f>
        <v>12</v>
      </c>
      <c r="E75" s="169">
        <f>[1]SIT!BC67</f>
        <v>70.400000000000006</v>
      </c>
      <c r="F75" s="169">
        <f>[1]SIT!BD67</f>
        <v>80</v>
      </c>
      <c r="G75" s="169">
        <f>[1]SIT!BE67</f>
        <v>0.8</v>
      </c>
      <c r="H75" s="171">
        <f>[1]SIT!BF67</f>
        <v>79.36</v>
      </c>
      <c r="I75" s="171">
        <f>[1]SIT!BG67</f>
        <v>8.9599999999999937</v>
      </c>
      <c r="J75" s="663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</row>
    <row r="76" spans="1:77" s="165" customFormat="1" ht="60" customHeight="1" x14ac:dyDescent="0.25">
      <c r="A76" s="121"/>
      <c r="B76" s="147" t="s">
        <v>264</v>
      </c>
      <c r="C76" s="148">
        <f>SUM(C73:C75)</f>
        <v>260</v>
      </c>
      <c r="D76" s="149"/>
      <c r="E76" s="148">
        <f>SUM(E73:E75)</f>
        <v>133.64000000000001</v>
      </c>
      <c r="F76" s="148">
        <f>SUM(F73:F75)</f>
        <v>250</v>
      </c>
      <c r="G76" s="149"/>
      <c r="H76" s="148">
        <f>SUM(H73:H75)</f>
        <v>128.57999999999998</v>
      </c>
      <c r="I76" s="148">
        <f>SUM(I73:I75)</f>
        <v>-5.0600000000000165</v>
      </c>
      <c r="J76" s="663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</row>
    <row r="77" spans="1:77" s="165" customFormat="1" ht="60" customHeight="1" x14ac:dyDescent="0.25">
      <c r="A77" s="121">
        <v>56</v>
      </c>
      <c r="B77" s="168" t="str">
        <f>[1]SIT!AZ53</f>
        <v>BM-94 H</v>
      </c>
      <c r="C77" s="169">
        <f>[1]SIT!BA53</f>
        <v>40</v>
      </c>
      <c r="D77" s="170">
        <f>[1]SIT!BB53</f>
        <v>18</v>
      </c>
      <c r="E77" s="171">
        <f>[1]SIT!BC53</f>
        <v>32.800000000000004</v>
      </c>
      <c r="F77" s="171">
        <f>[1]SIT!BD53</f>
        <v>40</v>
      </c>
      <c r="G77" s="170">
        <f>[1]SIT!BE53</f>
        <v>53.7</v>
      </c>
      <c r="H77" s="171">
        <f>[1]SIT!BF53</f>
        <v>18.52</v>
      </c>
      <c r="I77" s="171">
        <f>[1]SIT!BG53</f>
        <v>-14.280000000000005</v>
      </c>
      <c r="J77" s="663" t="s">
        <v>115</v>
      </c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</row>
    <row r="78" spans="1:77" s="165" customFormat="1" ht="60" customHeight="1" x14ac:dyDescent="0.25">
      <c r="A78" s="121">
        <v>57</v>
      </c>
      <c r="B78" s="168" t="str">
        <f>[1]SIT!AZ57</f>
        <v>BM-102</v>
      </c>
      <c r="C78" s="169">
        <f>[1]SIT!BA57</f>
        <v>50</v>
      </c>
      <c r="D78" s="170">
        <f>[1]SIT!BB57</f>
        <v>85.2</v>
      </c>
      <c r="E78" s="171">
        <f>[1]SIT!BC57</f>
        <v>7.4000000000000012</v>
      </c>
      <c r="F78" s="171">
        <f>[1]SIT!BD57</f>
        <v>60</v>
      </c>
      <c r="G78" s="170">
        <f>[1]SIT!BE57</f>
        <v>76.400000000000006</v>
      </c>
      <c r="H78" s="171">
        <f>[1]SIT!BF57</f>
        <v>14.16</v>
      </c>
      <c r="I78" s="171">
        <f>[1]SIT!BG57</f>
        <v>6.7599999999999989</v>
      </c>
      <c r="J78" s="663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</row>
    <row r="79" spans="1:77" s="165" customFormat="1" ht="60" customHeight="1" x14ac:dyDescent="0.25">
      <c r="A79" s="121">
        <v>58</v>
      </c>
      <c r="B79" s="168" t="str">
        <f>[1]SIT!AZ62</f>
        <v>BM-114</v>
      </c>
      <c r="C79" s="169">
        <f>[1]SIT!BA62</f>
        <v>50</v>
      </c>
      <c r="D79" s="169">
        <f>[1]SIT!BB62</f>
        <v>9.6999999999999993</v>
      </c>
      <c r="E79" s="171">
        <f>[1]SIT!BC62</f>
        <v>45.15</v>
      </c>
      <c r="F79" s="171">
        <f>[1]SIT!BD62</f>
        <v>50</v>
      </c>
      <c r="G79" s="170">
        <f>[1]SIT!BE62</f>
        <v>8.1999999999999993</v>
      </c>
      <c r="H79" s="171">
        <f>[1]SIT!BF62</f>
        <v>45.9</v>
      </c>
      <c r="I79" s="171">
        <f>[1]SIT!BG62</f>
        <v>0.75</v>
      </c>
      <c r="J79" s="663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</row>
    <row r="80" spans="1:77" s="165" customFormat="1" ht="60" customHeight="1" x14ac:dyDescent="0.25">
      <c r="A80" s="121">
        <v>59</v>
      </c>
      <c r="B80" s="147" t="s">
        <v>264</v>
      </c>
      <c r="C80" s="148">
        <f>SUM(C77:C79)</f>
        <v>140</v>
      </c>
      <c r="D80" s="149"/>
      <c r="E80" s="148">
        <f>SUM(E77:E79)</f>
        <v>85.35</v>
      </c>
      <c r="F80" s="148">
        <f>SUM(F77:F79)</f>
        <v>150</v>
      </c>
      <c r="G80" s="149"/>
      <c r="H80" s="148">
        <f>SUM(H77:H79)</f>
        <v>78.58</v>
      </c>
      <c r="I80" s="148">
        <f>SUM(I77:I79)</f>
        <v>-6.7700000000000058</v>
      </c>
      <c r="J80" s="149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</row>
    <row r="81" spans="1:77" s="165" customFormat="1" ht="60" customHeight="1" x14ac:dyDescent="0.25">
      <c r="A81" s="121">
        <v>60</v>
      </c>
      <c r="B81" s="172" t="str">
        <f>[1]SIT!AQ72</f>
        <v>*BM-77</v>
      </c>
      <c r="C81" s="173">
        <f>[1]SIT!AR72</f>
        <v>0</v>
      </c>
      <c r="D81" s="174">
        <f>[1]SIT!AS72</f>
        <v>93</v>
      </c>
      <c r="E81" s="175">
        <f>[1]SIT!AT72</f>
        <v>0</v>
      </c>
      <c r="F81" s="175">
        <f>[1]SIT!AU72</f>
        <v>0</v>
      </c>
      <c r="G81" s="174">
        <f>[1]SIT!AV72</f>
        <v>96</v>
      </c>
      <c r="H81" s="175">
        <f>[1]SIT!AW72</f>
        <v>0</v>
      </c>
      <c r="I81" s="175">
        <f>[1]SIT!AX72</f>
        <v>0</v>
      </c>
      <c r="J81" s="653" t="s">
        <v>116</v>
      </c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</row>
    <row r="82" spans="1:77" s="165" customFormat="1" ht="60" customHeight="1" x14ac:dyDescent="0.25">
      <c r="A82" s="121">
        <v>61</v>
      </c>
      <c r="B82" s="172" t="str">
        <f>[1]SIT!AQ75</f>
        <v>BM-81</v>
      </c>
      <c r="C82" s="173">
        <f>[1]SIT!AR75</f>
        <v>100</v>
      </c>
      <c r="D82" s="174">
        <f>[1]SIT!AS75</f>
        <v>98</v>
      </c>
      <c r="E82" s="175">
        <f>[1]SIT!AT75</f>
        <v>2.0000000000000018</v>
      </c>
      <c r="F82" s="175">
        <f>[1]SIT!AU75</f>
        <v>100</v>
      </c>
      <c r="G82" s="174">
        <f>[1]SIT!AV75</f>
        <v>97.6</v>
      </c>
      <c r="H82" s="175">
        <f>[1]SIT!AW75</f>
        <v>2.4000000000000021</v>
      </c>
      <c r="I82" s="175">
        <f>[1]SIT!AX75</f>
        <v>0.40000000000000036</v>
      </c>
      <c r="J82" s="653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</row>
    <row r="83" spans="1:77" s="165" customFormat="1" ht="60" customHeight="1" x14ac:dyDescent="0.25">
      <c r="A83" s="121">
        <v>62</v>
      </c>
      <c r="B83" s="172" t="str">
        <f>[1]SIT!AZ48</f>
        <v xml:space="preserve">  *BM-89</v>
      </c>
      <c r="C83" s="173">
        <f>[1]SIT!BA48</f>
        <v>0</v>
      </c>
      <c r="D83" s="174">
        <f>[1]SIT!AS76</f>
        <v>22.1</v>
      </c>
      <c r="E83" s="175">
        <f>[1]SIT!BC48</f>
        <v>0</v>
      </c>
      <c r="F83" s="175">
        <f>[1]SIT!BD48</f>
        <v>0</v>
      </c>
      <c r="G83" s="174">
        <f>[1]SIT!BE48</f>
        <v>92.6</v>
      </c>
      <c r="H83" s="175">
        <f>[1]SIT!BF48</f>
        <v>0</v>
      </c>
      <c r="I83" s="175">
        <f>[1]SIT!BG48</f>
        <v>0</v>
      </c>
      <c r="J83" s="653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</row>
    <row r="84" spans="1:77" s="165" customFormat="1" ht="60" customHeight="1" x14ac:dyDescent="0.25">
      <c r="A84" s="121"/>
      <c r="B84" s="172" t="str">
        <f>[1]SIT!AZ54</f>
        <v>BM-95 H</v>
      </c>
      <c r="C84" s="173">
        <f>[1]SIT!BA54</f>
        <v>35</v>
      </c>
      <c r="D84" s="174">
        <f>[1]SIT!BB54</f>
        <v>10</v>
      </c>
      <c r="E84" s="175">
        <f>[1]SIT!BC54</f>
        <v>31.5</v>
      </c>
      <c r="F84" s="175">
        <f>[1]SIT!BD54</f>
        <v>30</v>
      </c>
      <c r="G84" s="174">
        <f>[1]SIT!BE54</f>
        <v>0.8</v>
      </c>
      <c r="H84" s="175">
        <f>[1]SIT!BF54</f>
        <v>29.759999999999998</v>
      </c>
      <c r="I84" s="175">
        <f>[1]SIT!BG54</f>
        <v>-1.740000000000002</v>
      </c>
      <c r="J84" s="653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</row>
    <row r="85" spans="1:77" s="165" customFormat="1" ht="60" customHeight="1" x14ac:dyDescent="0.25">
      <c r="A85" s="121">
        <v>63</v>
      </c>
      <c r="B85" s="172" t="str">
        <f>[1]SIT!AZ74</f>
        <v>BMSW-01 R</v>
      </c>
      <c r="C85" s="173">
        <f>[1]SIT!BA74</f>
        <v>90</v>
      </c>
      <c r="D85" s="174">
        <f>[1]SIT!BB74</f>
        <v>50</v>
      </c>
      <c r="E85" s="175">
        <f>[1]SIT!BC74</f>
        <v>45</v>
      </c>
      <c r="F85" s="175">
        <f>[1]SIT!BD74</f>
        <v>90</v>
      </c>
      <c r="G85" s="174">
        <f>[1]SIT!BE74</f>
        <v>46.6</v>
      </c>
      <c r="H85" s="175">
        <f>[1]SIT!BF74</f>
        <v>48.06</v>
      </c>
      <c r="I85" s="175">
        <f>[1]SIT!BG74</f>
        <v>3.0600000000000023</v>
      </c>
      <c r="J85" s="653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</row>
    <row r="86" spans="1:77" s="165" customFormat="1" ht="60" customHeight="1" x14ac:dyDescent="0.25">
      <c r="A86" s="121">
        <v>64</v>
      </c>
      <c r="B86" s="172" t="str">
        <f>[1]SIT!AZ75</f>
        <v>BMSW-2</v>
      </c>
      <c r="C86" s="173">
        <f>[1]SIT!BA75</f>
        <v>0</v>
      </c>
      <c r="D86" s="174">
        <f>[1]SIT!BB75</f>
        <v>0</v>
      </c>
      <c r="E86" s="175">
        <f>[1]SIT!BC75</f>
        <v>0</v>
      </c>
      <c r="F86" s="175">
        <f>[1]SIT!BD75</f>
        <v>40</v>
      </c>
      <c r="G86" s="174">
        <f>[1]SIT!BE75</f>
        <v>1.2</v>
      </c>
      <c r="H86" s="175">
        <f>[1]SIT!BF75</f>
        <v>39.519999999999996</v>
      </c>
      <c r="I86" s="175">
        <f>[1]SIT!BG75</f>
        <v>39.519999999999996</v>
      </c>
      <c r="J86" s="653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</row>
    <row r="87" spans="1:77" s="165" customFormat="1" ht="60" customHeight="1" x14ac:dyDescent="0.25">
      <c r="A87" s="121"/>
      <c r="B87" s="172" t="str">
        <f>[1]SIT!AZ26</f>
        <v>113M-115</v>
      </c>
      <c r="C87" s="173">
        <f>[1]SIT!BA26</f>
        <v>120</v>
      </c>
      <c r="D87" s="174">
        <f>[1]SIT!BB63</f>
        <v>70</v>
      </c>
      <c r="E87" s="175">
        <f>[1]SIT!BC26</f>
        <v>11.88000000000001</v>
      </c>
      <c r="F87" s="175">
        <f>[1]SIT!BD26</f>
        <v>120</v>
      </c>
      <c r="G87" s="174">
        <f>[1]SIT!BE26</f>
        <v>90.1</v>
      </c>
      <c r="H87" s="175">
        <f>[1]SIT!BF26</f>
        <v>11.88000000000001</v>
      </c>
      <c r="I87" s="175">
        <f>[1]SIT!BG26</f>
        <v>0</v>
      </c>
      <c r="J87" s="653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</row>
    <row r="88" spans="1:77" s="165" customFormat="1" ht="60" customHeight="1" x14ac:dyDescent="0.25">
      <c r="A88" s="121">
        <v>65</v>
      </c>
      <c r="B88" s="172" t="str">
        <f>[1]SIT!AZ63</f>
        <v>*BM-115</v>
      </c>
      <c r="C88" s="173">
        <f>[1]SIT!BA63</f>
        <v>0</v>
      </c>
      <c r="D88" s="174">
        <f>[1]SIT!BB64</f>
        <v>90</v>
      </c>
      <c r="E88" s="175">
        <f>[1]SIT!BC63</f>
        <v>0</v>
      </c>
      <c r="F88" s="175">
        <f>[1]SIT!BD63</f>
        <v>0</v>
      </c>
      <c r="G88" s="174">
        <f>[1]SIT!BE63</f>
        <v>68.400000000000006</v>
      </c>
      <c r="H88" s="175">
        <f>[1]SIT!BF63</f>
        <v>0</v>
      </c>
      <c r="I88" s="175">
        <f>[1]SIT!BG63</f>
        <v>0</v>
      </c>
      <c r="J88" s="653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</row>
    <row r="89" spans="1:77" s="165" customFormat="1" ht="60" customHeight="1" x14ac:dyDescent="0.25">
      <c r="A89" s="121"/>
      <c r="B89" s="147" t="s">
        <v>264</v>
      </c>
      <c r="C89" s="176">
        <f>SUM(C81:C88)</f>
        <v>345</v>
      </c>
      <c r="D89" s="149"/>
      <c r="E89" s="176">
        <f>SUM(E81:E88)</f>
        <v>90.38000000000001</v>
      </c>
      <c r="F89" s="176">
        <f>SUM(F81:F88)</f>
        <v>380</v>
      </c>
      <c r="G89" s="177"/>
      <c r="H89" s="176">
        <f>SUM(H81:H88)</f>
        <v>131.62</v>
      </c>
      <c r="I89" s="176">
        <f>SUM(I81:I88)</f>
        <v>41.239999999999995</v>
      </c>
      <c r="J89" s="176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</row>
    <row r="90" spans="1:77" s="165" customFormat="1" ht="60" customHeight="1" x14ac:dyDescent="0.25">
      <c r="A90" s="121">
        <v>66</v>
      </c>
      <c r="B90" s="172" t="str">
        <f>[1]SIT!AQ46</f>
        <v xml:space="preserve"> BM-15 Re.</v>
      </c>
      <c r="C90" s="173">
        <f>[1]SIT!AR46</f>
        <v>50</v>
      </c>
      <c r="D90" s="174">
        <f>[1]SIT!AS46</f>
        <v>75</v>
      </c>
      <c r="E90" s="175">
        <f>[1]SIT!AT46</f>
        <v>12.5</v>
      </c>
      <c r="F90" s="175">
        <f>[1]SIT!AU46</f>
        <v>50</v>
      </c>
      <c r="G90" s="174">
        <f>[1]SIT!AV46</f>
        <v>33.1</v>
      </c>
      <c r="H90" s="175">
        <f>[1]SIT!AW46</f>
        <v>33.450000000000003</v>
      </c>
      <c r="I90" s="175">
        <f>[1]SIT!AX46</f>
        <v>20.950000000000003</v>
      </c>
      <c r="J90" s="653" t="s">
        <v>273</v>
      </c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</row>
    <row r="91" spans="1:77" s="165" customFormat="1" ht="60" customHeight="1" x14ac:dyDescent="0.25">
      <c r="A91" s="121">
        <v>66</v>
      </c>
      <c r="B91" s="172" t="str">
        <f>[1]SIT!AQ53</f>
        <v>*BM-27</v>
      </c>
      <c r="C91" s="173">
        <f>[1]SIT!AR53</f>
        <v>0</v>
      </c>
      <c r="D91" s="173">
        <f>[1]SIT!AS53</f>
        <v>1.2</v>
      </c>
      <c r="E91" s="175">
        <f>[1]SIT!AT53</f>
        <v>0</v>
      </c>
      <c r="F91" s="175">
        <f>[1]SIT!AU53</f>
        <v>0</v>
      </c>
      <c r="G91" s="174">
        <f>[1]SIT!AV53</f>
        <v>37.6</v>
      </c>
      <c r="H91" s="175">
        <f>[1]SIT!AW53</f>
        <v>0</v>
      </c>
      <c r="I91" s="175">
        <f>[1]SIT!AX53</f>
        <v>0</v>
      </c>
      <c r="J91" s="653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</row>
    <row r="92" spans="1:77" s="165" customFormat="1" ht="60" customHeight="1" x14ac:dyDescent="0.25">
      <c r="A92" s="121">
        <v>67</v>
      </c>
      <c r="B92" s="147" t="s">
        <v>264</v>
      </c>
      <c r="C92" s="176">
        <f>SUM(C90:C91)</f>
        <v>50</v>
      </c>
      <c r="D92" s="149"/>
      <c r="E92" s="176">
        <f>SUM(E90:E91)</f>
        <v>12.5</v>
      </c>
      <c r="F92" s="176">
        <f>SUM(F90:F91)</f>
        <v>50</v>
      </c>
      <c r="G92" s="177"/>
      <c r="H92" s="176">
        <f>SUM(H90:H91)</f>
        <v>33.450000000000003</v>
      </c>
      <c r="I92" s="176">
        <f>SUM(I90:I91)</f>
        <v>20.950000000000003</v>
      </c>
      <c r="J92" s="149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</row>
    <row r="93" spans="1:77" s="165" customFormat="1" ht="60" customHeight="1" x14ac:dyDescent="0.25">
      <c r="A93" s="121"/>
      <c r="B93" s="172" t="str">
        <f>[1]SIT!AQ69</f>
        <v>BM-72</v>
      </c>
      <c r="C93" s="173">
        <f>[1]SIT!AR69</f>
        <v>40</v>
      </c>
      <c r="D93" s="173">
        <f>[1]SIT!AS69</f>
        <v>37</v>
      </c>
      <c r="E93" s="175">
        <f>[1]SIT!AT69</f>
        <v>25.2</v>
      </c>
      <c r="F93" s="175">
        <f>[1]SIT!AU69</f>
        <v>40</v>
      </c>
      <c r="G93" s="174">
        <f>[1]SIT!AV69</f>
        <v>33</v>
      </c>
      <c r="H93" s="175">
        <f>[1]SIT!AW69</f>
        <v>26.799999999999997</v>
      </c>
      <c r="I93" s="175">
        <f>[1]SIT!AX69</f>
        <v>1.5999999999999979</v>
      </c>
      <c r="J93" s="653" t="s">
        <v>117</v>
      </c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</row>
    <row r="94" spans="1:77" s="165" customFormat="1" ht="60" customHeight="1" x14ac:dyDescent="0.25">
      <c r="A94" s="121">
        <v>68</v>
      </c>
      <c r="B94" s="172" t="str">
        <f>[1]SIT!AZ72</f>
        <v>BMNW-04</v>
      </c>
      <c r="C94" s="173">
        <v>0</v>
      </c>
      <c r="D94" s="173">
        <v>0</v>
      </c>
      <c r="E94" s="175">
        <v>0</v>
      </c>
      <c r="F94" s="175">
        <f>[1]SIT!BD72</f>
        <v>0</v>
      </c>
      <c r="G94" s="174">
        <f>[1]SIT!BE72</f>
        <v>27</v>
      </c>
      <c r="H94" s="175">
        <f>[1]SIT!BF72</f>
        <v>0</v>
      </c>
      <c r="I94" s="175">
        <f>[1]SIT!BG72</f>
        <v>0</v>
      </c>
      <c r="J94" s="653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</row>
    <row r="95" spans="1:77" s="165" customFormat="1" ht="60" customHeight="1" x14ac:dyDescent="0.25">
      <c r="A95" s="121">
        <v>69</v>
      </c>
      <c r="B95" s="172" t="str">
        <f>[1]SIT!AZ73</f>
        <v>BMNW-05</v>
      </c>
      <c r="C95" s="173">
        <v>0</v>
      </c>
      <c r="D95" s="173">
        <v>0</v>
      </c>
      <c r="E95" s="175">
        <v>0</v>
      </c>
      <c r="F95" s="175">
        <f>[1]SIT!BD73</f>
        <v>80</v>
      </c>
      <c r="G95" s="174">
        <f>[1]SIT!BE73</f>
        <v>90</v>
      </c>
      <c r="H95" s="175">
        <f>[1]SIT!BF73</f>
        <v>7.9999999999999982</v>
      </c>
      <c r="I95" s="175">
        <f>[1]SIT!BG73</f>
        <v>7.9999999999999982</v>
      </c>
      <c r="J95" s="653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</row>
    <row r="96" spans="1:77" s="165" customFormat="1" ht="60" customHeight="1" x14ac:dyDescent="0.25">
      <c r="A96" s="121">
        <v>70</v>
      </c>
      <c r="B96" s="147" t="s">
        <v>264</v>
      </c>
      <c r="C96" s="176">
        <f>SUM(C93:C94)</f>
        <v>40</v>
      </c>
      <c r="D96" s="177"/>
      <c r="E96" s="176">
        <f>SUM(E93:E94)</f>
        <v>25.2</v>
      </c>
      <c r="F96" s="176">
        <f>SUM(F93:F95)</f>
        <v>120</v>
      </c>
      <c r="G96" s="177"/>
      <c r="H96" s="176">
        <f>SUM(H93:H95)</f>
        <v>34.799999999999997</v>
      </c>
      <c r="I96" s="176">
        <f>SUM(I93:I95)</f>
        <v>9.5999999999999961</v>
      </c>
      <c r="J96" s="176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</row>
    <row r="97" spans="1:251" s="165" customFormat="1" ht="60" customHeight="1" x14ac:dyDescent="0.25">
      <c r="A97" s="121">
        <v>71</v>
      </c>
      <c r="B97" s="172" t="str">
        <f>[1]SIT!AQ51</f>
        <v>BM-23 Re.</v>
      </c>
      <c r="C97" s="173">
        <f>[1]SIT!AR51</f>
        <v>400</v>
      </c>
      <c r="D97" s="173">
        <f>[1]SIT!AS51</f>
        <v>100</v>
      </c>
      <c r="E97" s="175">
        <f>[1]SIT!AT51</f>
        <v>0</v>
      </c>
      <c r="F97" s="175">
        <f>[1]SIT!AU51</f>
        <v>400</v>
      </c>
      <c r="G97" s="174">
        <f>[1]SIT!AV51</f>
        <v>97.5</v>
      </c>
      <c r="H97" s="175">
        <f>[1]SIT!AW51</f>
        <v>10.000000000000009</v>
      </c>
      <c r="I97" s="175">
        <f>[1]SIT!AX51</f>
        <v>10.000000000000009</v>
      </c>
      <c r="J97" s="653" t="s">
        <v>274</v>
      </c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</row>
    <row r="98" spans="1:251" s="165" customFormat="1" ht="60" customHeight="1" x14ac:dyDescent="0.25">
      <c r="A98" s="121">
        <v>72</v>
      </c>
      <c r="B98" s="147" t="s">
        <v>264</v>
      </c>
      <c r="C98" s="176">
        <f>SUM(C97:C97)</f>
        <v>400</v>
      </c>
      <c r="D98" s="176">
        <f>SUM(D97:D97)</f>
        <v>100</v>
      </c>
      <c r="E98" s="176">
        <f>SUM(E97:E97)</f>
        <v>0</v>
      </c>
      <c r="F98" s="176">
        <f>SUM(F97:F97)</f>
        <v>400</v>
      </c>
      <c r="G98" s="177"/>
      <c r="H98" s="176">
        <f>SUM(H97:H97)</f>
        <v>10.000000000000009</v>
      </c>
      <c r="I98" s="176">
        <f>SUM(I97:I97)</f>
        <v>10.000000000000009</v>
      </c>
      <c r="J98" s="653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</row>
    <row r="99" spans="1:251" s="165" customFormat="1" ht="60" customHeight="1" x14ac:dyDescent="0.25">
      <c r="A99" s="121"/>
      <c r="B99" s="173" t="s">
        <v>244</v>
      </c>
      <c r="C99" s="173">
        <f>[1]SIT!BA76</f>
        <v>0</v>
      </c>
      <c r="D99" s="174">
        <f>[1]SIT!AS16</f>
        <v>41</v>
      </c>
      <c r="E99" s="173">
        <f>[1]SIT!BC76</f>
        <v>0</v>
      </c>
      <c r="F99" s="173">
        <f>[1]SIT!BD76</f>
        <v>0</v>
      </c>
      <c r="G99" s="173">
        <f>[1]SIT!BE76</f>
        <v>73.5</v>
      </c>
      <c r="H99" s="175">
        <f>[1]SIT!BF76</f>
        <v>0</v>
      </c>
      <c r="I99" s="175">
        <f>[1]SIT!BG76</f>
        <v>0</v>
      </c>
      <c r="J99" s="173" t="s">
        <v>119</v>
      </c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</row>
    <row r="100" spans="1:251" s="165" customFormat="1" ht="60" customHeight="1" x14ac:dyDescent="0.25">
      <c r="A100" s="121">
        <v>73</v>
      </c>
      <c r="B100" s="147" t="s">
        <v>264</v>
      </c>
      <c r="C100" s="176">
        <f>SUM(C99:C99)</f>
        <v>0</v>
      </c>
      <c r="D100" s="149"/>
      <c r="E100" s="176">
        <f>SUM(E99:E99)</f>
        <v>0</v>
      </c>
      <c r="F100" s="176">
        <f>SUM(F99:F99)</f>
        <v>0</v>
      </c>
      <c r="G100" s="176"/>
      <c r="H100" s="176">
        <f>SUM(H99:H99)</f>
        <v>0</v>
      </c>
      <c r="I100" s="176">
        <f>SUM(I99:I99)</f>
        <v>0</v>
      </c>
      <c r="J100" s="176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</row>
    <row r="101" spans="1:251" s="165" customFormat="1" ht="60" customHeight="1" x14ac:dyDescent="0.25">
      <c r="A101" s="121">
        <v>74</v>
      </c>
      <c r="B101" s="172" t="str">
        <f>[1]SIT!AQ16</f>
        <v>113M-48</v>
      </c>
      <c r="C101" s="173">
        <f>[1]SIT!AR16</f>
        <v>80</v>
      </c>
      <c r="D101" s="173">
        <f>[1]SIT!AS16</f>
        <v>41</v>
      </c>
      <c r="E101" s="175">
        <f>[1]SIT!AT16</f>
        <v>47.2</v>
      </c>
      <c r="F101" s="175">
        <f>[1]SIT!AU16</f>
        <v>80</v>
      </c>
      <c r="G101" s="174">
        <f>[1]SIT!AV16</f>
        <v>36.799999999999997</v>
      </c>
      <c r="H101" s="175">
        <f>[1]SIT!AW16</f>
        <v>50.56</v>
      </c>
      <c r="I101" s="175">
        <f>[1]SIT!AX16</f>
        <v>3.3599999999999994</v>
      </c>
      <c r="J101" s="653" t="s">
        <v>120</v>
      </c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</row>
    <row r="102" spans="1:251" s="165" customFormat="1" ht="60" customHeight="1" x14ac:dyDescent="0.25">
      <c r="A102" s="121">
        <v>75</v>
      </c>
      <c r="B102" s="172" t="str">
        <f>[1]SIT!AQ17</f>
        <v>113M-49</v>
      </c>
      <c r="C102" s="173">
        <f>[1]SIT!AR17</f>
        <v>90</v>
      </c>
      <c r="D102" s="173">
        <f>[1]SIT!AS17</f>
        <v>83.5</v>
      </c>
      <c r="E102" s="175">
        <f>[1]SIT!AT17</f>
        <v>14.850000000000003</v>
      </c>
      <c r="F102" s="175">
        <f>[1]SIT!AU17</f>
        <v>90</v>
      </c>
      <c r="G102" s="174">
        <f>[1]SIT!AV17</f>
        <v>84.2</v>
      </c>
      <c r="H102" s="175">
        <f>[1]SIT!AW17</f>
        <v>14.219999999999992</v>
      </c>
      <c r="I102" s="175">
        <f>[1]SIT!AX17</f>
        <v>-0.63000000000001144</v>
      </c>
      <c r="J102" s="653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</row>
    <row r="103" spans="1:251" s="165" customFormat="1" ht="60" customHeight="1" x14ac:dyDescent="0.25">
      <c r="A103" s="121">
        <v>76</v>
      </c>
      <c r="B103" s="172" t="str">
        <f>[1]SIT!AQ18</f>
        <v>113M-50</v>
      </c>
      <c r="C103" s="173">
        <f>[1]SIT!AR18</f>
        <v>30</v>
      </c>
      <c r="D103" s="173">
        <f>[1]SIT!AS18</f>
        <v>3.6</v>
      </c>
      <c r="E103" s="175">
        <f>[1]SIT!AT18</f>
        <v>28.919999999999998</v>
      </c>
      <c r="F103" s="175">
        <f>[1]SIT!AU18</f>
        <v>30</v>
      </c>
      <c r="G103" s="174">
        <f>[1]SIT!AV18</f>
        <v>4</v>
      </c>
      <c r="H103" s="175">
        <f>[1]SIT!AW18</f>
        <v>28.799999999999997</v>
      </c>
      <c r="I103" s="175">
        <f>[1]SIT!AX18</f>
        <v>-0.12000000000000099</v>
      </c>
      <c r="J103" s="653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</row>
    <row r="104" spans="1:251" s="146" customFormat="1" ht="60" customHeight="1" x14ac:dyDescent="0.25">
      <c r="A104" s="178">
        <v>77</v>
      </c>
      <c r="B104" s="172" t="str">
        <f>[1]SIT!AQ56</f>
        <v xml:space="preserve"> BM-34</v>
      </c>
      <c r="C104" s="173">
        <f>[1]SIT!AR56</f>
        <v>30</v>
      </c>
      <c r="D104" s="173">
        <f>[1]SIT!AS56</f>
        <v>64.8</v>
      </c>
      <c r="E104" s="175">
        <f>[1]SIT!AT56</f>
        <v>10.559999999999999</v>
      </c>
      <c r="F104" s="175">
        <f>[1]SIT!AU56</f>
        <v>30</v>
      </c>
      <c r="G104" s="174">
        <f>[1]SIT!AV56</f>
        <v>64.8</v>
      </c>
      <c r="H104" s="175">
        <f>[1]SIT!AW56</f>
        <v>10.559999999999999</v>
      </c>
      <c r="I104" s="175">
        <f>[1]SIT!AX56</f>
        <v>0</v>
      </c>
      <c r="J104" s="653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</row>
    <row r="105" spans="1:251" s="179" customFormat="1" ht="60" customHeight="1" x14ac:dyDescent="0.25">
      <c r="A105" s="121">
        <v>78</v>
      </c>
      <c r="B105" s="172" t="str">
        <f>[1]SIT!AZ46</f>
        <v>BM-86</v>
      </c>
      <c r="C105" s="173">
        <f>[1]SIT!BA46</f>
        <v>30</v>
      </c>
      <c r="D105" s="173">
        <f>[1]SIT!BB46</f>
        <v>10</v>
      </c>
      <c r="E105" s="175">
        <f>[1]SIT!BC46</f>
        <v>27</v>
      </c>
      <c r="F105" s="175">
        <f>[1]SIT!BD46</f>
        <v>30</v>
      </c>
      <c r="G105" s="174">
        <f>[1]SIT!BE46</f>
        <v>33.799999999999997</v>
      </c>
      <c r="H105" s="175">
        <f>[1]SIT!BF46</f>
        <v>19.86</v>
      </c>
      <c r="I105" s="175">
        <f>[1]SIT!BG46</f>
        <v>-7.1400000000000006</v>
      </c>
      <c r="J105" s="653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</row>
    <row r="106" spans="1:251" s="146" customFormat="1" ht="60" customHeight="1" x14ac:dyDescent="0.25">
      <c r="A106" s="121"/>
      <c r="B106" s="147" t="s">
        <v>264</v>
      </c>
      <c r="C106" s="176">
        <f>SUM(C101:C105)</f>
        <v>260</v>
      </c>
      <c r="D106" s="180"/>
      <c r="E106" s="148">
        <f>SUM(E101:E105)</f>
        <v>128.53</v>
      </c>
      <c r="F106" s="176">
        <f>SUM(F101:F105)</f>
        <v>260</v>
      </c>
      <c r="G106" s="177"/>
      <c r="H106" s="176">
        <f>SUM(H101:H105)</f>
        <v>124</v>
      </c>
      <c r="I106" s="176">
        <f>SUM(I101:I105)</f>
        <v>-4.5300000000000136</v>
      </c>
      <c r="J106" s="149"/>
      <c r="K106" s="181"/>
      <c r="L106" s="182"/>
      <c r="M106" s="183"/>
      <c r="N106" s="184"/>
      <c r="O106" s="181"/>
      <c r="P106" s="185"/>
      <c r="Q106" s="184"/>
      <c r="R106" s="181"/>
      <c r="S106" s="181"/>
      <c r="T106" s="182"/>
      <c r="U106" s="183"/>
      <c r="V106" s="184"/>
      <c r="W106" s="181"/>
      <c r="X106" s="185"/>
      <c r="Y106" s="184"/>
      <c r="Z106" s="186"/>
      <c r="AA106" s="186"/>
      <c r="AB106" s="187"/>
      <c r="AC106" s="188"/>
      <c r="AD106" s="189"/>
      <c r="AE106" s="186"/>
      <c r="AF106" s="190"/>
      <c r="AG106" s="189"/>
      <c r="AH106" s="186"/>
      <c r="AI106" s="186"/>
      <c r="AJ106" s="187"/>
      <c r="AK106" s="188"/>
      <c r="AL106" s="189"/>
      <c r="AM106" s="186"/>
      <c r="AN106" s="190"/>
      <c r="AO106" s="189"/>
      <c r="AP106" s="186"/>
      <c r="AQ106" s="186"/>
      <c r="AR106" s="187"/>
      <c r="AS106" s="188"/>
      <c r="AT106" s="189"/>
      <c r="AU106" s="186"/>
      <c r="AV106" s="190"/>
      <c r="AW106" s="189"/>
      <c r="AX106" s="186"/>
      <c r="AY106" s="186"/>
      <c r="AZ106" s="187"/>
      <c r="BA106" s="188"/>
      <c r="BB106" s="189"/>
      <c r="BC106" s="186"/>
      <c r="BD106" s="190"/>
      <c r="BE106" s="189"/>
      <c r="BF106" s="186"/>
      <c r="BG106" s="186"/>
      <c r="BH106" s="187"/>
      <c r="BI106" s="188"/>
      <c r="BJ106" s="189"/>
      <c r="BK106" s="186"/>
      <c r="BL106" s="190"/>
      <c r="BM106" s="189"/>
      <c r="BN106" s="186"/>
      <c r="BO106" s="186"/>
      <c r="BP106" s="187"/>
      <c r="BQ106" s="188"/>
      <c r="BR106" s="189"/>
      <c r="BS106" s="186"/>
      <c r="BT106" s="190"/>
      <c r="BU106" s="189"/>
      <c r="BV106" s="186"/>
      <c r="BW106" s="186"/>
      <c r="BX106" s="187"/>
      <c r="BY106" s="188"/>
      <c r="BZ106" s="191">
        <f>SUM(BT46)</f>
        <v>0</v>
      </c>
      <c r="CA106" s="192">
        <f>SUM((BY106*(1-BZ106/100)))</f>
        <v>0</v>
      </c>
      <c r="CB106" s="193">
        <v>0</v>
      </c>
      <c r="CC106" s="194">
        <f>SUM(BU46)</f>
        <v>0</v>
      </c>
      <c r="CD106" s="192">
        <f>SUM((CB106*(1-CC106/100)))</f>
        <v>0</v>
      </c>
      <c r="CE106" s="192">
        <f>SUM(-(BY106*(1-BZ106/100))+(CB106*(1-CC106/100)))</f>
        <v>0</v>
      </c>
      <c r="CF106" s="195" t="s">
        <v>275</v>
      </c>
      <c r="CG106" s="196">
        <v>0</v>
      </c>
      <c r="CH106" s="194">
        <f>SUM(CB46)</f>
        <v>0</v>
      </c>
      <c r="CI106" s="192">
        <f>SUM((CG106*(1-CH106/100)))</f>
        <v>0</v>
      </c>
      <c r="CJ106" s="193">
        <v>0</v>
      </c>
      <c r="CK106" s="194">
        <f>SUM(CC46)</f>
        <v>0</v>
      </c>
      <c r="CL106" s="192">
        <f>SUM((CJ106*(1-CK106/100)))</f>
        <v>0</v>
      </c>
      <c r="CM106" s="192">
        <f>SUM(-(CG106*(1-CH106/100))+(CJ106*(1-CK106/100)))</f>
        <v>0</v>
      </c>
      <c r="CN106" s="195" t="s">
        <v>275</v>
      </c>
      <c r="CO106" s="196">
        <v>0</v>
      </c>
      <c r="CP106" s="194">
        <f>SUM(CJ46)</f>
        <v>0</v>
      </c>
      <c r="CQ106" s="192">
        <f>SUM((CO106*(1-CP106/100)))</f>
        <v>0</v>
      </c>
      <c r="CR106" s="193">
        <v>0</v>
      </c>
      <c r="CS106" s="194">
        <f>SUM(CK46)</f>
        <v>0</v>
      </c>
      <c r="CT106" s="192">
        <f>SUM((CR106*(1-CS106/100)))</f>
        <v>0</v>
      </c>
      <c r="CU106" s="192">
        <f>SUM(-(CO106*(1-CP106/100))+(CR106*(1-CS106/100)))</f>
        <v>0</v>
      </c>
      <c r="CV106" s="195" t="s">
        <v>275</v>
      </c>
      <c r="CW106" s="196">
        <v>0</v>
      </c>
      <c r="CX106" s="194">
        <f>SUM(CR46)</f>
        <v>0</v>
      </c>
      <c r="CY106" s="192">
        <f>SUM((CW106*(1-CX106/100)))</f>
        <v>0</v>
      </c>
      <c r="CZ106" s="193">
        <v>0</v>
      </c>
      <c r="DA106" s="194">
        <f>SUM(CS46)</f>
        <v>0</v>
      </c>
      <c r="DB106" s="192">
        <f>SUM((CZ106*(1-DA106/100)))</f>
        <v>0</v>
      </c>
      <c r="DC106" s="192">
        <f>SUM(-(CW106*(1-CX106/100))+(CZ106*(1-DA106/100)))</f>
        <v>0</v>
      </c>
      <c r="DD106" s="195" t="s">
        <v>275</v>
      </c>
      <c r="DE106" s="196">
        <v>0</v>
      </c>
      <c r="DF106" s="194">
        <f>SUM(CZ46)</f>
        <v>0</v>
      </c>
      <c r="DG106" s="192">
        <f>SUM((DE106*(1-DF106/100)))</f>
        <v>0</v>
      </c>
      <c r="DH106" s="193">
        <v>0</v>
      </c>
      <c r="DI106" s="194">
        <f>SUM(DA46)</f>
        <v>0</v>
      </c>
      <c r="DJ106" s="192">
        <f>SUM((DH106*(1-DI106/100)))</f>
        <v>0</v>
      </c>
      <c r="DK106" s="192">
        <f>SUM(-(DE106*(1-DF106/100))+(DH106*(1-DI106/100)))</f>
        <v>0</v>
      </c>
      <c r="DL106" s="195" t="s">
        <v>275</v>
      </c>
      <c r="DM106" s="196">
        <v>0</v>
      </c>
      <c r="DN106" s="194">
        <f>SUM(DH46)</f>
        <v>0</v>
      </c>
      <c r="DO106" s="192">
        <f>SUM((DM106*(1-DN106/100)))</f>
        <v>0</v>
      </c>
      <c r="DP106" s="193">
        <v>0</v>
      </c>
      <c r="DQ106" s="194">
        <f>SUM(DI46)</f>
        <v>0</v>
      </c>
      <c r="DR106" s="192">
        <f>SUM((DP106*(1-DQ106/100)))</f>
        <v>0</v>
      </c>
      <c r="DS106" s="192">
        <f>SUM(-(DM106*(1-DN106/100))+(DP106*(1-DQ106/100)))</f>
        <v>0</v>
      </c>
      <c r="DT106" s="195" t="s">
        <v>275</v>
      </c>
      <c r="DU106" s="196">
        <v>0</v>
      </c>
      <c r="DV106" s="194">
        <f>SUM(DP46)</f>
        <v>0</v>
      </c>
      <c r="DW106" s="192">
        <f>SUM((DU106*(1-DV106/100)))</f>
        <v>0</v>
      </c>
      <c r="DX106" s="193">
        <v>0</v>
      </c>
      <c r="DY106" s="194">
        <f>SUM(DQ46)</f>
        <v>0</v>
      </c>
      <c r="DZ106" s="192">
        <f>SUM((DX106*(1-DY106/100)))</f>
        <v>0</v>
      </c>
      <c r="EA106" s="192">
        <f>SUM(-(DU106*(1-DV106/100))+(DX106*(1-DY106/100)))</f>
        <v>0</v>
      </c>
      <c r="EB106" s="195" t="s">
        <v>275</v>
      </c>
      <c r="EC106" s="196">
        <v>0</v>
      </c>
      <c r="ED106" s="194">
        <f>SUM(DX46)</f>
        <v>0</v>
      </c>
      <c r="EE106" s="192">
        <f>SUM((EC106*(1-ED106/100)))</f>
        <v>0</v>
      </c>
      <c r="EF106" s="193">
        <v>0</v>
      </c>
      <c r="EG106" s="194">
        <f>SUM(DY46)</f>
        <v>0</v>
      </c>
      <c r="EH106" s="192">
        <f>SUM((EF106*(1-EG106/100)))</f>
        <v>0</v>
      </c>
      <c r="EI106" s="192">
        <f>SUM(-(EC106*(1-ED106/100))+(EF106*(1-EG106/100)))</f>
        <v>0</v>
      </c>
      <c r="EJ106" s="195" t="s">
        <v>275</v>
      </c>
      <c r="EK106" s="196">
        <v>0</v>
      </c>
      <c r="EL106" s="194">
        <f>SUM(EF46)</f>
        <v>0</v>
      </c>
      <c r="EM106" s="192">
        <f>SUM((EK106*(1-EL106/100)))</f>
        <v>0</v>
      </c>
      <c r="EN106" s="193">
        <v>0</v>
      </c>
      <c r="EO106" s="194">
        <f>SUM(EG46)</f>
        <v>0</v>
      </c>
      <c r="EP106" s="192">
        <f>SUM((EN106*(1-EO106/100)))</f>
        <v>0</v>
      </c>
      <c r="EQ106" s="192">
        <f>SUM(-(EK106*(1-EL106/100))+(EN106*(1-EO106/100)))</f>
        <v>0</v>
      </c>
      <c r="ER106" s="195" t="s">
        <v>275</v>
      </c>
      <c r="ES106" s="196">
        <v>0</v>
      </c>
      <c r="ET106" s="194">
        <f>SUM(EN46)</f>
        <v>0</v>
      </c>
      <c r="EU106" s="192">
        <f>SUM((ES106*(1-ET106/100)))</f>
        <v>0</v>
      </c>
      <c r="EV106" s="193">
        <v>0</v>
      </c>
      <c r="EW106" s="194">
        <f>SUM(EO46)</f>
        <v>0</v>
      </c>
      <c r="EX106" s="192">
        <f>SUM((EV106*(1-EW106/100)))</f>
        <v>0</v>
      </c>
      <c r="EY106" s="192">
        <f>SUM(-(ES106*(1-ET106/100))+(EV106*(1-EW106/100)))</f>
        <v>0</v>
      </c>
      <c r="EZ106" s="195" t="s">
        <v>275</v>
      </c>
      <c r="FA106" s="196">
        <v>0</v>
      </c>
      <c r="FB106" s="194">
        <f>SUM(EV46)</f>
        <v>0</v>
      </c>
      <c r="FC106" s="192">
        <f>SUM((FA106*(1-FB106/100)))</f>
        <v>0</v>
      </c>
      <c r="FD106" s="193">
        <v>0</v>
      </c>
      <c r="FE106" s="194">
        <f>SUM(EW46)</f>
        <v>0</v>
      </c>
      <c r="FF106" s="192">
        <f>SUM((FD106*(1-FE106/100)))</f>
        <v>0</v>
      </c>
      <c r="FG106" s="192">
        <f>SUM(-(FA106*(1-FB106/100))+(FD106*(1-FE106/100)))</f>
        <v>0</v>
      </c>
      <c r="FH106" s="195" t="s">
        <v>275</v>
      </c>
      <c r="FI106" s="196">
        <v>0</v>
      </c>
      <c r="FJ106" s="194">
        <f>SUM(FD46)</f>
        <v>0</v>
      </c>
      <c r="FK106" s="192">
        <f>SUM((FI106*(1-FJ106/100)))</f>
        <v>0</v>
      </c>
      <c r="FL106" s="193">
        <v>0</v>
      </c>
      <c r="FM106" s="194">
        <f>SUM(FE46)</f>
        <v>0</v>
      </c>
      <c r="FN106" s="192">
        <f>SUM((FL106*(1-FM106/100)))</f>
        <v>0</v>
      </c>
      <c r="FO106" s="192">
        <f>SUM(-(FI106*(1-FJ106/100))+(FL106*(1-FM106/100)))</f>
        <v>0</v>
      </c>
      <c r="FP106" s="195" t="s">
        <v>275</v>
      </c>
      <c r="FQ106" s="196">
        <v>0</v>
      </c>
      <c r="FR106" s="194">
        <f>SUM(FL46)</f>
        <v>0</v>
      </c>
      <c r="FS106" s="192">
        <f>SUM((FQ106*(1-FR106/100)))</f>
        <v>0</v>
      </c>
      <c r="FT106" s="193">
        <v>0</v>
      </c>
      <c r="FU106" s="194">
        <f>SUM(FM46)</f>
        <v>0</v>
      </c>
      <c r="FV106" s="192">
        <f>SUM((FT106*(1-FU106/100)))</f>
        <v>0</v>
      </c>
      <c r="FW106" s="192">
        <f>SUM(-(FQ106*(1-FR106/100))+(FT106*(1-FU106/100)))</f>
        <v>0</v>
      </c>
      <c r="FX106" s="195" t="s">
        <v>275</v>
      </c>
      <c r="FY106" s="196">
        <v>0</v>
      </c>
      <c r="FZ106" s="194">
        <f>SUM(FT46)</f>
        <v>0</v>
      </c>
      <c r="GA106" s="192">
        <f>SUM((FY106*(1-FZ106/100)))</f>
        <v>0</v>
      </c>
      <c r="GB106" s="193">
        <v>0</v>
      </c>
      <c r="GC106" s="194">
        <f>SUM(FU46)</f>
        <v>0</v>
      </c>
      <c r="GD106" s="192">
        <f>SUM((GB106*(1-GC106/100)))</f>
        <v>0</v>
      </c>
      <c r="GE106" s="192">
        <f>SUM(-(FY106*(1-FZ106/100))+(GB106*(1-GC106/100)))</f>
        <v>0</v>
      </c>
      <c r="GF106" s="195" t="s">
        <v>275</v>
      </c>
      <c r="GG106" s="196">
        <v>0</v>
      </c>
      <c r="GH106" s="194">
        <f>SUM(GB46)</f>
        <v>0</v>
      </c>
      <c r="GI106" s="192">
        <f>SUM((GG106*(1-GH106/100)))</f>
        <v>0</v>
      </c>
      <c r="GJ106" s="193">
        <v>0</v>
      </c>
      <c r="GK106" s="194">
        <f>SUM(GC46)</f>
        <v>0</v>
      </c>
      <c r="GL106" s="192">
        <f>SUM((GJ106*(1-GK106/100)))</f>
        <v>0</v>
      </c>
      <c r="GM106" s="192">
        <f>SUM(-(GG106*(1-GH106/100))+(GJ106*(1-GK106/100)))</f>
        <v>0</v>
      </c>
      <c r="GN106" s="195" t="s">
        <v>275</v>
      </c>
      <c r="GO106" s="196">
        <v>0</v>
      </c>
      <c r="GP106" s="194">
        <f>SUM(GJ46)</f>
        <v>0</v>
      </c>
      <c r="GQ106" s="192">
        <f>SUM((GO106*(1-GP106/100)))</f>
        <v>0</v>
      </c>
      <c r="GR106" s="193">
        <v>0</v>
      </c>
      <c r="GS106" s="194">
        <f>SUM(GK46)</f>
        <v>0</v>
      </c>
      <c r="GT106" s="192">
        <f>SUM((GR106*(1-GS106/100)))</f>
        <v>0</v>
      </c>
      <c r="GU106" s="192">
        <f>SUM(-(GO106*(1-GP106/100))+(GR106*(1-GS106/100)))</f>
        <v>0</v>
      </c>
      <c r="GV106" s="195" t="s">
        <v>275</v>
      </c>
      <c r="GW106" s="196">
        <v>0</v>
      </c>
      <c r="GX106" s="194">
        <f>SUM(GR46)</f>
        <v>0</v>
      </c>
      <c r="GY106" s="192">
        <f>SUM((GW106*(1-GX106/100)))</f>
        <v>0</v>
      </c>
      <c r="GZ106" s="193">
        <v>0</v>
      </c>
      <c r="HA106" s="194">
        <f>SUM(GS46)</f>
        <v>0</v>
      </c>
      <c r="HB106" s="192">
        <f>SUM((GZ106*(1-HA106/100)))</f>
        <v>0</v>
      </c>
      <c r="HC106" s="192">
        <f>SUM(-(GW106*(1-GX106/100))+(GZ106*(1-HA106/100)))</f>
        <v>0</v>
      </c>
      <c r="HD106" s="195" t="s">
        <v>275</v>
      </c>
      <c r="HE106" s="196">
        <v>0</v>
      </c>
      <c r="HF106" s="194">
        <f>SUM(GZ46)</f>
        <v>0</v>
      </c>
      <c r="HG106" s="192">
        <f>SUM((HE106*(1-HF106/100)))</f>
        <v>0</v>
      </c>
      <c r="HH106" s="193">
        <v>0</v>
      </c>
      <c r="HI106" s="194">
        <f>SUM(HA46)</f>
        <v>0</v>
      </c>
      <c r="HJ106" s="192">
        <f>SUM((HH106*(1-HI106/100)))</f>
        <v>0</v>
      </c>
      <c r="HK106" s="192">
        <f>SUM(-(HE106*(1-HF106/100))+(HH106*(1-HI106/100)))</f>
        <v>0</v>
      </c>
      <c r="HL106" s="195" t="s">
        <v>275</v>
      </c>
      <c r="HM106" s="196">
        <v>0</v>
      </c>
      <c r="HN106" s="194">
        <f>SUM(HH46)</f>
        <v>0</v>
      </c>
      <c r="HO106" s="192">
        <f>SUM((HM106*(1-HN106/100)))</f>
        <v>0</v>
      </c>
      <c r="HP106" s="193">
        <v>0</v>
      </c>
      <c r="HQ106" s="194">
        <f>SUM(HI46)</f>
        <v>0</v>
      </c>
      <c r="HR106" s="192">
        <f>SUM((HP106*(1-HQ106/100)))</f>
        <v>0</v>
      </c>
      <c r="HS106" s="192">
        <f>SUM(-(HM106*(1-HN106/100))+(HP106*(1-HQ106/100)))</f>
        <v>0</v>
      </c>
      <c r="HT106" s="195" t="s">
        <v>275</v>
      </c>
      <c r="HU106" s="196">
        <v>0</v>
      </c>
      <c r="HV106" s="194">
        <f>SUM(HP46)</f>
        <v>0</v>
      </c>
      <c r="HW106" s="192">
        <f>SUM((HU106*(1-HV106/100)))</f>
        <v>0</v>
      </c>
      <c r="HX106" s="193">
        <v>0</v>
      </c>
      <c r="HY106" s="194">
        <f>SUM(HQ46)</f>
        <v>0</v>
      </c>
      <c r="HZ106" s="192">
        <f>SUM((HX106*(1-HY106/100)))</f>
        <v>0</v>
      </c>
      <c r="IA106" s="192">
        <f>SUM(-(HU106*(1-HV106/100))+(HX106*(1-HY106/100)))</f>
        <v>0</v>
      </c>
      <c r="IB106" s="195" t="s">
        <v>275</v>
      </c>
      <c r="IC106" s="196">
        <v>0</v>
      </c>
      <c r="ID106" s="194">
        <f>SUM(HX46)</f>
        <v>0</v>
      </c>
      <c r="IE106" s="192">
        <f>SUM((IC106*(1-ID106/100)))</f>
        <v>0</v>
      </c>
      <c r="IF106" s="193">
        <v>0</v>
      </c>
      <c r="IG106" s="194">
        <f>SUM(HY46)</f>
        <v>0</v>
      </c>
      <c r="IH106" s="192">
        <f>SUM((IF106*(1-IG106/100)))</f>
        <v>0</v>
      </c>
      <c r="II106" s="192">
        <f>SUM(-(IC106*(1-ID106/100))+(IF106*(1-IG106/100)))</f>
        <v>0</v>
      </c>
      <c r="IJ106" s="195" t="s">
        <v>275</v>
      </c>
      <c r="IK106" s="196">
        <v>0</v>
      </c>
      <c r="IL106" s="194">
        <f>SUM(IF46)</f>
        <v>0</v>
      </c>
      <c r="IM106" s="192">
        <f>SUM((IK106*(1-IL106/100)))</f>
        <v>0</v>
      </c>
      <c r="IN106" s="193">
        <v>0</v>
      </c>
      <c r="IO106" s="194">
        <f>SUM(IG46)</f>
        <v>0</v>
      </c>
      <c r="IP106" s="192">
        <f>SUM((IN106*(1-IO106/100)))</f>
        <v>0</v>
      </c>
      <c r="IQ106" s="192">
        <f>SUM(-(IK106*(1-IL106/100))+(IN106*(1-IO106/100)))</f>
        <v>0</v>
      </c>
    </row>
    <row r="107" spans="1:251" s="146" customFormat="1" ht="60" customHeight="1" x14ac:dyDescent="0.25">
      <c r="A107" s="121">
        <v>79</v>
      </c>
      <c r="B107" s="172" t="str">
        <f>[1]SIT!AQ19</f>
        <v>113M-55</v>
      </c>
      <c r="C107" s="173">
        <f>[1]SIT!AR19</f>
        <v>50</v>
      </c>
      <c r="D107" s="174">
        <f>[1]SIT!AS19</f>
        <v>67.400000000000006</v>
      </c>
      <c r="E107" s="175">
        <f>[1]SIT!AT19</f>
        <v>16.299999999999997</v>
      </c>
      <c r="F107" s="175">
        <f>[1]SIT!AU19</f>
        <v>50</v>
      </c>
      <c r="G107" s="174">
        <f>[1]SIT!AV19</f>
        <v>20.3</v>
      </c>
      <c r="H107" s="175">
        <f>[1]SIT!AW19</f>
        <v>39.849999999999994</v>
      </c>
      <c r="I107" s="175">
        <f>[1]SIT!AX19</f>
        <v>23.549999999999997</v>
      </c>
      <c r="J107" s="654" t="s">
        <v>95</v>
      </c>
      <c r="K107" s="181"/>
      <c r="L107" s="182"/>
      <c r="M107" s="183"/>
      <c r="N107" s="184"/>
      <c r="O107" s="181"/>
      <c r="P107" s="185"/>
      <c r="Q107" s="184"/>
      <c r="R107" s="181"/>
      <c r="S107" s="181"/>
      <c r="T107" s="182"/>
      <c r="U107" s="183"/>
      <c r="V107" s="184"/>
      <c r="W107" s="181"/>
      <c r="X107" s="185"/>
      <c r="Y107" s="184"/>
      <c r="Z107" s="186"/>
      <c r="AA107" s="186"/>
      <c r="AB107" s="187"/>
      <c r="AC107" s="188"/>
      <c r="AD107" s="189"/>
      <c r="AE107" s="186"/>
      <c r="AF107" s="190"/>
      <c r="AG107" s="189"/>
      <c r="AH107" s="186"/>
      <c r="AI107" s="186"/>
      <c r="AJ107" s="187"/>
      <c r="AK107" s="188"/>
      <c r="AL107" s="189"/>
      <c r="AM107" s="186"/>
      <c r="AN107" s="190"/>
      <c r="AO107" s="189"/>
      <c r="AP107" s="186"/>
      <c r="AQ107" s="186"/>
      <c r="AR107" s="187"/>
      <c r="AS107" s="188"/>
      <c r="AT107" s="189"/>
      <c r="AU107" s="186"/>
      <c r="AV107" s="190"/>
      <c r="AW107" s="189"/>
      <c r="AX107" s="186"/>
      <c r="AY107" s="186"/>
      <c r="AZ107" s="187"/>
      <c r="BA107" s="188"/>
      <c r="BB107" s="189"/>
      <c r="BC107" s="186"/>
      <c r="BD107" s="190"/>
      <c r="BE107" s="189"/>
      <c r="BF107" s="186"/>
      <c r="BG107" s="186"/>
      <c r="BH107" s="187"/>
      <c r="BI107" s="188"/>
      <c r="BJ107" s="189"/>
      <c r="BK107" s="186"/>
      <c r="BL107" s="190"/>
      <c r="BM107" s="189"/>
      <c r="BN107" s="186"/>
      <c r="BO107" s="186"/>
      <c r="BP107" s="187"/>
      <c r="BQ107" s="188"/>
      <c r="BR107" s="189"/>
      <c r="BS107" s="186"/>
      <c r="BT107" s="190"/>
      <c r="BU107" s="189"/>
      <c r="BV107" s="186"/>
      <c r="BW107" s="186"/>
      <c r="BX107" s="187"/>
      <c r="BY107" s="188"/>
      <c r="BZ107" s="189"/>
      <c r="CA107" s="186"/>
      <c r="CB107" s="190"/>
      <c r="CC107" s="189"/>
      <c r="CD107" s="186"/>
      <c r="CE107" s="186"/>
      <c r="CF107" s="187"/>
      <c r="CG107" s="188"/>
      <c r="CH107" s="189"/>
      <c r="CI107" s="186"/>
      <c r="CJ107" s="190"/>
      <c r="CK107" s="189"/>
      <c r="CL107" s="186"/>
      <c r="CM107" s="186"/>
      <c r="CN107" s="187"/>
      <c r="CO107" s="188"/>
      <c r="CP107" s="189"/>
      <c r="CQ107" s="186"/>
      <c r="CR107" s="190"/>
      <c r="CS107" s="189"/>
      <c r="CT107" s="186"/>
      <c r="CU107" s="186"/>
      <c r="CV107" s="187"/>
      <c r="CW107" s="188"/>
      <c r="CX107" s="189"/>
      <c r="CY107" s="186"/>
      <c r="CZ107" s="190"/>
      <c r="DA107" s="189"/>
      <c r="DB107" s="186"/>
      <c r="DC107" s="186"/>
      <c r="DD107" s="187"/>
      <c r="DE107" s="188"/>
      <c r="DF107" s="189"/>
      <c r="DG107" s="186"/>
      <c r="DH107" s="190"/>
      <c r="DI107" s="189"/>
      <c r="DJ107" s="186"/>
      <c r="DK107" s="186"/>
      <c r="DL107" s="187"/>
      <c r="DM107" s="188"/>
      <c r="DN107" s="189"/>
      <c r="DO107" s="186"/>
      <c r="DP107" s="190"/>
      <c r="DQ107" s="189"/>
      <c r="DR107" s="186"/>
      <c r="DS107" s="186"/>
      <c r="DT107" s="187"/>
      <c r="DU107" s="188"/>
      <c r="DV107" s="189"/>
      <c r="DW107" s="186"/>
      <c r="DX107" s="190"/>
      <c r="DY107" s="189"/>
      <c r="DZ107" s="186"/>
      <c r="EA107" s="186"/>
      <c r="EB107" s="187"/>
      <c r="EC107" s="188"/>
      <c r="ED107" s="189"/>
      <c r="EE107" s="186"/>
      <c r="EF107" s="190"/>
      <c r="EG107" s="189"/>
      <c r="EH107" s="186"/>
      <c r="EI107" s="186"/>
      <c r="EJ107" s="187"/>
      <c r="EK107" s="188"/>
      <c r="EL107" s="189"/>
      <c r="EM107" s="186"/>
      <c r="EN107" s="190"/>
      <c r="EO107" s="189"/>
      <c r="EP107" s="186"/>
      <c r="EQ107" s="186"/>
      <c r="ER107" s="187"/>
      <c r="ES107" s="188"/>
      <c r="ET107" s="189"/>
      <c r="EU107" s="186"/>
      <c r="EV107" s="190"/>
      <c r="EW107" s="189"/>
      <c r="EX107" s="186"/>
      <c r="EY107" s="186"/>
      <c r="EZ107" s="187"/>
      <c r="FA107" s="188"/>
      <c r="FB107" s="189"/>
      <c r="FC107" s="186"/>
      <c r="FD107" s="190"/>
      <c r="FE107" s="189"/>
      <c r="FF107" s="186"/>
      <c r="FG107" s="186"/>
      <c r="FH107" s="187"/>
      <c r="FI107" s="188"/>
      <c r="FJ107" s="189"/>
      <c r="FK107" s="186"/>
      <c r="FL107" s="190"/>
      <c r="FM107" s="189"/>
      <c r="FN107" s="186"/>
      <c r="FO107" s="186"/>
      <c r="FP107" s="187"/>
      <c r="FQ107" s="188"/>
      <c r="FR107" s="189"/>
      <c r="FS107" s="186"/>
      <c r="FT107" s="190"/>
      <c r="FU107" s="189"/>
      <c r="FV107" s="186"/>
      <c r="FW107" s="186"/>
      <c r="FX107" s="187"/>
      <c r="FY107" s="188"/>
      <c r="FZ107" s="189"/>
      <c r="GA107" s="186"/>
      <c r="GB107" s="190"/>
      <c r="GC107" s="189"/>
      <c r="GD107" s="186"/>
      <c r="GE107" s="186"/>
      <c r="GF107" s="187"/>
      <c r="GG107" s="188"/>
      <c r="GH107" s="189"/>
      <c r="GI107" s="186"/>
      <c r="GJ107" s="190"/>
      <c r="GK107" s="189"/>
      <c r="GL107" s="186"/>
      <c r="GM107" s="186"/>
      <c r="GN107" s="187"/>
      <c r="GO107" s="188"/>
      <c r="GP107" s="189"/>
      <c r="GQ107" s="186"/>
      <c r="GR107" s="190"/>
      <c r="GS107" s="189"/>
      <c r="GT107" s="186"/>
      <c r="GU107" s="186"/>
      <c r="GV107" s="187"/>
      <c r="GW107" s="188"/>
      <c r="GX107" s="189"/>
      <c r="GY107" s="186"/>
      <c r="GZ107" s="190"/>
      <c r="HA107" s="189"/>
      <c r="HB107" s="186"/>
      <c r="HC107" s="186"/>
      <c r="HD107" s="187"/>
      <c r="HE107" s="188"/>
      <c r="HF107" s="189"/>
      <c r="HG107" s="186"/>
      <c r="HH107" s="190"/>
      <c r="HI107" s="189"/>
      <c r="HJ107" s="186"/>
      <c r="HK107" s="186"/>
      <c r="HL107" s="187"/>
      <c r="HM107" s="188"/>
      <c r="HN107" s="189"/>
      <c r="HO107" s="186"/>
      <c r="HP107" s="190"/>
      <c r="HQ107" s="189"/>
      <c r="HR107" s="186"/>
      <c r="HS107" s="186"/>
      <c r="HT107" s="187"/>
      <c r="HU107" s="188"/>
      <c r="HV107" s="189"/>
      <c r="HW107" s="186"/>
      <c r="HX107" s="190"/>
      <c r="HY107" s="189"/>
      <c r="HZ107" s="186"/>
      <c r="IA107" s="186"/>
      <c r="IB107" s="187"/>
      <c r="IC107" s="188"/>
      <c r="ID107" s="189"/>
      <c r="IE107" s="186"/>
      <c r="IF107" s="190"/>
      <c r="IG107" s="189"/>
      <c r="IH107" s="186"/>
      <c r="II107" s="186"/>
      <c r="IJ107" s="187"/>
      <c r="IK107" s="188"/>
      <c r="IL107" s="189"/>
      <c r="IM107" s="186"/>
      <c r="IN107" s="190"/>
      <c r="IO107" s="189"/>
      <c r="IP107" s="186"/>
      <c r="IQ107" s="186"/>
    </row>
    <row r="108" spans="1:251" s="165" customFormat="1" ht="60" customHeight="1" x14ac:dyDescent="0.25">
      <c r="A108" s="121"/>
      <c r="B108" s="172" t="str">
        <f>[1]SIT!AQ20</f>
        <v>113M-57</v>
      </c>
      <c r="C108" s="173">
        <f>[1]SIT!AR20</f>
        <v>180</v>
      </c>
      <c r="D108" s="174">
        <f>[1]SIT!AS20</f>
        <v>66</v>
      </c>
      <c r="E108" s="175">
        <f>[1]SIT!AT20</f>
        <v>61.199999999999996</v>
      </c>
      <c r="F108" s="175">
        <f>[1]SIT!AU20</f>
        <v>180</v>
      </c>
      <c r="G108" s="174">
        <f>[1]SIT!AV20</f>
        <v>78.7</v>
      </c>
      <c r="H108" s="175">
        <f>[1]SIT!AW20</f>
        <v>38.339999999999996</v>
      </c>
      <c r="I108" s="175">
        <f>[1]SIT!AX20</f>
        <v>-22.86</v>
      </c>
      <c r="J108" s="655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</row>
    <row r="109" spans="1:251" s="165" customFormat="1" ht="60" customHeight="1" x14ac:dyDescent="0.25">
      <c r="A109" s="121">
        <v>80</v>
      </c>
      <c r="B109" s="172" t="str">
        <f>[1]SIT!AQ21</f>
        <v>113M-58</v>
      </c>
      <c r="C109" s="173">
        <f>[1]SIT!AR21</f>
        <v>130</v>
      </c>
      <c r="D109" s="174">
        <f>[1]SIT!AS21</f>
        <v>91.3</v>
      </c>
      <c r="E109" s="175">
        <f>[1]SIT!AT21</f>
        <v>11.310000000000009</v>
      </c>
      <c r="F109" s="175">
        <f>[1]SIT!AU21</f>
        <v>130</v>
      </c>
      <c r="G109" s="174">
        <f>[1]SIT!AV21</f>
        <v>91.3</v>
      </c>
      <c r="H109" s="175">
        <f>[1]SIT!AW21</f>
        <v>11.310000000000009</v>
      </c>
      <c r="I109" s="175">
        <f>[1]SIT!AX21</f>
        <v>0</v>
      </c>
      <c r="J109" s="655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</row>
    <row r="110" spans="1:251" s="165" customFormat="1" ht="60" customHeight="1" x14ac:dyDescent="0.25">
      <c r="A110" s="121">
        <v>81</v>
      </c>
      <c r="B110" s="172" t="str">
        <f>[1]SIT!AQ31</f>
        <v>113M-76</v>
      </c>
      <c r="C110" s="173">
        <f>[1]SIT!AR31</f>
        <v>80</v>
      </c>
      <c r="D110" s="174">
        <f>[1]SIT!AS31</f>
        <v>93</v>
      </c>
      <c r="E110" s="175">
        <f>[1]SIT!AT31</f>
        <v>5.5999999999999961</v>
      </c>
      <c r="F110" s="175">
        <f>[1]SIT!AU31</f>
        <v>80</v>
      </c>
      <c r="G110" s="174">
        <f>[1]SIT!AV31</f>
        <v>74.3</v>
      </c>
      <c r="H110" s="175">
        <f>[1]SIT!AW31</f>
        <v>20.560000000000002</v>
      </c>
      <c r="I110" s="175">
        <f>[1]SIT!AX31</f>
        <v>14.960000000000006</v>
      </c>
      <c r="J110" s="655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</row>
    <row r="111" spans="1:251" s="165" customFormat="1" ht="60" customHeight="1" x14ac:dyDescent="0.25">
      <c r="A111" s="121">
        <v>82</v>
      </c>
      <c r="B111" s="172" t="str">
        <f>[1]SIT!AZ18</f>
        <v>113M-103</v>
      </c>
      <c r="C111" s="173">
        <f>[1]SIT!BA18</f>
        <v>400</v>
      </c>
      <c r="D111" s="174">
        <f>[1]SIT!BB18</f>
        <v>71</v>
      </c>
      <c r="E111" s="175">
        <f>[1]SIT!BC18</f>
        <v>116.00000000000001</v>
      </c>
      <c r="F111" s="175">
        <f>[1]SIT!BD18</f>
        <v>400</v>
      </c>
      <c r="G111" s="174">
        <f>[1]SIT!BE18</f>
        <v>95.6</v>
      </c>
      <c r="H111" s="175">
        <f>[1]SIT!BF18</f>
        <v>17.600000000000016</v>
      </c>
      <c r="I111" s="175">
        <f>[1]SIT!BG18</f>
        <v>-98.4</v>
      </c>
      <c r="J111" s="655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</row>
    <row r="112" spans="1:251" s="165" customFormat="1" ht="60" customHeight="1" x14ac:dyDescent="0.25">
      <c r="A112" s="121">
        <v>83</v>
      </c>
      <c r="B112" s="172" t="str">
        <f>[1]SIT!AZ25</f>
        <v xml:space="preserve"> 113M-114</v>
      </c>
      <c r="C112" s="173">
        <f>[1]SIT!BA25</f>
        <v>45</v>
      </c>
      <c r="D112" s="174">
        <f>[1]SIT!BB25</f>
        <v>80</v>
      </c>
      <c r="E112" s="175">
        <f>[1]SIT!BC25</f>
        <v>8.9999999999999982</v>
      </c>
      <c r="F112" s="175">
        <f>[1]SIT!BD25</f>
        <v>45</v>
      </c>
      <c r="G112" s="174">
        <f>[1]SIT!BE25</f>
        <v>55.6</v>
      </c>
      <c r="H112" s="175">
        <f>[1]SIT!BF25</f>
        <v>19.979999999999997</v>
      </c>
      <c r="I112" s="175">
        <f>[1]SIT!BG25</f>
        <v>10.979999999999999</v>
      </c>
      <c r="J112" s="655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</row>
    <row r="113" spans="1:77" s="165" customFormat="1" ht="60" customHeight="1" x14ac:dyDescent="0.25">
      <c r="A113" s="121"/>
      <c r="B113" s="172" t="str">
        <f>[1]SIT!AZ33</f>
        <v>113M-122</v>
      </c>
      <c r="C113" s="172">
        <f>[1]SIT!BA33</f>
        <v>100</v>
      </c>
      <c r="D113" s="172">
        <f>[1]SIT!BB33</f>
        <v>4</v>
      </c>
      <c r="E113" s="197">
        <f>[1]SIT!BC33</f>
        <v>96</v>
      </c>
      <c r="F113" s="172">
        <f>[1]SIT!BD33</f>
        <v>100</v>
      </c>
      <c r="G113" s="172">
        <f>[1]SIT!BE33</f>
        <v>4.5</v>
      </c>
      <c r="H113" s="197">
        <f>[1]SIT!BF33</f>
        <v>95.5</v>
      </c>
      <c r="I113" s="197">
        <f>[1]SIT!BG33</f>
        <v>-0.5</v>
      </c>
      <c r="J113" s="656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</row>
    <row r="114" spans="1:77" s="165" customFormat="1" ht="60" customHeight="1" x14ac:dyDescent="0.25">
      <c r="A114" s="121">
        <v>84</v>
      </c>
      <c r="B114" s="147" t="s">
        <v>264</v>
      </c>
      <c r="C114" s="176">
        <f>SUM(C107:C113)</f>
        <v>985</v>
      </c>
      <c r="D114" s="177"/>
      <c r="E114" s="176">
        <f>SUM(E107:E113)</f>
        <v>315.41000000000003</v>
      </c>
      <c r="F114" s="176">
        <f>SUM(F107:F113)</f>
        <v>985</v>
      </c>
      <c r="G114" s="176"/>
      <c r="H114" s="176">
        <f>SUM(H107:H113)</f>
        <v>243.14000000000001</v>
      </c>
      <c r="I114" s="176">
        <f>SUM(I107:I113)</f>
        <v>-72.27</v>
      </c>
      <c r="J114" s="149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</row>
    <row r="115" spans="1:77" s="146" customFormat="1" ht="60" customHeight="1" x14ac:dyDescent="0.25">
      <c r="A115" s="121">
        <v>85</v>
      </c>
      <c r="B115" s="172" t="str">
        <f>[1]SIT!AQ63</f>
        <v>BM-51</v>
      </c>
      <c r="C115" s="173">
        <f>[1]SIT!AR63</f>
        <v>130</v>
      </c>
      <c r="D115" s="174">
        <f>[1]SIT!AS63</f>
        <v>82</v>
      </c>
      <c r="E115" s="175">
        <f>[1]SIT!AT63</f>
        <v>23.400000000000006</v>
      </c>
      <c r="F115" s="175">
        <f>[1]SIT!AU63</f>
        <v>130</v>
      </c>
      <c r="G115" s="174">
        <f>[1]SIT!AV63</f>
        <v>82</v>
      </c>
      <c r="H115" s="175">
        <f>[1]SIT!AW63</f>
        <v>23.400000000000006</v>
      </c>
      <c r="I115" s="175">
        <f>[1]SIT!AX63</f>
        <v>0</v>
      </c>
      <c r="J115" s="653" t="s">
        <v>96</v>
      </c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</row>
    <row r="116" spans="1:77" s="146" customFormat="1" ht="60" customHeight="1" x14ac:dyDescent="0.25">
      <c r="A116" s="121">
        <v>86</v>
      </c>
      <c r="B116" s="172" t="str">
        <f>[1]SIT!AQ57</f>
        <v>* BM-36</v>
      </c>
      <c r="C116" s="173">
        <f>[1]SIT!AR57</f>
        <v>0</v>
      </c>
      <c r="D116" s="174">
        <f>[1]SIT!AS57</f>
        <v>0</v>
      </c>
      <c r="E116" s="175">
        <f>[1]SIT!AT57</f>
        <v>0</v>
      </c>
      <c r="F116" s="175">
        <f>[1]SIT!AU57</f>
        <v>0</v>
      </c>
      <c r="G116" s="174">
        <f>[1]SIT!AV57</f>
        <v>80</v>
      </c>
      <c r="H116" s="175">
        <f>[1]SIT!AW57</f>
        <v>0</v>
      </c>
      <c r="I116" s="175">
        <f>[1]SIT!AX57</f>
        <v>0</v>
      </c>
      <c r="J116" s="653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</row>
    <row r="117" spans="1:77" ht="60" customHeight="1" x14ac:dyDescent="0.25">
      <c r="A117" s="121">
        <v>87</v>
      </c>
      <c r="B117" s="172" t="str">
        <f>[1]SIT!AQ60</f>
        <v xml:space="preserve"> BM-43</v>
      </c>
      <c r="C117" s="173">
        <f>[1]SIT!AR60</f>
        <v>0</v>
      </c>
      <c r="D117" s="174">
        <f>[1]SIT!AS60</f>
        <v>0</v>
      </c>
      <c r="E117" s="175">
        <f>[1]SIT!AT60</f>
        <v>0</v>
      </c>
      <c r="F117" s="175">
        <f>[1]SIT!AU60</f>
        <v>90</v>
      </c>
      <c r="G117" s="174">
        <f>[1]SIT!AV60</f>
        <v>81.8</v>
      </c>
      <c r="H117" s="175">
        <f>[1]SIT!AW60</f>
        <v>16.380000000000006</v>
      </c>
      <c r="I117" s="175">
        <f>[1]SIT!AX60</f>
        <v>16.380000000000006</v>
      </c>
      <c r="J117" s="653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</row>
    <row r="118" spans="1:77" ht="60" customHeight="1" x14ac:dyDescent="0.25">
      <c r="A118" s="121">
        <v>88</v>
      </c>
      <c r="B118" s="172" t="str">
        <f>[1]SIT!AQ67</f>
        <v xml:space="preserve"> *BM-69</v>
      </c>
      <c r="C118" s="173">
        <f>[1]SIT!AR67</f>
        <v>0</v>
      </c>
      <c r="D118" s="174">
        <f>[1]SIT!AS67</f>
        <v>0</v>
      </c>
      <c r="E118" s="175">
        <f>[1]SIT!AT67</f>
        <v>0</v>
      </c>
      <c r="F118" s="175">
        <f>[1]SIT!AU67</f>
        <v>0</v>
      </c>
      <c r="G118" s="174">
        <f>[1]SIT!AV67</f>
        <v>93.8</v>
      </c>
      <c r="H118" s="175">
        <f>[1]SIT!AW67</f>
        <v>0</v>
      </c>
      <c r="I118" s="175">
        <f>[1]SIT!AX67</f>
        <v>0</v>
      </c>
      <c r="J118" s="653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</row>
    <row r="119" spans="1:77" ht="60" customHeight="1" x14ac:dyDescent="0.25">
      <c r="A119" s="121">
        <v>89</v>
      </c>
      <c r="B119" s="172" t="str">
        <f>[1]SIT!AQ71</f>
        <v>BM-75</v>
      </c>
      <c r="C119" s="173">
        <f>[1]SIT!AR71</f>
        <v>80</v>
      </c>
      <c r="D119" s="173">
        <f>[1]SIT!AS71</f>
        <v>1.2</v>
      </c>
      <c r="E119" s="175">
        <f>[1]SIT!AT71</f>
        <v>79.039999999999992</v>
      </c>
      <c r="F119" s="173">
        <f>[1]SIT!AU71</f>
        <v>40</v>
      </c>
      <c r="G119" s="173">
        <f>[1]SIT!AV71</f>
        <v>8.1</v>
      </c>
      <c r="H119" s="175">
        <f>[1]SIT!AW71</f>
        <v>36.760000000000005</v>
      </c>
      <c r="I119" s="175">
        <f>[1]SIT!AX71</f>
        <v>-42.279999999999987</v>
      </c>
      <c r="J119" s="653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</row>
    <row r="120" spans="1:77" ht="60" customHeight="1" x14ac:dyDescent="0.25">
      <c r="A120" s="121">
        <v>90</v>
      </c>
      <c r="B120" s="173" t="str">
        <f>[1]SIT!AQ62</f>
        <v>*BM-49</v>
      </c>
      <c r="C120" s="173">
        <f>[1]SIT!AR62</f>
        <v>0</v>
      </c>
      <c r="D120" s="173">
        <f>[1]SIT!AS62</f>
        <v>87</v>
      </c>
      <c r="E120" s="175">
        <f>[1]SIT!AT62</f>
        <v>0</v>
      </c>
      <c r="F120" s="173">
        <f>[1]SIT!AU62</f>
        <v>0</v>
      </c>
      <c r="G120" s="173">
        <f>[1]SIT!AV62</f>
        <v>96</v>
      </c>
      <c r="H120" s="175">
        <f>[1]SIT!AW62</f>
        <v>0</v>
      </c>
      <c r="I120" s="175">
        <f>[1]SIT!AX62</f>
        <v>0</v>
      </c>
      <c r="J120" s="653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</row>
    <row r="121" spans="1:77" ht="60" customHeight="1" x14ac:dyDescent="0.25">
      <c r="A121" s="121"/>
      <c r="B121" s="173" t="str">
        <f>[1]SIT!AZ60</f>
        <v>*BM-106</v>
      </c>
      <c r="C121" s="173">
        <f>[1]SIT!BA60</f>
        <v>0</v>
      </c>
      <c r="D121" s="173">
        <f>[1]SIT!BB60</f>
        <v>78.900000000000006</v>
      </c>
      <c r="E121" s="175">
        <f>[1]SIT!BC60</f>
        <v>0</v>
      </c>
      <c r="F121" s="173">
        <f>[1]SIT!BD60</f>
        <v>0</v>
      </c>
      <c r="G121" s="173">
        <f>[1]SIT!BE60</f>
        <v>85.3</v>
      </c>
      <c r="H121" s="175">
        <f>[1]SIT!BF60</f>
        <v>0</v>
      </c>
      <c r="I121" s="175">
        <f>[1]SIT!BG60</f>
        <v>0</v>
      </c>
      <c r="J121" s="653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</row>
    <row r="122" spans="1:77" ht="60" customHeight="1" x14ac:dyDescent="0.25">
      <c r="A122" s="121">
        <v>91</v>
      </c>
      <c r="B122" s="173" t="str">
        <f>[1]SIT!AZ68</f>
        <v>BM-121</v>
      </c>
      <c r="C122" s="173">
        <f>[1]SIT!BA68</f>
        <v>100</v>
      </c>
      <c r="D122" s="173">
        <f>[1]SIT!BB68</f>
        <v>12</v>
      </c>
      <c r="E122" s="175">
        <f>[1]SIT!BC68</f>
        <v>88</v>
      </c>
      <c r="F122" s="173">
        <f>[1]SIT!BD68</f>
        <v>100</v>
      </c>
      <c r="G122" s="173">
        <f>[1]SIT!BE68</f>
        <v>0.4</v>
      </c>
      <c r="H122" s="175">
        <f>[1]SIT!BF68</f>
        <v>99.6</v>
      </c>
      <c r="I122" s="175">
        <f>[1]SIT!BG68</f>
        <v>11.599999999999994</v>
      </c>
      <c r="J122" s="653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</row>
    <row r="123" spans="1:77" ht="60" customHeight="1" x14ac:dyDescent="0.25">
      <c r="A123" s="121">
        <v>92</v>
      </c>
      <c r="B123" s="173" t="str">
        <f>[1]SIT!AZ71</f>
        <v>BM-125</v>
      </c>
      <c r="C123" s="173">
        <f>[1]SIT!BA71</f>
        <v>0</v>
      </c>
      <c r="D123" s="173">
        <f>[1]SIT!BB71</f>
        <v>0.4</v>
      </c>
      <c r="E123" s="175">
        <f>[1]SIT!BC71</f>
        <v>0</v>
      </c>
      <c r="F123" s="173">
        <f>[1]SIT!BD71</f>
        <v>0</v>
      </c>
      <c r="G123" s="173">
        <f>[1]SIT!BE71</f>
        <v>0.4</v>
      </c>
      <c r="H123" s="175">
        <f>[1]SIT!BF71</f>
        <v>0</v>
      </c>
      <c r="I123" s="175">
        <f>[1]SIT!BG71</f>
        <v>0</v>
      </c>
      <c r="J123" s="653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</row>
    <row r="124" spans="1:77" ht="60" customHeight="1" x14ac:dyDescent="0.25">
      <c r="A124" s="121">
        <v>93</v>
      </c>
      <c r="B124" s="147" t="s">
        <v>264</v>
      </c>
      <c r="C124" s="180">
        <f>SUM(C115:C123)</f>
        <v>310</v>
      </c>
      <c r="D124" s="180"/>
      <c r="E124" s="148">
        <f>SUM(E115:E123)</f>
        <v>190.44</v>
      </c>
      <c r="F124" s="148">
        <f>SUM(F115:F123)</f>
        <v>360</v>
      </c>
      <c r="G124" s="148"/>
      <c r="H124" s="148">
        <f>SUM(H115:H123)</f>
        <v>176.14000000000001</v>
      </c>
      <c r="I124" s="148">
        <f>SUM(I115:I123)</f>
        <v>-14.299999999999986</v>
      </c>
      <c r="J124" s="148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</row>
    <row r="125" spans="1:77" ht="60" customHeight="1" x14ac:dyDescent="0.25">
      <c r="A125" s="121">
        <v>94</v>
      </c>
      <c r="B125" s="173" t="str">
        <f>[1]SIT!AQ59</f>
        <v>*BM-41</v>
      </c>
      <c r="C125" s="173">
        <f>[1]SIT!AR59</f>
        <v>0</v>
      </c>
      <c r="D125" s="173">
        <f>[1]SIT!AS59</f>
        <v>90</v>
      </c>
      <c r="E125" s="175">
        <f>[1]SIT!AT59</f>
        <v>0</v>
      </c>
      <c r="F125" s="173">
        <f>[1]SIT!AU59</f>
        <v>0</v>
      </c>
      <c r="G125" s="173">
        <f>[1]SIT!AV59</f>
        <v>92</v>
      </c>
      <c r="H125" s="175">
        <f>[1]SIT!AW59</f>
        <v>0</v>
      </c>
      <c r="I125" s="175">
        <f>[1]SIT!AX59</f>
        <v>0</v>
      </c>
      <c r="J125" s="653" t="s">
        <v>121</v>
      </c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</row>
    <row r="126" spans="1:77" ht="60" customHeight="1" x14ac:dyDescent="0.25">
      <c r="A126" s="121">
        <v>95</v>
      </c>
      <c r="B126" s="173" t="str">
        <f>[1]SIT!AQ61</f>
        <v>BM-47 Re.</v>
      </c>
      <c r="C126" s="173">
        <f>[1]SIT!AR61</f>
        <v>70</v>
      </c>
      <c r="D126" s="173">
        <f>[1]SIT!AS61</f>
        <v>58.9</v>
      </c>
      <c r="E126" s="175">
        <f>[1]SIT!AT61</f>
        <v>28.770000000000003</v>
      </c>
      <c r="F126" s="173">
        <f>[1]SIT!AU61</f>
        <v>70</v>
      </c>
      <c r="G126" s="173">
        <f>[1]SIT!AV61</f>
        <v>49.5</v>
      </c>
      <c r="H126" s="175">
        <f>[1]SIT!AW61</f>
        <v>35.35</v>
      </c>
      <c r="I126" s="175">
        <f>[1]SIT!AX61</f>
        <v>6.5799999999999983</v>
      </c>
      <c r="J126" s="653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</row>
    <row r="127" spans="1:77" ht="60" customHeight="1" x14ac:dyDescent="0.25">
      <c r="A127" s="121">
        <v>96</v>
      </c>
      <c r="B127" s="173" t="str">
        <f>[1]SIT!AQ65</f>
        <v>BM-57</v>
      </c>
      <c r="C127" s="173">
        <f>[1]SIT!AR65</f>
        <v>350</v>
      </c>
      <c r="D127" s="173">
        <f>[1]SIT!AS65</f>
        <v>95</v>
      </c>
      <c r="E127" s="175">
        <f>[1]SIT!AT65</f>
        <v>17.500000000000014</v>
      </c>
      <c r="F127" s="173">
        <f>[1]SIT!AU65</f>
        <v>335</v>
      </c>
      <c r="G127" s="173">
        <f>[1]SIT!AV65</f>
        <v>92.7</v>
      </c>
      <c r="H127" s="175">
        <f>[1]SIT!AW65</f>
        <v>24.454999999999984</v>
      </c>
      <c r="I127" s="175">
        <f>[1]SIT!AX65</f>
        <v>6.9549999999999699</v>
      </c>
      <c r="J127" s="653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</row>
    <row r="128" spans="1:77" ht="60" customHeight="1" x14ac:dyDescent="0.25">
      <c r="A128" s="121">
        <v>97</v>
      </c>
      <c r="B128" s="173" t="str">
        <f>[1]SIT!AQ68</f>
        <v>BM-71</v>
      </c>
      <c r="C128" s="173">
        <f>[1]SIT!AR68</f>
        <v>70</v>
      </c>
      <c r="D128" s="173">
        <f>[1]SIT!AS68</f>
        <v>85.7</v>
      </c>
      <c r="E128" s="175">
        <f>[1]SIT!AT68</f>
        <v>10.010000000000002</v>
      </c>
      <c r="F128" s="173">
        <f>[1]SIT!AU68</f>
        <v>70</v>
      </c>
      <c r="G128" s="173">
        <f>[1]SIT!AV68</f>
        <v>85.7</v>
      </c>
      <c r="H128" s="175">
        <f>[1]SIT!AW68</f>
        <v>10.010000000000002</v>
      </c>
      <c r="I128" s="175">
        <f>[1]SIT!AX68</f>
        <v>0</v>
      </c>
      <c r="J128" s="653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</row>
    <row r="129" spans="1:77" ht="60" customHeight="1" x14ac:dyDescent="0.25">
      <c r="A129" s="121">
        <v>98</v>
      </c>
      <c r="B129" s="173" t="str">
        <f>[1]SIT!AQ70</f>
        <v>BM-73</v>
      </c>
      <c r="C129" s="173">
        <f>[1]SIT!AR70</f>
        <v>90</v>
      </c>
      <c r="D129" s="173">
        <f>[1]SIT!AS70</f>
        <v>67.7</v>
      </c>
      <c r="E129" s="175">
        <f>[1]SIT!AT70</f>
        <v>29.069999999999997</v>
      </c>
      <c r="F129" s="173">
        <f>[1]SIT!AU70</f>
        <v>60</v>
      </c>
      <c r="G129" s="173">
        <f>[1]SIT!AV70</f>
        <v>89.3</v>
      </c>
      <c r="H129" s="175">
        <f>[1]SIT!AW70</f>
        <v>6.419999999999999</v>
      </c>
      <c r="I129" s="175">
        <f>[1]SIT!AX70</f>
        <v>-22.65</v>
      </c>
      <c r="J129" s="653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</row>
    <row r="130" spans="1:77" s="165" customFormat="1" ht="60" customHeight="1" x14ac:dyDescent="0.25">
      <c r="A130" s="121">
        <v>99</v>
      </c>
      <c r="B130" s="173" t="str">
        <f>[1]SIT!AQ73</f>
        <v>BM-78</v>
      </c>
      <c r="C130" s="173">
        <f>[1]SIT!AR73</f>
        <v>100</v>
      </c>
      <c r="D130" s="173">
        <f>[1]SIT!AS73</f>
        <v>88</v>
      </c>
      <c r="E130" s="175">
        <f>[1]SIT!AT73</f>
        <v>12</v>
      </c>
      <c r="F130" s="173">
        <f>[1]SIT!AU73</f>
        <v>100</v>
      </c>
      <c r="G130" s="173">
        <f>[1]SIT!AV73</f>
        <v>75.400000000000006</v>
      </c>
      <c r="H130" s="175">
        <f>[1]SIT!AW73</f>
        <v>24.6</v>
      </c>
      <c r="I130" s="175">
        <f>[1]SIT!AX73</f>
        <v>12.600000000000001</v>
      </c>
      <c r="J130" s="653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</row>
    <row r="131" spans="1:77" s="165" customFormat="1" ht="60" customHeight="1" x14ac:dyDescent="0.25">
      <c r="A131" s="121">
        <v>100</v>
      </c>
      <c r="B131" s="147" t="s">
        <v>264</v>
      </c>
      <c r="C131" s="148">
        <f>SUM(C125:C130)</f>
        <v>680</v>
      </c>
      <c r="D131" s="149"/>
      <c r="E131" s="148">
        <f>SUM(E125:E130)</f>
        <v>97.350000000000009</v>
      </c>
      <c r="F131" s="148">
        <f>SUM(F125:F130)</f>
        <v>635</v>
      </c>
      <c r="G131" s="149"/>
      <c r="H131" s="148">
        <f>SUM(H125:H130)</f>
        <v>100.83499999999998</v>
      </c>
      <c r="I131" s="148">
        <f>SUM(I125:I130)</f>
        <v>3.484999999999971</v>
      </c>
      <c r="J131" s="148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</row>
    <row r="132" spans="1:77" s="165" customFormat="1" ht="60" customHeight="1" x14ac:dyDescent="0.25">
      <c r="A132" s="121">
        <v>101</v>
      </c>
      <c r="B132" s="172" t="str">
        <f>[1]SIT!AQ74</f>
        <v>*BM-80</v>
      </c>
      <c r="C132" s="173">
        <f>[1]SIT!AR74</f>
        <v>0</v>
      </c>
      <c r="D132" s="174">
        <f>[1]SIT!AS74</f>
        <v>95</v>
      </c>
      <c r="E132" s="175">
        <f>[1]SIT!AT74</f>
        <v>0</v>
      </c>
      <c r="F132" s="175">
        <f>[1]SIT!AU74</f>
        <v>0</v>
      </c>
      <c r="G132" s="174">
        <f>[1]SIT!AV74</f>
        <v>96</v>
      </c>
      <c r="H132" s="175">
        <f>[1]SIT!AW74</f>
        <v>0</v>
      </c>
      <c r="I132" s="175">
        <f>[1]SIT!AX74</f>
        <v>0</v>
      </c>
      <c r="J132" s="653" t="s">
        <v>122</v>
      </c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</row>
    <row r="133" spans="1:77" s="165" customFormat="1" ht="60" customHeight="1" x14ac:dyDescent="0.25">
      <c r="A133" s="121"/>
      <c r="B133" s="172" t="str">
        <f>[1]SIT!AQ76</f>
        <v>BM-82 ST.</v>
      </c>
      <c r="C133" s="173">
        <f>[1]SIT!AR76</f>
        <v>80</v>
      </c>
      <c r="D133" s="174">
        <f>[1]SIT!AS76</f>
        <v>22.1</v>
      </c>
      <c r="E133" s="175">
        <f>[1]SIT!AT76</f>
        <v>62.32</v>
      </c>
      <c r="F133" s="175">
        <f>[1]SIT!AU76</f>
        <v>80</v>
      </c>
      <c r="G133" s="174">
        <f>[1]SIT!AV76</f>
        <v>42.6</v>
      </c>
      <c r="H133" s="175">
        <f>[1]SIT!AW76</f>
        <v>45.92</v>
      </c>
      <c r="I133" s="175">
        <f>[1]SIT!AX76</f>
        <v>-16.399999999999999</v>
      </c>
      <c r="J133" s="653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</row>
    <row r="134" spans="1:77" s="165" customFormat="1" ht="60" customHeight="1" x14ac:dyDescent="0.25">
      <c r="A134" s="178">
        <v>102</v>
      </c>
      <c r="B134" s="172" t="str">
        <f>[1]SIT!AQ77</f>
        <v>BM-85</v>
      </c>
      <c r="C134" s="173">
        <f>[1]SIT!AR77</f>
        <v>60</v>
      </c>
      <c r="D134" s="174">
        <f>[1]SIT!AS77</f>
        <v>80</v>
      </c>
      <c r="E134" s="175">
        <f>[1]SIT!AT77</f>
        <v>11.999999999999996</v>
      </c>
      <c r="F134" s="175">
        <f>[1]SIT!AU77</f>
        <v>60</v>
      </c>
      <c r="G134" s="174">
        <f>[1]SIT!AV77</f>
        <v>67.8</v>
      </c>
      <c r="H134" s="175">
        <f>[1]SIT!AW77</f>
        <v>19.320000000000004</v>
      </c>
      <c r="I134" s="175">
        <f>[1]SIT!AX77</f>
        <v>7.3200000000000074</v>
      </c>
      <c r="J134" s="653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</row>
    <row r="135" spans="1:77" s="198" customFormat="1" ht="60" customHeight="1" x14ac:dyDescent="0.25">
      <c r="A135" s="121">
        <v>103</v>
      </c>
      <c r="B135" s="172" t="str">
        <f>[1]SIT!AZ49</f>
        <v>BM-90</v>
      </c>
      <c r="C135" s="175">
        <f>[1]SIT!BA49</f>
        <v>80</v>
      </c>
      <c r="D135" s="174">
        <f>[1]SIT!BB49</f>
        <v>73.599999999999994</v>
      </c>
      <c r="E135" s="175">
        <f>[1]SIT!BC49</f>
        <v>21.12</v>
      </c>
      <c r="F135" s="175">
        <f>[1]SIT!BD49</f>
        <v>80</v>
      </c>
      <c r="G135" s="174">
        <f>[1]SIT!BE49</f>
        <v>79.3</v>
      </c>
      <c r="H135" s="175">
        <f>[1]SIT!BF49</f>
        <v>16.560000000000006</v>
      </c>
      <c r="I135" s="175">
        <f>[1]SIT!BG49</f>
        <v>-4.5599999999999952</v>
      </c>
      <c r="J135" s="653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</row>
    <row r="136" spans="1:77" ht="60" customHeight="1" x14ac:dyDescent="0.25">
      <c r="A136" s="121">
        <v>104</v>
      </c>
      <c r="B136" s="172" t="str">
        <f>[1]SIT!AZ51</f>
        <v>BM-92 Re.</v>
      </c>
      <c r="C136" s="172">
        <f>[1]SIT!BA51</f>
        <v>70</v>
      </c>
      <c r="D136" s="172">
        <f>[1]SIT!BB51</f>
        <v>12</v>
      </c>
      <c r="E136" s="175">
        <f>[1]SIT!BC51</f>
        <v>61.6</v>
      </c>
      <c r="F136" s="172">
        <f>[1]SIT!BD51</f>
        <v>75</v>
      </c>
      <c r="G136" s="172">
        <f>[1]SIT!BE51</f>
        <v>12</v>
      </c>
      <c r="H136" s="197">
        <f>[1]SIT!BF51</f>
        <v>66</v>
      </c>
      <c r="I136" s="197">
        <f>[1]SIT!BG51</f>
        <v>4.3999999999999986</v>
      </c>
      <c r="J136" s="653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</row>
    <row r="137" spans="1:77" ht="60" customHeight="1" x14ac:dyDescent="0.25">
      <c r="A137" s="121">
        <v>105</v>
      </c>
      <c r="B137" s="172" t="str">
        <f>[1]SIT!AZ52</f>
        <v>BM-93 Re.</v>
      </c>
      <c r="C137" s="173">
        <f>[1]SIT!BA52</f>
        <v>50</v>
      </c>
      <c r="D137" s="174">
        <f>[1]SIT!BB52</f>
        <v>70</v>
      </c>
      <c r="E137" s="175">
        <f>[1]SIT!BC52</f>
        <v>15.000000000000002</v>
      </c>
      <c r="F137" s="172">
        <f>[1]SIT!BD52</f>
        <v>40</v>
      </c>
      <c r="G137" s="174">
        <f>[1]SIT!BE52</f>
        <v>71.7</v>
      </c>
      <c r="H137" s="175">
        <f>[1]SIT!BF52</f>
        <v>11.319999999999997</v>
      </c>
      <c r="I137" s="175">
        <f>[1]SIT!BG52</f>
        <v>-3.680000000000005</v>
      </c>
      <c r="J137" s="653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</row>
    <row r="138" spans="1:77" ht="60" customHeight="1" x14ac:dyDescent="0.25">
      <c r="A138" s="121"/>
      <c r="B138" s="172" t="str">
        <f>[1]SIT!AZ55</f>
        <v xml:space="preserve"> BM-100</v>
      </c>
      <c r="C138" s="173">
        <f>[1]SIT!BA55</f>
        <v>100</v>
      </c>
      <c r="D138" s="174">
        <f>[1]SIT!BB55</f>
        <v>58.5</v>
      </c>
      <c r="E138" s="175">
        <f>[1]SIT!BC55</f>
        <v>41.5</v>
      </c>
      <c r="F138" s="175">
        <f>[1]SIT!BD55</f>
        <v>100</v>
      </c>
      <c r="G138" s="174">
        <f>[1]SIT!BE55</f>
        <v>58.5</v>
      </c>
      <c r="H138" s="175">
        <f>[1]SIT!BF55</f>
        <v>41.5</v>
      </c>
      <c r="I138" s="175">
        <f>[1]SIT!BG55</f>
        <v>0</v>
      </c>
      <c r="J138" s="653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</row>
    <row r="139" spans="1:77" ht="60" customHeight="1" x14ac:dyDescent="0.25">
      <c r="A139" s="121">
        <v>106</v>
      </c>
      <c r="B139" s="172" t="str">
        <f>[1]SIT!AZ59</f>
        <v>BM-105</v>
      </c>
      <c r="C139" s="173">
        <f>[1]SIT!BA59</f>
        <v>50</v>
      </c>
      <c r="D139" s="174">
        <f>[1]SIT!BB59</f>
        <v>10</v>
      </c>
      <c r="E139" s="175">
        <f>[1]SIT!BC59</f>
        <v>45</v>
      </c>
      <c r="F139" s="175">
        <f>[1]SIT!BD59</f>
        <v>50</v>
      </c>
      <c r="G139" s="174">
        <f>[1]SIT!BE59</f>
        <v>22.9</v>
      </c>
      <c r="H139" s="175">
        <f>[1]SIT!BF59</f>
        <v>38.550000000000004</v>
      </c>
      <c r="I139" s="175">
        <f>[1]SIT!BG59</f>
        <v>-6.4499999999999957</v>
      </c>
      <c r="J139" s="653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</row>
    <row r="140" spans="1:77" ht="60" customHeight="1" x14ac:dyDescent="0.25">
      <c r="A140" s="121">
        <v>107</v>
      </c>
      <c r="B140" s="172" t="str">
        <f>[1]SIT!AZ64</f>
        <v>BM-116</v>
      </c>
      <c r="C140" s="173">
        <f>[1]SIT!BA64</f>
        <v>100</v>
      </c>
      <c r="D140" s="173">
        <f>[1]SIT!BB64</f>
        <v>90</v>
      </c>
      <c r="E140" s="175">
        <f>[1]SIT!BC64</f>
        <v>9.9999999999999982</v>
      </c>
      <c r="F140" s="173">
        <f>[1]SIT!BD64</f>
        <v>120</v>
      </c>
      <c r="G140" s="173">
        <f>[1]SIT!BE64</f>
        <v>89.8</v>
      </c>
      <c r="H140" s="175">
        <f>[1]SIT!BF64</f>
        <v>12.239999999999998</v>
      </c>
      <c r="I140" s="175">
        <f>[1]SIT!BG64</f>
        <v>2.2400000000000002</v>
      </c>
      <c r="J140" s="653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</row>
    <row r="141" spans="1:77" ht="60" customHeight="1" x14ac:dyDescent="0.25">
      <c r="A141" s="121">
        <v>108</v>
      </c>
      <c r="B141" s="172" t="str">
        <f>[1]SIT!AZ65</f>
        <v>BM-118</v>
      </c>
      <c r="C141" s="173">
        <f>[1]SIT!BA65</f>
        <v>400</v>
      </c>
      <c r="D141" s="173">
        <f>[1]SIT!BB65</f>
        <v>96.8</v>
      </c>
      <c r="E141" s="175">
        <f>[1]SIT!BC65</f>
        <v>12.800000000000011</v>
      </c>
      <c r="F141" s="173">
        <f>[1]SIT!BD65</f>
        <v>400</v>
      </c>
      <c r="G141" s="173">
        <f>[1]SIT!BE65</f>
        <v>96.3</v>
      </c>
      <c r="H141" s="175">
        <f>[1]SIT!BF65</f>
        <v>14.800000000000013</v>
      </c>
      <c r="I141" s="175">
        <f>[1]SIT!BG65</f>
        <v>2.0000000000000018</v>
      </c>
      <c r="J141" s="653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</row>
    <row r="142" spans="1:77" ht="60" customHeight="1" x14ac:dyDescent="0.25">
      <c r="A142" s="121"/>
      <c r="B142" s="172" t="str">
        <f>[1]SIT!AZ66</f>
        <v>BM-119</v>
      </c>
      <c r="C142" s="173">
        <f>[1]SIT!BA66</f>
        <v>50</v>
      </c>
      <c r="D142" s="173">
        <f>[1]SIT!BB66</f>
        <v>92</v>
      </c>
      <c r="E142" s="175">
        <f>[1]SIT!BC66</f>
        <v>3.9999999999999982</v>
      </c>
      <c r="F142" s="173">
        <f>[1]SIT!BD66</f>
        <v>50</v>
      </c>
      <c r="G142" s="173">
        <f>[1]SIT!BE66</f>
        <v>82.4</v>
      </c>
      <c r="H142" s="175">
        <f>[1]SIT!BF66</f>
        <v>8.7999999999999972</v>
      </c>
      <c r="I142" s="175">
        <f>[1]SIT!BG66</f>
        <v>4.7999999999999989</v>
      </c>
      <c r="J142" s="653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</row>
    <row r="143" spans="1:77" ht="60" customHeight="1" x14ac:dyDescent="0.25">
      <c r="A143" s="121">
        <v>109</v>
      </c>
      <c r="B143" s="172" t="s">
        <v>239</v>
      </c>
      <c r="C143" s="173">
        <f>[1]SIT!BA69</f>
        <v>150</v>
      </c>
      <c r="D143" s="173">
        <f>[1]SIT!BB69</f>
        <v>10</v>
      </c>
      <c r="E143" s="175">
        <f>[1]SIT!BC69</f>
        <v>135</v>
      </c>
      <c r="F143" s="173">
        <f>[1]SIT!BD69</f>
        <v>220</v>
      </c>
      <c r="G143" s="173">
        <f>[1]SIT!BE69</f>
        <v>8.5</v>
      </c>
      <c r="H143" s="175">
        <f>[1]SIT!BF69</f>
        <v>201.3</v>
      </c>
      <c r="I143" s="175">
        <f>[1]SIT!BG69</f>
        <v>66.300000000000011</v>
      </c>
      <c r="J143" s="653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</row>
    <row r="144" spans="1:77" ht="60" customHeight="1" x14ac:dyDescent="0.25">
      <c r="A144" s="121">
        <v>110</v>
      </c>
      <c r="B144" s="172" t="s">
        <v>240</v>
      </c>
      <c r="C144" s="173">
        <f>[1]SIT!BA70</f>
        <v>110</v>
      </c>
      <c r="D144" s="173">
        <f>[1]SIT!BB70</f>
        <v>3.2</v>
      </c>
      <c r="E144" s="175">
        <f>[1]SIT!BC70</f>
        <v>106.47999999999999</v>
      </c>
      <c r="F144" s="173">
        <f>[1]SIT!BD70</f>
        <v>110</v>
      </c>
      <c r="G144" s="173">
        <f>[1]SIT!BE70</f>
        <v>9.3000000000000007</v>
      </c>
      <c r="H144" s="175">
        <f>[1]SIT!BF70</f>
        <v>99.77000000000001</v>
      </c>
      <c r="I144" s="175">
        <f>[1]SIT!BG70</f>
        <v>-6.7099999999999795</v>
      </c>
      <c r="J144" s="653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</row>
    <row r="145" spans="1:77" ht="60" customHeight="1" x14ac:dyDescent="0.25">
      <c r="A145" s="121">
        <v>111</v>
      </c>
      <c r="B145" s="147" t="s">
        <v>264</v>
      </c>
      <c r="C145" s="148">
        <f>SUM(C132:C144)</f>
        <v>1300</v>
      </c>
      <c r="D145" s="149"/>
      <c r="E145" s="148">
        <f>SUM(E132:E144)</f>
        <v>526.81999999999994</v>
      </c>
      <c r="F145" s="148">
        <f>SUM(F132:F144)</f>
        <v>1385</v>
      </c>
      <c r="G145" s="148"/>
      <c r="H145" s="148">
        <f>SUM(H132:H144)</f>
        <v>576.08000000000004</v>
      </c>
      <c r="I145" s="148">
        <f>SUM(I132:I144)</f>
        <v>49.260000000000048</v>
      </c>
      <c r="J145" s="148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</row>
    <row r="146" spans="1:77" ht="60" customHeight="1" x14ac:dyDescent="0.25">
      <c r="A146" s="121">
        <v>112</v>
      </c>
      <c r="B146" s="173" t="str">
        <f>[1]SIT!AQ47</f>
        <v>BM-17</v>
      </c>
      <c r="C146" s="173">
        <f>[1]SIT!AR47</f>
        <v>110</v>
      </c>
      <c r="D146" s="173">
        <f>[1]SIT!AS47</f>
        <v>79</v>
      </c>
      <c r="E146" s="175">
        <f>[1]SIT!AT47</f>
        <v>23.099999999999994</v>
      </c>
      <c r="F146" s="173">
        <f>[1]SIT!AU47</f>
        <v>120</v>
      </c>
      <c r="G146" s="173">
        <f>[1]SIT!AV47</f>
        <v>73.7</v>
      </c>
      <c r="H146" s="175">
        <f>[1]SIT!AW47</f>
        <v>31.560000000000002</v>
      </c>
      <c r="I146" s="175">
        <f>[1]SIT!AX47</f>
        <v>8.460000000000008</v>
      </c>
      <c r="J146" s="653" t="s">
        <v>123</v>
      </c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</row>
    <row r="147" spans="1:77" ht="60" customHeight="1" x14ac:dyDescent="0.25">
      <c r="A147" s="121"/>
      <c r="B147" s="173"/>
      <c r="C147" s="173">
        <f>[1]SIT!AR48</f>
        <v>0</v>
      </c>
      <c r="D147" s="173">
        <f>[1]SIT!AS48</f>
        <v>0</v>
      </c>
      <c r="E147" s="175">
        <f>[1]SIT!AT48</f>
        <v>0</v>
      </c>
      <c r="F147" s="173">
        <f>[1]SIT!AU48</f>
        <v>0</v>
      </c>
      <c r="G147" s="173">
        <f>[1]SIT!AV48</f>
        <v>40.9</v>
      </c>
      <c r="H147" s="175">
        <f>[1]SIT!AW48</f>
        <v>0</v>
      </c>
      <c r="I147" s="175">
        <f>[1]SIT!AX48</f>
        <v>0</v>
      </c>
      <c r="J147" s="653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</row>
    <row r="148" spans="1:77" ht="60" customHeight="1" x14ac:dyDescent="0.25">
      <c r="A148" s="121">
        <v>113</v>
      </c>
      <c r="B148" s="173" t="str">
        <f>[1]SIT!AQ49</f>
        <v>BM-21</v>
      </c>
      <c r="C148" s="173">
        <f>[1]SIT!AR49</f>
        <v>0</v>
      </c>
      <c r="D148" s="173">
        <f>[1]SIT!AS49</f>
        <v>68.599999999999994</v>
      </c>
      <c r="E148" s="175">
        <f>[1]SIT!AT49</f>
        <v>0</v>
      </c>
      <c r="F148" s="173">
        <f>[1]SIT!AU49</f>
        <v>0</v>
      </c>
      <c r="G148" s="173">
        <f>[1]SIT!AV49</f>
        <v>2.4</v>
      </c>
      <c r="H148" s="175">
        <f>[1]SIT!AW49</f>
        <v>0</v>
      </c>
      <c r="I148" s="175">
        <f>[1]SIT!AX49</f>
        <v>0</v>
      </c>
      <c r="J148" s="653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</row>
    <row r="149" spans="1:77" ht="60" customHeight="1" x14ac:dyDescent="0.25">
      <c r="A149" s="121">
        <v>114</v>
      </c>
      <c r="B149" s="173" t="str">
        <f>[1]SIT!AQ50</f>
        <v>BM-22</v>
      </c>
      <c r="C149" s="173">
        <f>[1]SIT!AR50</f>
        <v>50</v>
      </c>
      <c r="D149" s="173">
        <f>[1]SIT!AS50</f>
        <v>61.9</v>
      </c>
      <c r="E149" s="175">
        <f>[1]SIT!AT50</f>
        <v>19.05</v>
      </c>
      <c r="F149" s="173">
        <f>[1]SIT!AU50</f>
        <v>50</v>
      </c>
      <c r="G149" s="173">
        <f>[1]SIT!AV50</f>
        <v>78.400000000000006</v>
      </c>
      <c r="H149" s="175">
        <f>[1]SIT!AW50</f>
        <v>10.799999999999999</v>
      </c>
      <c r="I149" s="175">
        <f>[1]SIT!AX50</f>
        <v>-8.2500000000000018</v>
      </c>
      <c r="J149" s="653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</row>
    <row r="150" spans="1:77" ht="60" customHeight="1" x14ac:dyDescent="0.25">
      <c r="A150" s="121">
        <v>115</v>
      </c>
      <c r="B150" s="173" t="str">
        <f>[1]SIT!AQ52</f>
        <v>BM-26</v>
      </c>
      <c r="C150" s="173">
        <f>[1]SIT!AR52</f>
        <v>60</v>
      </c>
      <c r="D150" s="173">
        <f>[1]SIT!AS52</f>
        <v>45</v>
      </c>
      <c r="E150" s="175">
        <f>[1]SIT!AT52</f>
        <v>33</v>
      </c>
      <c r="F150" s="173">
        <f>[1]SIT!AU52</f>
        <v>60</v>
      </c>
      <c r="G150" s="173">
        <f>[1]SIT!AV52</f>
        <v>67.900000000000006</v>
      </c>
      <c r="H150" s="175">
        <f>[1]SIT!AW52</f>
        <v>19.259999999999998</v>
      </c>
      <c r="I150" s="175">
        <f>[1]SIT!AX52</f>
        <v>-13.740000000000002</v>
      </c>
      <c r="J150" s="653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</row>
    <row r="151" spans="1:77" ht="60" customHeight="1" x14ac:dyDescent="0.25">
      <c r="A151" s="121">
        <v>116</v>
      </c>
      <c r="B151" s="173" t="str">
        <f>[1]SIT!AQ54</f>
        <v>BM-29</v>
      </c>
      <c r="C151" s="173">
        <f>[1]SIT!AR54</f>
        <v>60</v>
      </c>
      <c r="D151" s="173">
        <f>[1]SIT!AS54</f>
        <v>50</v>
      </c>
      <c r="E151" s="175">
        <f>[1]SIT!AT54</f>
        <v>30</v>
      </c>
      <c r="F151" s="173">
        <f>[1]SIT!AU54</f>
        <v>75</v>
      </c>
      <c r="G151" s="173">
        <f>[1]SIT!AV54</f>
        <v>58.9</v>
      </c>
      <c r="H151" s="175">
        <f>[1]SIT!AW54</f>
        <v>30.825000000000003</v>
      </c>
      <c r="I151" s="175">
        <f>[1]SIT!AX54</f>
        <v>0.82500000000000284</v>
      </c>
      <c r="J151" s="653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</row>
    <row r="152" spans="1:77" s="199" customFormat="1" ht="60" customHeight="1" x14ac:dyDescent="0.25">
      <c r="A152" s="121">
        <v>117</v>
      </c>
      <c r="B152" s="173" t="str">
        <f>[1]SIT!AQ55</f>
        <v>BM-30</v>
      </c>
      <c r="C152" s="173">
        <f>[1]SIT!AR55</f>
        <v>0</v>
      </c>
      <c r="D152" s="173">
        <f>[1]SIT!AS55</f>
        <v>0</v>
      </c>
      <c r="E152" s="175">
        <f>[1]SIT!AT55</f>
        <v>0</v>
      </c>
      <c r="F152" s="173">
        <f>[1]SIT!AU55</f>
        <v>0</v>
      </c>
      <c r="G152" s="173">
        <f>[1]SIT!AV55</f>
        <v>94.3</v>
      </c>
      <c r="H152" s="175">
        <f>[1]SIT!AW55</f>
        <v>0</v>
      </c>
      <c r="I152" s="175">
        <f>[1]SIT!AX55</f>
        <v>0</v>
      </c>
      <c r="J152" s="653"/>
    </row>
    <row r="153" spans="1:77" s="199" customFormat="1" ht="60" customHeight="1" x14ac:dyDescent="0.25">
      <c r="A153" s="121"/>
      <c r="B153" s="147" t="s">
        <v>264</v>
      </c>
      <c r="C153" s="148">
        <f>SUM(C146:C152)</f>
        <v>280</v>
      </c>
      <c r="D153" s="149"/>
      <c r="E153" s="148">
        <f>SUM(E146:E152)</f>
        <v>105.14999999999999</v>
      </c>
      <c r="F153" s="148">
        <f>SUM(F146:F152)</f>
        <v>305</v>
      </c>
      <c r="G153" s="149"/>
      <c r="H153" s="148">
        <f>SUM(H146:H152)</f>
        <v>92.444999999999993</v>
      </c>
      <c r="I153" s="148">
        <f>SUM(I146:I152)</f>
        <v>-12.704999999999993</v>
      </c>
      <c r="J153" s="148"/>
    </row>
    <row r="154" spans="1:77" ht="60" customHeight="1" x14ac:dyDescent="0.25">
      <c r="A154" s="121"/>
      <c r="B154" s="172" t="str">
        <f>[1]SIT!AQ9</f>
        <v>113M-29</v>
      </c>
      <c r="C154" s="173">
        <f>[1]SIT!AR9</f>
        <v>120</v>
      </c>
      <c r="D154" s="174">
        <f>[1]SIT!AS9</f>
        <v>70</v>
      </c>
      <c r="E154" s="175">
        <f>[1]SIT!AT9</f>
        <v>36.000000000000007</v>
      </c>
      <c r="F154" s="175">
        <f>[1]SIT!AU9</f>
        <v>95</v>
      </c>
      <c r="G154" s="174">
        <f>[1]SIT!AV9</f>
        <v>54.1</v>
      </c>
      <c r="H154" s="175">
        <f>[1]SIT!AW9</f>
        <v>43.604999999999997</v>
      </c>
      <c r="I154" s="175">
        <f>[1]SIT!AX9</f>
        <v>7.6049999999999898</v>
      </c>
      <c r="J154" s="653" t="s">
        <v>124</v>
      </c>
    </row>
    <row r="155" spans="1:77" ht="60" customHeight="1" x14ac:dyDescent="0.25">
      <c r="A155" s="121"/>
      <c r="B155" s="172" t="str">
        <f>[1]SIT!AQ10</f>
        <v>*113M-30</v>
      </c>
      <c r="C155" s="173">
        <f>[1]SIT!AR10</f>
        <v>0</v>
      </c>
      <c r="D155" s="174">
        <f>[1]SIT!AS10</f>
        <v>87</v>
      </c>
      <c r="E155" s="175">
        <f>[1]SIT!AT10</f>
        <v>0</v>
      </c>
      <c r="F155" s="175">
        <f>[1]SIT!AU10</f>
        <v>0</v>
      </c>
      <c r="G155" s="174">
        <f>[1]SIT!AV10</f>
        <v>86.9</v>
      </c>
      <c r="H155" s="175">
        <f>[1]SIT!AW10</f>
        <v>0</v>
      </c>
      <c r="I155" s="175">
        <f>[1]SIT!AX10</f>
        <v>0</v>
      </c>
      <c r="J155" s="653"/>
    </row>
    <row r="156" spans="1:77" ht="60" customHeight="1" x14ac:dyDescent="0.25">
      <c r="A156" s="121"/>
      <c r="B156" s="172" t="str">
        <f>[1]SIT!AQ13</f>
        <v xml:space="preserve">  113M-42</v>
      </c>
      <c r="C156" s="173">
        <f>[1]SIT!AR13</f>
        <v>0</v>
      </c>
      <c r="D156" s="174">
        <f>[1]SIT!AS13</f>
        <v>90</v>
      </c>
      <c r="E156" s="175">
        <f>[1]SIT!AT13</f>
        <v>0</v>
      </c>
      <c r="F156" s="175">
        <f>[1]SIT!AU13</f>
        <v>0</v>
      </c>
      <c r="G156" s="174">
        <f>[1]SIT!AV13</f>
        <v>0</v>
      </c>
      <c r="H156" s="175">
        <f>[1]SIT!AW13</f>
        <v>0</v>
      </c>
      <c r="I156" s="175">
        <f>[1]SIT!AX13</f>
        <v>0</v>
      </c>
      <c r="J156" s="653"/>
    </row>
    <row r="157" spans="1:77" ht="60" customHeight="1" x14ac:dyDescent="0.25">
      <c r="A157" s="121"/>
      <c r="B157" s="172" t="str">
        <f>[1]SIT!AQ14</f>
        <v>113M-45</v>
      </c>
      <c r="C157" s="173">
        <f>[1]SIT!AR14</f>
        <v>50</v>
      </c>
      <c r="D157" s="174">
        <f>[1]SIT!AS14</f>
        <v>60</v>
      </c>
      <c r="E157" s="175">
        <f>[1]SIT!AT14</f>
        <v>20</v>
      </c>
      <c r="F157" s="175">
        <f>[1]SIT!AU14</f>
        <v>60</v>
      </c>
      <c r="G157" s="174">
        <f>[1]SIT!AV14</f>
        <v>95</v>
      </c>
      <c r="H157" s="175">
        <f>[1]SIT!AW14</f>
        <v>3.0000000000000027</v>
      </c>
      <c r="I157" s="175">
        <f>[1]SIT!AX14</f>
        <v>-16.999999999999996</v>
      </c>
      <c r="J157" s="653"/>
    </row>
    <row r="158" spans="1:77" ht="48" customHeight="1" x14ac:dyDescent="0.25">
      <c r="A158" s="121"/>
      <c r="B158" s="147" t="s">
        <v>264</v>
      </c>
      <c r="C158" s="148">
        <f>SUM(C154:C157)</f>
        <v>170</v>
      </c>
      <c r="D158" s="149"/>
      <c r="E158" s="148">
        <f>SUM(E154:E157)</f>
        <v>56.000000000000007</v>
      </c>
      <c r="F158" s="148">
        <f>SUM(F154:F157)</f>
        <v>155</v>
      </c>
      <c r="G158" s="149"/>
      <c r="H158" s="148">
        <f>SUM(H154:H157)</f>
        <v>46.604999999999997</v>
      </c>
      <c r="I158" s="148">
        <f>SUM(I154:I157)</f>
        <v>-9.3950000000000067</v>
      </c>
      <c r="J158" s="148"/>
    </row>
    <row r="159" spans="1:77" ht="81" customHeight="1" x14ac:dyDescent="0.25">
      <c r="A159" s="121"/>
      <c r="B159" s="172" t="str">
        <f>[1]SIT!AQ40</f>
        <v xml:space="preserve"> SINAI-02</v>
      </c>
      <c r="C159" s="173">
        <f>[1]SIT!AR40</f>
        <v>600</v>
      </c>
      <c r="D159" s="174">
        <f>[1]SIT!AS40</f>
        <v>94</v>
      </c>
      <c r="E159" s="175">
        <f>[1]SIT!AT40</f>
        <v>36.000000000000028</v>
      </c>
      <c r="F159" s="175">
        <f>[1]SIT!AU40</f>
        <v>600</v>
      </c>
      <c r="G159" s="174">
        <f>[1]SIT!AV40</f>
        <v>94</v>
      </c>
      <c r="H159" s="175">
        <f>[1]SIT!AW40</f>
        <v>36.000000000000028</v>
      </c>
      <c r="I159" s="175">
        <f>[1]SIT!AX40</f>
        <v>0</v>
      </c>
      <c r="J159" s="653" t="s">
        <v>125</v>
      </c>
    </row>
    <row r="160" spans="1:77" ht="48" customHeight="1" x14ac:dyDescent="0.25">
      <c r="A160" s="121"/>
      <c r="B160" s="172" t="str">
        <f>[1]SIT!AQ41</f>
        <v xml:space="preserve"> SINAI-04</v>
      </c>
      <c r="C160" s="173">
        <f>[1]SIT!AR41</f>
        <v>500</v>
      </c>
      <c r="D160" s="174">
        <f>[1]SIT!AS41</f>
        <v>93</v>
      </c>
      <c r="E160" s="175">
        <f>[1]SIT!AT41</f>
        <v>34.999999999999979</v>
      </c>
      <c r="F160" s="175">
        <f>[1]SIT!AU41</f>
        <v>520</v>
      </c>
      <c r="G160" s="174">
        <f>[1]SIT!AV41</f>
        <v>95</v>
      </c>
      <c r="H160" s="175">
        <f>[1]SIT!AW41</f>
        <v>26.000000000000021</v>
      </c>
      <c r="I160" s="175">
        <f>[1]SIT!AX41</f>
        <v>-2.9999999999999503</v>
      </c>
      <c r="J160" s="653"/>
    </row>
    <row r="161" spans="1:10" ht="75" customHeight="1" x14ac:dyDescent="0.25">
      <c r="A161" s="121"/>
      <c r="B161" s="172" t="str">
        <f>[1]SIT!AQ42</f>
        <v>SINAI-06</v>
      </c>
      <c r="C161" s="173">
        <f>[1]SIT!AR42</f>
        <v>100</v>
      </c>
      <c r="D161" s="174">
        <f>[1]SIT!AS42</f>
        <v>90</v>
      </c>
      <c r="E161" s="175">
        <f>[1]SIT!AT42</f>
        <v>9.9999999999999982</v>
      </c>
      <c r="F161" s="175">
        <f>[1]SIT!AU42</f>
        <v>130</v>
      </c>
      <c r="G161" s="174">
        <f>[1]SIT!AV42</f>
        <v>72.3</v>
      </c>
      <c r="H161" s="175">
        <f>[1]SIT!AW42</f>
        <v>36.010000000000005</v>
      </c>
      <c r="I161" s="175">
        <f>[1]SIT!AX42</f>
        <v>1.7399999999999984</v>
      </c>
      <c r="J161" s="653"/>
    </row>
    <row r="162" spans="1:10" ht="48" customHeight="1" x14ac:dyDescent="0.25">
      <c r="A162" s="121"/>
      <c r="B162" s="172" t="str">
        <f>[1]SIT!AZ40</f>
        <v>SINAI-07</v>
      </c>
      <c r="C162" s="173">
        <f>[1]SIT!BA40</f>
        <v>300</v>
      </c>
      <c r="D162" s="174">
        <f>[1]SIT!BB40</f>
        <v>92.7</v>
      </c>
      <c r="E162" s="175">
        <f>[1]SIT!BC40</f>
        <v>21.899999999999984</v>
      </c>
      <c r="F162" s="175">
        <f>[1]SIT!BD40</f>
        <v>350</v>
      </c>
      <c r="G162" s="174">
        <f>[1]SIT!BE40</f>
        <v>89.5</v>
      </c>
      <c r="H162" s="175">
        <f>[1]SIT!BF40</f>
        <v>36.749999999999993</v>
      </c>
      <c r="I162" s="175">
        <f>[1]SIT!BG40</f>
        <v>14.850000000000009</v>
      </c>
      <c r="J162" s="653"/>
    </row>
    <row r="163" spans="1:10" ht="48" customHeight="1" x14ac:dyDescent="0.25">
      <c r="A163" s="121"/>
      <c r="B163" s="172" t="str">
        <f>[1]SIT!AZ41</f>
        <v xml:space="preserve">  SINAI-08</v>
      </c>
      <c r="C163" s="173">
        <f>[1]SIT!BA41</f>
        <v>0</v>
      </c>
      <c r="D163" s="174">
        <f>[1]SIT!BB41</f>
        <v>88</v>
      </c>
      <c r="E163" s="175">
        <f>[1]SIT!BC41</f>
        <v>0</v>
      </c>
      <c r="F163" s="175">
        <f>[1]SIT!BD41</f>
        <v>0</v>
      </c>
      <c r="G163" s="174">
        <f>[1]SIT!BE41</f>
        <v>98</v>
      </c>
      <c r="H163" s="175">
        <f>[1]SIT!BF41</f>
        <v>0</v>
      </c>
      <c r="I163" s="175">
        <f>[1]SIT!BG41</f>
        <v>0</v>
      </c>
      <c r="J163" s="653"/>
    </row>
    <row r="164" spans="1:10" ht="48" customHeight="1" x14ac:dyDescent="0.25">
      <c r="A164" s="121"/>
      <c r="B164" s="172" t="str">
        <f>[1]SIT!AZ42</f>
        <v xml:space="preserve">  SINAI-09</v>
      </c>
      <c r="C164" s="173">
        <f>[1]SIT!BA42</f>
        <v>100</v>
      </c>
      <c r="D164" s="174">
        <f>[1]SIT!BB42</f>
        <v>12</v>
      </c>
      <c r="E164" s="175">
        <f>[1]SIT!BC42</f>
        <v>88</v>
      </c>
      <c r="F164" s="175">
        <f>[1]SIT!BD42</f>
        <v>100</v>
      </c>
      <c r="G164" s="174">
        <f>[1]SIT!BE42</f>
        <v>33.6</v>
      </c>
      <c r="H164" s="175">
        <f>[1]SIT!BF42</f>
        <v>66.399999999999991</v>
      </c>
      <c r="I164" s="175">
        <f>[1]SIT!BG42</f>
        <v>-21.600000000000009</v>
      </c>
      <c r="J164" s="653"/>
    </row>
    <row r="165" spans="1:10" ht="48" customHeight="1" x14ac:dyDescent="0.25">
      <c r="B165" s="147" t="s">
        <v>264</v>
      </c>
      <c r="C165" s="148">
        <f>SUM(C159:C164)</f>
        <v>1600</v>
      </c>
      <c r="D165" s="148"/>
      <c r="E165" s="148">
        <f>SUM(E159:E164)</f>
        <v>190.89999999999998</v>
      </c>
      <c r="F165" s="148">
        <f>SUM(F159:F164)</f>
        <v>1700</v>
      </c>
      <c r="G165" s="148"/>
      <c r="H165" s="148">
        <f>SUM(H159:H164)</f>
        <v>201.16000000000003</v>
      </c>
      <c r="I165" s="148">
        <f>SUM(I159:I164)</f>
        <v>-8.0099999999999518</v>
      </c>
      <c r="J165" s="148"/>
    </row>
    <row r="166" spans="1:10" ht="48" customHeight="1" x14ac:dyDescent="0.25">
      <c r="B166" s="200"/>
      <c r="C166" s="180"/>
      <c r="D166" s="180"/>
      <c r="E166" s="180"/>
      <c r="F166" s="201">
        <f>SUM(F165*6.292316)</f>
        <v>10696.937199999998</v>
      </c>
      <c r="G166" s="149"/>
      <c r="H166" s="180"/>
      <c r="I166" s="180"/>
      <c r="J166" s="149"/>
    </row>
    <row r="167" spans="1:10" ht="48" customHeight="1" x14ac:dyDescent="0.25">
      <c r="B167" s="138" t="s">
        <v>264</v>
      </c>
      <c r="C167" s="202">
        <f>SUM(C7+C12+C15+C22+C25+C33+C42+C44+C58+C61+C64+C72+C76+C80+C89+C92+C96+C98+C100+C106+C114+C124+C131+C145+C153+C158+C165)</f>
        <v>11800</v>
      </c>
      <c r="D167" s="203"/>
      <c r="E167" s="202">
        <f>SUM(E7+E12+E15+E22+E25+E33+E42+E44+E58+E61+E64+E72+E76+E80+E89+E92+E96+E98+E100+E106+E114+E124+E131+E145+E153+E158+E165)</f>
        <v>3589.7200000000003</v>
      </c>
      <c r="F167" s="202">
        <f>SUM(F7+F12+F15+F22+F25+F33+F42+F44+F58+F61+F64+F66+F72+F76+F80+F89+F92+F96+F98+F100+F106+F114+F124+F131+F145+F153+F158+F165)</f>
        <v>12185</v>
      </c>
      <c r="G167" s="202"/>
      <c r="H167" s="202">
        <f>SUM(H7+H12+H15+H22+H25+H33+H42+H44+H58+H61+H64+H66+H72+H76+H80+H89+H92+H96+H98+H100+H106+H114+H124+H131+H145+H153+H158+H165)</f>
        <v>3593.7399999999993</v>
      </c>
      <c r="I167" s="202">
        <f>SUM(I7+I12+I15+I22+I25+I33+I42+I44+I58+I61+I64+I66+I72+I76+I80+I89+I92+I96+I98+I100+I106+I114+I124+I131+I145+I153+I158+I165)</f>
        <v>-285.44999999999993</v>
      </c>
      <c r="J167" s="180"/>
    </row>
    <row r="168" spans="1:10" ht="48" customHeight="1" x14ac:dyDescent="0.25">
      <c r="B168" s="180"/>
      <c r="C168" s="201">
        <f>SUM(C167*6.292316)</f>
        <v>74249.328799999988</v>
      </c>
      <c r="D168" s="204"/>
      <c r="E168" s="201">
        <f>SUM(E167*6.292316)</f>
        <v>22587.65259152</v>
      </c>
      <c r="F168" s="205">
        <f>SUM(F167*6.292316)</f>
        <v>76671.870459999991</v>
      </c>
      <c r="G168" s="206">
        <f>(1-(H168/F168))*100</f>
        <v>70.506852687730827</v>
      </c>
      <c r="H168" s="205">
        <f>SUM(H167*6.292316)</f>
        <v>22612.947701839996</v>
      </c>
      <c r="I168" s="201">
        <f>SUM(I167*6.292316)</f>
        <v>-1796.1416021999994</v>
      </c>
      <c r="J168" s="180"/>
    </row>
    <row r="169" spans="1:10" ht="48" customHeight="1" x14ac:dyDescent="0.25">
      <c r="B169" s="204"/>
      <c r="C169" s="204" t="s">
        <v>276</v>
      </c>
      <c r="D169" s="204" t="s">
        <v>277</v>
      </c>
      <c r="E169" s="204" t="s">
        <v>276</v>
      </c>
      <c r="F169" s="207" t="s">
        <v>276</v>
      </c>
      <c r="G169" s="208" t="s">
        <v>278</v>
      </c>
      <c r="H169" s="207" t="s">
        <v>276</v>
      </c>
      <c r="I169" s="204" t="s">
        <v>276</v>
      </c>
      <c r="J169" s="180"/>
    </row>
    <row r="170" spans="1:10" ht="48" customHeight="1" x14ac:dyDescent="0.25">
      <c r="B170" s="209" t="str">
        <f>[1]SIT!AQ85</f>
        <v>Total Marine Rep.Net Oil</v>
      </c>
      <c r="C170" s="210">
        <f>[1]SIT!AU85</f>
        <v>23926.657436320002</v>
      </c>
      <c r="D170" s="211"/>
      <c r="E170" s="209" t="str">
        <f>[1]SIT!AQ82</f>
        <v>Total Marine  Act.Net Oil (BEL+R/G)</v>
      </c>
      <c r="F170" s="212">
        <f>[1]SIT!AU82</f>
        <v>22612.947701839999</v>
      </c>
      <c r="G170" s="213"/>
      <c r="H170" s="214"/>
      <c r="I170" s="215"/>
      <c r="J170" s="211">
        <f>SUM(F153+F145+F131+F124+F76)*6.3</f>
        <v>18490.5</v>
      </c>
    </row>
    <row r="171" spans="1:10" ht="48" customHeight="1" x14ac:dyDescent="0.25">
      <c r="B171" s="216"/>
      <c r="C171" s="217"/>
      <c r="D171" s="217"/>
      <c r="E171" s="218"/>
      <c r="F171" s="217"/>
      <c r="G171" s="219"/>
      <c r="H171" s="220"/>
      <c r="I171" s="221"/>
      <c r="J171" s="217"/>
    </row>
    <row r="172" spans="1:10" ht="48" customHeight="1" x14ac:dyDescent="0.25">
      <c r="I172" s="119"/>
    </row>
    <row r="174" spans="1:10" ht="48" customHeight="1" x14ac:dyDescent="0.25">
      <c r="E174" s="116" t="s">
        <v>279</v>
      </c>
    </row>
    <row r="179" spans="3:3" ht="48" customHeight="1" x14ac:dyDescent="0.25">
      <c r="C179" s="114" t="s">
        <v>280</v>
      </c>
    </row>
  </sheetData>
  <mergeCells count="26">
    <mergeCell ref="J26:J31"/>
    <mergeCell ref="J3:J6"/>
    <mergeCell ref="J8:J11"/>
    <mergeCell ref="J13:J14"/>
    <mergeCell ref="J16:J21"/>
    <mergeCell ref="J23:J24"/>
    <mergeCell ref="J97:J98"/>
    <mergeCell ref="J34:J42"/>
    <mergeCell ref="J43:J44"/>
    <mergeCell ref="J45:J58"/>
    <mergeCell ref="J62:J63"/>
    <mergeCell ref="J65:J66"/>
    <mergeCell ref="J67:J71"/>
    <mergeCell ref="J73:J76"/>
    <mergeCell ref="J77:J79"/>
    <mergeCell ref="J81:J88"/>
    <mergeCell ref="J90:J91"/>
    <mergeCell ref="J93:J95"/>
    <mergeCell ref="J154:J157"/>
    <mergeCell ref="J159:J164"/>
    <mergeCell ref="J101:J105"/>
    <mergeCell ref="J107:J113"/>
    <mergeCell ref="J115:J123"/>
    <mergeCell ref="J125:J130"/>
    <mergeCell ref="J132:J144"/>
    <mergeCell ref="J146:J152"/>
  </mergeCells>
  <printOptions horizontalCentered="1" verticalCentered="1"/>
  <pageMargins left="0.25" right="0.25" top="0.25" bottom="0.25" header="0.05" footer="0.05"/>
  <pageSetup paperSize="9" scale="31" fitToHeight="7" orientation="landscape" r:id="rId1"/>
  <headerFooter alignWithMargins="0"/>
  <rowBreaks count="6" manualBreakCount="6">
    <brk id="25" min="1" max="9" man="1"/>
    <brk id="44" min="1" max="9" man="1"/>
    <brk id="72" min="1" max="9" man="1"/>
    <brk id="100" min="1" max="9" man="1"/>
    <brk id="124" min="1" max="9" man="1"/>
    <brk id="145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howOutlineSymbols="0"/>
  </sheetPr>
  <dimension ref="A1:AK848"/>
  <sheetViews>
    <sheetView tabSelected="1" showOutlineSymbols="0" zoomScaleNormal="100" zoomScaleSheetLayoutView="110" workbookViewId="0">
      <pane xSplit="1" ySplit="7" topLeftCell="B133" activePane="bottomRight" state="frozen"/>
      <selection pane="topRight" activeCell="C1" sqref="C1"/>
      <selection pane="bottomLeft" activeCell="A8" sqref="A8"/>
      <selection pane="bottomRight" activeCell="A155" sqref="A155"/>
    </sheetView>
  </sheetViews>
  <sheetFormatPr defaultRowHeight="18.75" outlineLevelCol="5" x14ac:dyDescent="0.3"/>
  <cols>
    <col min="1" max="1" width="15.42578125" style="1" customWidth="1"/>
    <col min="2" max="2" width="18.85546875" style="1" bestFit="1" customWidth="1"/>
    <col min="3" max="3" width="18.28515625" style="1" customWidth="1"/>
    <col min="4" max="4" width="18.28515625" style="550" customWidth="1"/>
    <col min="5" max="5" width="10.42578125" customWidth="1"/>
    <col min="6" max="6" width="12.42578125" customWidth="1" outlineLevel="3"/>
    <col min="7" max="7" width="13" customWidth="1"/>
    <col min="8" max="8" width="10.42578125" style="47" customWidth="1" outlineLevel="5"/>
    <col min="9" max="9" width="9.42578125" style="48" customWidth="1" outlineLevel="5"/>
    <col min="10" max="10" width="11" style="81" customWidth="1" outlineLevel="5"/>
    <col min="11" max="11" width="11" style="74" customWidth="1" outlineLevel="5"/>
    <col min="12" max="12" width="11" style="75" customWidth="1" outlineLevel="5"/>
    <col min="13" max="13" width="11" style="86" customWidth="1" outlineLevel="5"/>
    <col min="14" max="14" width="12.42578125" customWidth="1" outlineLevel="4"/>
    <col min="15" max="20" width="14.140625" customWidth="1" outlineLevel="4"/>
    <col min="21" max="21" width="16.7109375" bestFit="1" customWidth="1" outlineLevel="2"/>
    <col min="22" max="23" width="11.42578125" customWidth="1" outlineLevel="4"/>
    <col min="24" max="25" width="11.140625" customWidth="1" outlineLevel="4"/>
    <col min="26" max="26" width="17.42578125" style="404" customWidth="1" outlineLevel="4"/>
    <col min="27" max="27" width="16" customWidth="1" outlineLevel="4"/>
    <col min="28" max="28" width="16.7109375" customWidth="1" outlineLevel="3"/>
    <col min="29" max="29" width="18.42578125" customWidth="1" outlineLevel="2"/>
    <col min="30" max="30" width="18.42578125" customWidth="1" outlineLevel="3"/>
    <col min="31" max="31" width="14.7109375" customWidth="1" outlineLevel="1"/>
    <col min="32" max="32" width="18.42578125" customWidth="1" outlineLevel="2"/>
    <col min="33" max="34" width="20.140625" customWidth="1" outlineLevel="1"/>
    <col min="35" max="39" width="55.7109375" customWidth="1"/>
    <col min="40" max="40" width="15.42578125" bestFit="1" customWidth="1"/>
    <col min="41" max="41" width="19.42578125" bestFit="1" customWidth="1"/>
    <col min="44" max="44" width="19.42578125" bestFit="1" customWidth="1"/>
    <col min="45" max="45" width="20.42578125" bestFit="1" customWidth="1"/>
    <col min="46" max="46" width="13.7109375" bestFit="1" customWidth="1"/>
    <col min="47" max="47" width="17.85546875" bestFit="1" customWidth="1"/>
    <col min="48" max="48" width="16.85546875" bestFit="1" customWidth="1"/>
    <col min="49" max="49" width="18" bestFit="1" customWidth="1"/>
  </cols>
  <sheetData>
    <row r="1" spans="1:37" s="560" customFormat="1" ht="8.4499999999999993" customHeight="1" x14ac:dyDescent="0.25">
      <c r="A1" s="560" t="s">
        <v>280</v>
      </c>
    </row>
    <row r="2" spans="1:37" s="560" customFormat="1" ht="7.5" customHeight="1" x14ac:dyDescent="0.25"/>
    <row r="3" spans="1:37" s="560" customFormat="1" ht="12.6" customHeight="1" x14ac:dyDescent="0.25"/>
    <row r="4" spans="1:37" s="560" customFormat="1" ht="6.6" customHeight="1" x14ac:dyDescent="0.25"/>
    <row r="5" spans="1:37" s="560" customFormat="1" ht="15" x14ac:dyDescent="0.25"/>
    <row r="6" spans="1:37" s="426" customFormat="1" ht="15.75" x14ac:dyDescent="0.25">
      <c r="A6" s="415"/>
      <c r="B6" s="415"/>
      <c r="C6" s="415"/>
      <c r="D6" s="415"/>
      <c r="E6" s="416"/>
      <c r="F6" s="417"/>
      <c r="G6" s="418"/>
      <c r="H6" s="679" t="s">
        <v>126</v>
      </c>
      <c r="I6" s="680"/>
      <c r="J6" s="681"/>
      <c r="K6" s="676" t="s">
        <v>130</v>
      </c>
      <c r="L6" s="677"/>
      <c r="M6" s="678"/>
      <c r="N6" s="419"/>
      <c r="O6" s="418"/>
      <c r="P6" s="418"/>
      <c r="Q6" s="418"/>
      <c r="R6" s="418"/>
      <c r="S6" s="418"/>
      <c r="T6" s="418"/>
      <c r="U6" s="420"/>
      <c r="V6" s="418"/>
      <c r="W6" s="418"/>
      <c r="X6" s="418"/>
      <c r="Y6" s="418"/>
      <c r="Z6" s="418"/>
      <c r="AA6" s="421"/>
      <c r="AB6" s="417"/>
      <c r="AC6" s="422"/>
      <c r="AD6" s="423" t="s">
        <v>18</v>
      </c>
      <c r="AE6" s="420"/>
      <c r="AF6" s="424"/>
      <c r="AG6" s="420"/>
      <c r="AH6" s="620"/>
      <c r="AI6" s="425"/>
    </row>
    <row r="7" spans="1:37" s="426" customFormat="1" ht="45" customHeight="1" x14ac:dyDescent="0.25">
      <c r="A7" s="427" t="s">
        <v>1</v>
      </c>
      <c r="B7" s="427" t="s">
        <v>0</v>
      </c>
      <c r="C7" s="427" t="s">
        <v>20</v>
      </c>
      <c r="D7" s="22" t="s">
        <v>367</v>
      </c>
      <c r="E7" s="427" t="s">
        <v>98</v>
      </c>
      <c r="F7" s="428" t="s">
        <v>92</v>
      </c>
      <c r="G7" s="429" t="s">
        <v>404</v>
      </c>
      <c r="H7" s="430" t="s">
        <v>127</v>
      </c>
      <c r="I7" s="431" t="s">
        <v>128</v>
      </c>
      <c r="J7" s="432" t="s">
        <v>129</v>
      </c>
      <c r="K7" s="431" t="s">
        <v>131</v>
      </c>
      <c r="L7" s="430" t="s">
        <v>132</v>
      </c>
      <c r="M7" s="432" t="s">
        <v>181</v>
      </c>
      <c r="N7" s="433" t="s">
        <v>133</v>
      </c>
      <c r="O7" s="427" t="s">
        <v>134</v>
      </c>
      <c r="P7" s="427" t="s">
        <v>137</v>
      </c>
      <c r="Q7" s="427" t="s">
        <v>136</v>
      </c>
      <c r="R7" s="427" t="s">
        <v>138</v>
      </c>
      <c r="S7" s="427" t="s">
        <v>135</v>
      </c>
      <c r="T7" s="427" t="s">
        <v>140</v>
      </c>
      <c r="U7" s="434" t="s">
        <v>13</v>
      </c>
      <c r="V7" s="427" t="s">
        <v>139</v>
      </c>
      <c r="W7" s="427" t="s">
        <v>143</v>
      </c>
      <c r="X7" s="427" t="s">
        <v>141</v>
      </c>
      <c r="Y7" s="427" t="s">
        <v>142</v>
      </c>
      <c r="Z7" s="427" t="s">
        <v>144</v>
      </c>
      <c r="AA7" s="427" t="s">
        <v>3</v>
      </c>
      <c r="AB7" s="428" t="s">
        <v>164</v>
      </c>
      <c r="AC7" s="428" t="s">
        <v>170</v>
      </c>
      <c r="AD7" s="428" t="s">
        <v>19</v>
      </c>
      <c r="AE7" s="434" t="s">
        <v>9</v>
      </c>
      <c r="AF7" s="428" t="s">
        <v>342</v>
      </c>
      <c r="AG7" s="434" t="s">
        <v>173</v>
      </c>
      <c r="AH7" s="434" t="s">
        <v>383</v>
      </c>
      <c r="AI7" s="427" t="s">
        <v>145</v>
      </c>
    </row>
    <row r="8" spans="1:37" ht="15" customHeight="1" x14ac:dyDescent="0.25">
      <c r="A8" s="6" t="s">
        <v>27</v>
      </c>
      <c r="B8" s="7" t="s">
        <v>7</v>
      </c>
      <c r="C8" s="7" t="s">
        <v>21</v>
      </c>
      <c r="D8" s="561" t="s">
        <v>370</v>
      </c>
      <c r="E8" s="7" t="s">
        <v>97</v>
      </c>
      <c r="F8" s="9" t="s">
        <v>94</v>
      </c>
      <c r="G8" s="17" t="s">
        <v>94</v>
      </c>
      <c r="H8" s="49">
        <v>75</v>
      </c>
      <c r="I8" s="44">
        <v>66</v>
      </c>
      <c r="J8" s="82">
        <f>Database[[#This Row],[RATE , M3/D]]*(1-I8/100)</f>
        <v>25.499999999999996</v>
      </c>
      <c r="K8" s="76">
        <v>85</v>
      </c>
      <c r="L8" s="77">
        <v>68.599999999999994</v>
      </c>
      <c r="M8" s="87">
        <f>Database[[#This Row],[ACT , M3/D2]]*(1-L8/100)</f>
        <v>26.690000000000005</v>
      </c>
      <c r="N8" s="53">
        <v>60</v>
      </c>
      <c r="O8" s="54">
        <v>0.06</v>
      </c>
      <c r="P8" s="54">
        <v>400</v>
      </c>
      <c r="Q8" s="54">
        <v>30</v>
      </c>
      <c r="R8" s="54"/>
      <c r="S8" s="55">
        <v>99</v>
      </c>
      <c r="T8" s="55">
        <v>36</v>
      </c>
      <c r="U8" s="10" t="s">
        <v>146</v>
      </c>
      <c r="V8" s="55">
        <v>376</v>
      </c>
      <c r="W8" s="55"/>
      <c r="X8" s="8"/>
      <c r="Y8" s="8"/>
      <c r="Z8" s="405">
        <v>43444</v>
      </c>
      <c r="AA8" s="8" t="s">
        <v>162</v>
      </c>
      <c r="AB8" s="9" t="s">
        <v>11</v>
      </c>
      <c r="AC8" s="24"/>
      <c r="AD8" s="23"/>
      <c r="AE8" s="11"/>
      <c r="AF8" s="24"/>
      <c r="AG8" s="10"/>
      <c r="AH8" s="10" t="str">
        <f>VLOOKUP(E8,' Data Lists'!$Z$3:$AA$31,2,)</f>
        <v>IN SERVICE</v>
      </c>
      <c r="AI8" s="8"/>
      <c r="AK8" t="s">
        <v>26</v>
      </c>
    </row>
    <row r="9" spans="1:37" ht="15" customHeight="1" x14ac:dyDescent="0.25">
      <c r="A9" s="6" t="s">
        <v>28</v>
      </c>
      <c r="B9" s="7" t="s">
        <v>7</v>
      </c>
      <c r="C9" s="7" t="s">
        <v>21</v>
      </c>
      <c r="D9" s="561" t="s">
        <v>370</v>
      </c>
      <c r="E9" s="7" t="s">
        <v>102</v>
      </c>
      <c r="F9" s="9" t="str">
        <f>VLOOKUP(E9,' Data Lists'!$T$3:$U$31,2,)</f>
        <v>PP3</v>
      </c>
      <c r="G9" s="17" t="s">
        <v>95</v>
      </c>
      <c r="H9" s="49">
        <v>80</v>
      </c>
      <c r="I9" s="44">
        <v>79.599999999999994</v>
      </c>
      <c r="J9" s="82">
        <f>Database[[#This Row],[RATE , M3/D]]*(1-I9/100)</f>
        <v>16.320000000000007</v>
      </c>
      <c r="K9" s="76">
        <v>80</v>
      </c>
      <c r="L9" s="77">
        <v>0.8</v>
      </c>
      <c r="M9" s="87">
        <f>Database[[#This Row],[ACT , M3/D2]]*(1-L9/100)</f>
        <v>79.36</v>
      </c>
      <c r="N9" s="53">
        <v>87</v>
      </c>
      <c r="O9" s="54">
        <v>0.11</v>
      </c>
      <c r="P9" s="54">
        <v>400</v>
      </c>
      <c r="Q9" s="54">
        <v>20</v>
      </c>
      <c r="R9" s="54"/>
      <c r="S9" s="55">
        <v>83.5</v>
      </c>
      <c r="T9" s="55">
        <v>29</v>
      </c>
      <c r="U9" s="11" t="s">
        <v>147</v>
      </c>
      <c r="V9" s="55">
        <v>260</v>
      </c>
      <c r="W9" s="55"/>
      <c r="X9" s="7"/>
      <c r="Y9" s="7"/>
      <c r="Z9" s="406">
        <v>44083</v>
      </c>
      <c r="AA9" s="7"/>
      <c r="AB9" s="9" t="s">
        <v>178</v>
      </c>
      <c r="AC9" s="24"/>
      <c r="AD9" s="23"/>
      <c r="AE9" s="11"/>
      <c r="AF9" s="24"/>
      <c r="AG9" s="11"/>
      <c r="AH9" s="11" t="str">
        <f>VLOOKUP(E9,' Data Lists'!$Z$3:$AA$31,2,)</f>
        <v>IN SERVICE</v>
      </c>
      <c r="AI9" s="7"/>
      <c r="AK9" t="s">
        <v>26</v>
      </c>
    </row>
    <row r="10" spans="1:37" ht="15" customHeight="1" x14ac:dyDescent="0.25">
      <c r="A10" s="6" t="s">
        <v>395</v>
      </c>
      <c r="B10" s="7" t="s">
        <v>7</v>
      </c>
      <c r="C10" s="7" t="s">
        <v>22</v>
      </c>
      <c r="D10" s="561" t="s">
        <v>370</v>
      </c>
      <c r="E10" s="63" t="s">
        <v>106</v>
      </c>
      <c r="F10" s="622" t="s">
        <v>93</v>
      </c>
      <c r="G10" s="17" t="s">
        <v>93</v>
      </c>
      <c r="H10" s="64">
        <v>0</v>
      </c>
      <c r="I10" s="65">
        <v>0</v>
      </c>
      <c r="J10" s="84">
        <f>Database[[#This Row],[RATE , M3/D]]*(1-I10/100)</f>
        <v>0</v>
      </c>
      <c r="K10" s="624">
        <v>50</v>
      </c>
      <c r="L10" s="629">
        <v>57.3</v>
      </c>
      <c r="M10" s="626">
        <f>Database[[#This Row],[ACT , M3/D2]]*(1-L10/100)</f>
        <v>21.35</v>
      </c>
      <c r="N10" s="627"/>
      <c r="O10" s="66"/>
      <c r="P10" s="66"/>
      <c r="Q10" s="66"/>
      <c r="R10" s="66"/>
      <c r="S10" s="67"/>
      <c r="T10" s="67"/>
      <c r="U10" s="68"/>
      <c r="V10" s="69"/>
      <c r="W10" s="67"/>
      <c r="X10" s="63"/>
      <c r="Y10" s="63"/>
      <c r="Z10" s="628"/>
      <c r="AA10" s="63"/>
      <c r="AB10" s="9"/>
      <c r="AC10" s="70"/>
      <c r="AD10" s="71"/>
      <c r="AE10" s="72"/>
      <c r="AF10" s="73"/>
      <c r="AG10" s="72"/>
      <c r="AH10" s="68" t="str">
        <f>VLOOKUP(E10,' Data Lists'!$Z$3:$AA$31,2,)</f>
        <v xml:space="preserve">OUT OF SERVICE </v>
      </c>
      <c r="AI10" s="63"/>
    </row>
    <row r="11" spans="1:37" ht="15" customHeight="1" x14ac:dyDescent="0.25">
      <c r="A11" s="6" t="s">
        <v>29</v>
      </c>
      <c r="B11" s="16" t="s">
        <v>7</v>
      </c>
      <c r="C11" s="16" t="s">
        <v>21</v>
      </c>
      <c r="D11" s="561" t="s">
        <v>370</v>
      </c>
      <c r="E11" s="7" t="s">
        <v>107</v>
      </c>
      <c r="F11" s="9" t="str">
        <f>VLOOKUP(E11,' Data Lists'!$T$3:$U$31,2,)</f>
        <v>PP2</v>
      </c>
      <c r="G11" s="17" t="s">
        <v>93</v>
      </c>
      <c r="H11" s="49">
        <v>90</v>
      </c>
      <c r="I11" s="44">
        <v>93.6</v>
      </c>
      <c r="J11" s="82">
        <f>Database[[#This Row],[RATE , M3/D]]*(1-I11/100)</f>
        <v>5.7600000000000051</v>
      </c>
      <c r="K11" s="76">
        <v>80</v>
      </c>
      <c r="L11" s="77">
        <v>97.7</v>
      </c>
      <c r="M11" s="87">
        <f>Database[[#This Row],[ACT , M3/D2]]*(1-L11/100)</f>
        <v>1.8400000000000016</v>
      </c>
      <c r="N11" s="53">
        <v>91</v>
      </c>
      <c r="O11" s="54">
        <v>0.05</v>
      </c>
      <c r="P11" s="54">
        <v>400</v>
      </c>
      <c r="Q11" s="54">
        <v>36</v>
      </c>
      <c r="R11" s="54"/>
      <c r="S11" s="55">
        <v>99</v>
      </c>
      <c r="T11" s="55">
        <v>36</v>
      </c>
      <c r="U11" s="11" t="s">
        <v>148</v>
      </c>
      <c r="V11" s="55">
        <v>245</v>
      </c>
      <c r="W11" s="55"/>
      <c r="X11" s="7"/>
      <c r="Y11" s="7"/>
      <c r="Z11" s="406">
        <v>43684</v>
      </c>
      <c r="AA11" s="7"/>
      <c r="AB11" s="9" t="s">
        <v>179</v>
      </c>
      <c r="AC11" s="24"/>
      <c r="AD11" s="23"/>
      <c r="AE11" s="11"/>
      <c r="AF11" s="24"/>
      <c r="AG11" s="11"/>
      <c r="AH11" s="11" t="str">
        <f>VLOOKUP(E11,' Data Lists'!$Z$3:$AA$31,2,)</f>
        <v>IN SERVICE</v>
      </c>
      <c r="AI11" s="7"/>
    </row>
    <row r="12" spans="1:37" ht="15" customHeight="1" x14ac:dyDescent="0.25">
      <c r="A12" s="6" t="s">
        <v>30</v>
      </c>
      <c r="B12" s="7" t="s">
        <v>4</v>
      </c>
      <c r="C12" s="7" t="s">
        <v>21</v>
      </c>
      <c r="D12" s="561" t="s">
        <v>370</v>
      </c>
      <c r="E12" s="7" t="s">
        <v>104</v>
      </c>
      <c r="F12" s="9" t="str">
        <f>VLOOKUP(E12,' Data Lists'!$T$3:$U$31,2,)</f>
        <v>PP2</v>
      </c>
      <c r="G12" s="17" t="s">
        <v>93</v>
      </c>
      <c r="H12" s="49">
        <v>150</v>
      </c>
      <c r="I12" s="44">
        <v>73.2</v>
      </c>
      <c r="J12" s="82">
        <f>Database[[#This Row],[RATE , M3/D]]*(1-I12/100)</f>
        <v>40.200000000000003</v>
      </c>
      <c r="K12" s="76">
        <v>130</v>
      </c>
      <c r="L12" s="77">
        <v>87.2</v>
      </c>
      <c r="M12" s="87">
        <f>Database[[#This Row],[ACT , M3/D2]]*(1-L12/100)</f>
        <v>16.64</v>
      </c>
      <c r="N12" s="53">
        <v>163</v>
      </c>
      <c r="O12" s="54">
        <v>0.32</v>
      </c>
      <c r="P12" s="54">
        <v>180</v>
      </c>
      <c r="Q12" s="54">
        <v>44</v>
      </c>
      <c r="R12" s="54"/>
      <c r="S12" s="55">
        <v>187</v>
      </c>
      <c r="T12" s="55">
        <v>64</v>
      </c>
      <c r="U12" s="11" t="s">
        <v>149</v>
      </c>
      <c r="V12" s="55">
        <v>198</v>
      </c>
      <c r="W12" s="55"/>
      <c r="X12" s="7"/>
      <c r="Y12" s="7"/>
      <c r="Z12" s="406">
        <v>43145</v>
      </c>
      <c r="AA12" s="7"/>
      <c r="AB12" s="9" t="s">
        <v>178</v>
      </c>
      <c r="AC12" s="23"/>
      <c r="AD12" s="23"/>
      <c r="AE12" s="11"/>
      <c r="AF12" s="23"/>
      <c r="AG12" s="11"/>
      <c r="AH12" s="11" t="str">
        <f>VLOOKUP(E12,' Data Lists'!$Z$3:$AA$31,2,)</f>
        <v xml:space="preserve">OUT OF SERVICE </v>
      </c>
      <c r="AI12" s="7"/>
    </row>
    <row r="13" spans="1:37" ht="15" customHeight="1" x14ac:dyDescent="0.25">
      <c r="A13" s="6" t="s">
        <v>31</v>
      </c>
      <c r="B13" s="16" t="s">
        <v>7</v>
      </c>
      <c r="C13" s="7" t="s">
        <v>21</v>
      </c>
      <c r="D13" s="561" t="s">
        <v>370</v>
      </c>
      <c r="E13" s="7" t="s">
        <v>109</v>
      </c>
      <c r="F13" s="9" t="str">
        <f>VLOOKUP(E13,' Data Lists'!$T$3:$U$31,2,)</f>
        <v>PP3</v>
      </c>
      <c r="G13" s="17" t="s">
        <v>94</v>
      </c>
      <c r="H13" s="49">
        <v>400</v>
      </c>
      <c r="I13" s="44">
        <v>84.2</v>
      </c>
      <c r="J13" s="82">
        <f>Database[[#This Row],[RATE , M3/D]]*(1-I13/100)</f>
        <v>63.199999999999967</v>
      </c>
      <c r="K13" s="76">
        <v>400</v>
      </c>
      <c r="L13" s="77">
        <v>85.6</v>
      </c>
      <c r="M13" s="87">
        <f>Database[[#This Row],[ACT , M3/D2]]*(1-L13/100)</f>
        <v>57.600000000000009</v>
      </c>
      <c r="N13" s="53">
        <v>75</v>
      </c>
      <c r="O13" s="54">
        <v>0.26</v>
      </c>
      <c r="P13" s="54">
        <v>400</v>
      </c>
      <c r="Q13" s="54">
        <v>90</v>
      </c>
      <c r="R13" s="54"/>
      <c r="S13" s="55">
        <v>334</v>
      </c>
      <c r="T13" s="55">
        <v>111</v>
      </c>
      <c r="U13" s="11" t="s">
        <v>150</v>
      </c>
      <c r="V13" s="55">
        <v>270</v>
      </c>
      <c r="W13" s="55"/>
      <c r="X13" s="7"/>
      <c r="Y13" s="7"/>
      <c r="Z13" s="407">
        <v>44101</v>
      </c>
      <c r="AA13" s="7"/>
      <c r="AB13" s="9" t="s">
        <v>11</v>
      </c>
      <c r="AC13" s="23"/>
      <c r="AD13" s="23"/>
      <c r="AE13" s="11"/>
      <c r="AF13" s="23"/>
      <c r="AG13" s="11"/>
      <c r="AH13" s="11" t="str">
        <f>VLOOKUP(E13,' Data Lists'!$Z$3:$AA$31,2,)</f>
        <v>IN SERVICE</v>
      </c>
      <c r="AI13" s="7"/>
    </row>
    <row r="14" spans="1:37" ht="15" customHeight="1" x14ac:dyDescent="0.25">
      <c r="A14" s="21" t="s">
        <v>32</v>
      </c>
      <c r="B14" s="18" t="s">
        <v>7</v>
      </c>
      <c r="C14" s="18" t="s">
        <v>21</v>
      </c>
      <c r="D14" s="561" t="s">
        <v>370</v>
      </c>
      <c r="E14" s="7" t="s">
        <v>110</v>
      </c>
      <c r="F14" s="9" t="str">
        <f>VLOOKUP(E14,' Data Lists'!$T$3:$U$31,2,)</f>
        <v>PP3</v>
      </c>
      <c r="G14" s="17" t="s">
        <v>174</v>
      </c>
      <c r="H14" s="49">
        <v>80</v>
      </c>
      <c r="I14" s="44">
        <v>93.6</v>
      </c>
      <c r="J14" s="82">
        <f>Database[[#This Row],[RATE , M3/D]]*(1-I14/100)</f>
        <v>5.1200000000000045</v>
      </c>
      <c r="K14" s="76">
        <v>0</v>
      </c>
      <c r="L14" s="77">
        <v>88</v>
      </c>
      <c r="M14" s="87">
        <f>Database[[#This Row],[ACT , M3/D2]]*(1-L14/100)</f>
        <v>0</v>
      </c>
      <c r="N14" s="53">
        <v>86</v>
      </c>
      <c r="O14" s="54">
        <v>0.03</v>
      </c>
      <c r="P14" s="54">
        <v>400</v>
      </c>
      <c r="Q14" s="54">
        <v>39</v>
      </c>
      <c r="R14" s="54"/>
      <c r="S14" s="55">
        <v>100</v>
      </c>
      <c r="T14" s="55">
        <v>34</v>
      </c>
      <c r="U14" s="11" t="s">
        <v>148</v>
      </c>
      <c r="V14" s="55">
        <v>238</v>
      </c>
      <c r="W14" s="55"/>
      <c r="X14" s="7"/>
      <c r="Y14" s="7"/>
      <c r="Z14" s="406">
        <v>43830</v>
      </c>
      <c r="AA14" s="7"/>
      <c r="AB14" s="9" t="s">
        <v>11</v>
      </c>
      <c r="AC14" s="23"/>
      <c r="AD14" s="23"/>
      <c r="AE14" s="11"/>
      <c r="AF14" s="23"/>
      <c r="AG14" s="11"/>
      <c r="AH14" s="11" t="str">
        <f>VLOOKUP(E14,' Data Lists'!$Z$3:$AA$31,2,)</f>
        <v xml:space="preserve">OUT OF SERVICE </v>
      </c>
      <c r="AI14" s="7"/>
    </row>
    <row r="15" spans="1:37" ht="15" customHeight="1" x14ac:dyDescent="0.25">
      <c r="A15" s="6" t="s">
        <v>33</v>
      </c>
      <c r="B15" s="7" t="s">
        <v>7</v>
      </c>
      <c r="C15" s="7" t="s">
        <v>21</v>
      </c>
      <c r="D15" s="561" t="s">
        <v>370</v>
      </c>
      <c r="E15" s="7" t="s">
        <v>124</v>
      </c>
      <c r="F15" s="9" t="str">
        <f>VLOOKUP(E15,' Data Lists'!$T$3:$U$31,2,)</f>
        <v>PP3</v>
      </c>
      <c r="G15" s="17" t="s">
        <v>174</v>
      </c>
      <c r="H15" s="49">
        <v>120</v>
      </c>
      <c r="I15" s="44">
        <v>70</v>
      </c>
      <c r="J15" s="82">
        <f>Database[[#This Row],[RATE , M3/D]]*(1-I15/100)</f>
        <v>36.000000000000007</v>
      </c>
      <c r="K15" s="76">
        <v>95</v>
      </c>
      <c r="L15" s="77">
        <v>54.1</v>
      </c>
      <c r="M15" s="87">
        <f>Database[[#This Row],[ACT , M3/D2]]*(1-L15/100)</f>
        <v>43.604999999999997</v>
      </c>
      <c r="N15" s="53">
        <v>141</v>
      </c>
      <c r="O15" s="54">
        <v>0.28999999999999998</v>
      </c>
      <c r="P15" s="54">
        <v>100</v>
      </c>
      <c r="Q15" s="54">
        <v>50</v>
      </c>
      <c r="R15" s="54"/>
      <c r="S15" s="55"/>
      <c r="T15" s="55"/>
      <c r="U15" s="11" t="s">
        <v>148</v>
      </c>
      <c r="V15" s="55">
        <v>293</v>
      </c>
      <c r="W15" s="55"/>
      <c r="X15" s="7"/>
      <c r="Y15" s="7"/>
      <c r="Z15" s="406">
        <v>43172</v>
      </c>
      <c r="AA15" s="7"/>
      <c r="AB15" s="9" t="s">
        <v>11</v>
      </c>
      <c r="AC15" s="24"/>
      <c r="AD15" s="23"/>
      <c r="AE15" s="11"/>
      <c r="AF15" s="23"/>
      <c r="AG15" s="11"/>
      <c r="AH15" s="11" t="str">
        <f>VLOOKUP(E15,' Data Lists'!$Z$3:$AA$31,2,)</f>
        <v>IN SERVICE</v>
      </c>
      <c r="AI15" s="7"/>
    </row>
    <row r="16" spans="1:37" ht="15" customHeight="1" x14ac:dyDescent="0.25">
      <c r="A16" s="6" t="s">
        <v>34</v>
      </c>
      <c r="B16" s="7" t="s">
        <v>4</v>
      </c>
      <c r="C16" s="7" t="s">
        <v>21</v>
      </c>
      <c r="D16" s="561" t="s">
        <v>370</v>
      </c>
      <c r="E16" s="7" t="s">
        <v>124</v>
      </c>
      <c r="F16" s="9" t="str">
        <f>VLOOKUP(E16,' Data Lists'!$T$3:$U$31,2,)</f>
        <v>PP3</v>
      </c>
      <c r="G16" s="17" t="s">
        <v>174</v>
      </c>
      <c r="H16" s="49">
        <v>0</v>
      </c>
      <c r="I16" s="44">
        <v>87</v>
      </c>
      <c r="J16" s="82">
        <f>Database[[#This Row],[RATE , M3/D]]*(1-I16/100)</f>
        <v>0</v>
      </c>
      <c r="K16" s="76">
        <v>0</v>
      </c>
      <c r="L16" s="77">
        <v>68.900000000000006</v>
      </c>
      <c r="M16" s="87">
        <f>Database[[#This Row],[ACT , M3/D2]]*(1-L16/100)</f>
        <v>0</v>
      </c>
      <c r="N16" s="53">
        <v>0</v>
      </c>
      <c r="O16" s="54">
        <v>0</v>
      </c>
      <c r="P16" s="54">
        <v>0</v>
      </c>
      <c r="Q16" s="54">
        <v>0</v>
      </c>
      <c r="R16" s="54"/>
      <c r="S16" s="55">
        <v>208</v>
      </c>
      <c r="T16" s="55">
        <v>65</v>
      </c>
      <c r="U16" s="11" t="s">
        <v>151</v>
      </c>
      <c r="V16" s="55">
        <v>249</v>
      </c>
      <c r="W16" s="55"/>
      <c r="X16" s="7"/>
      <c r="Y16" s="7"/>
      <c r="Z16" s="406">
        <v>42619</v>
      </c>
      <c r="AA16" s="7"/>
      <c r="AB16" s="9" t="s">
        <v>11</v>
      </c>
      <c r="AC16" s="24"/>
      <c r="AD16" s="23"/>
      <c r="AE16" s="11"/>
      <c r="AF16" s="23"/>
      <c r="AG16" s="11"/>
      <c r="AH16" s="11" t="str">
        <f>VLOOKUP(E16,' Data Lists'!$Z$3:$AA$31,2,)</f>
        <v>IN SERVICE</v>
      </c>
      <c r="AI16" s="7"/>
    </row>
    <row r="17" spans="1:35" ht="15" customHeight="1" x14ac:dyDescent="0.25">
      <c r="A17" s="6" t="s">
        <v>35</v>
      </c>
      <c r="B17" s="7" t="s">
        <v>7</v>
      </c>
      <c r="C17" s="7" t="s">
        <v>22</v>
      </c>
      <c r="D17" s="561" t="s">
        <v>370</v>
      </c>
      <c r="E17" s="7" t="s">
        <v>111</v>
      </c>
      <c r="F17" s="9" t="str">
        <f>VLOOKUP(E17,' Data Lists'!$T$3:$U$31,2,)</f>
        <v>PP2</v>
      </c>
      <c r="G17" s="17" t="s">
        <v>93</v>
      </c>
      <c r="H17" s="49">
        <v>0</v>
      </c>
      <c r="I17" s="44">
        <v>80</v>
      </c>
      <c r="J17" s="82">
        <f>Database[[#This Row],[RATE , M3/D]]*(1-I17/100)</f>
        <v>0</v>
      </c>
      <c r="K17" s="76">
        <v>200</v>
      </c>
      <c r="L17" s="77">
        <v>97.2</v>
      </c>
      <c r="M17" s="87">
        <f>Database[[#This Row],[ACT , M3/D2]]*(1-L17/100)</f>
        <v>5.600000000000005</v>
      </c>
      <c r="N17" s="53">
        <v>0</v>
      </c>
      <c r="O17" s="54">
        <v>0</v>
      </c>
      <c r="P17" s="54">
        <v>150</v>
      </c>
      <c r="Q17" s="54">
        <v>38</v>
      </c>
      <c r="R17" s="54"/>
      <c r="S17" s="55">
        <v>138</v>
      </c>
      <c r="T17" s="55">
        <v>44</v>
      </c>
      <c r="U17" s="11" t="s">
        <v>152</v>
      </c>
      <c r="V17" s="55">
        <v>240</v>
      </c>
      <c r="W17" s="55"/>
      <c r="X17" s="7"/>
      <c r="Y17" s="7"/>
      <c r="Z17" s="406">
        <v>42722</v>
      </c>
      <c r="AA17" s="7"/>
      <c r="AB17" s="9" t="s">
        <v>11</v>
      </c>
      <c r="AC17" s="24"/>
      <c r="AD17" s="23"/>
      <c r="AE17" s="11"/>
      <c r="AF17" s="23"/>
      <c r="AG17" s="11"/>
      <c r="AH17" s="11" t="str">
        <f>VLOOKUP(E17,' Data Lists'!$Z$3:$AA$31,2,)</f>
        <v xml:space="preserve">OUT OF SERVICE </v>
      </c>
      <c r="AI17" s="7"/>
    </row>
    <row r="18" spans="1:35" ht="15" customHeight="1" x14ac:dyDescent="0.25">
      <c r="A18" s="6" t="s">
        <v>36</v>
      </c>
      <c r="B18" s="16" t="s">
        <v>4</v>
      </c>
      <c r="C18" s="16" t="s">
        <v>22</v>
      </c>
      <c r="D18" s="561" t="s">
        <v>370</v>
      </c>
      <c r="E18" s="7" t="s">
        <v>111</v>
      </c>
      <c r="F18" s="9" t="str">
        <f>VLOOKUP(E18,' Data Lists'!$T$3:$U$31,2,)</f>
        <v>PP2</v>
      </c>
      <c r="G18" s="17" t="s">
        <v>93</v>
      </c>
      <c r="H18" s="49"/>
      <c r="I18" s="44"/>
      <c r="J18" s="82">
        <f>Database[[#This Row],[RATE , M3/D]]*(1-I18/100)</f>
        <v>0</v>
      </c>
      <c r="K18" s="76">
        <v>0</v>
      </c>
      <c r="L18" s="77">
        <v>0</v>
      </c>
      <c r="M18" s="87">
        <f>Database[[#This Row],[ACT , M3/D2]]*(1-L18/100)</f>
        <v>0</v>
      </c>
      <c r="N18" s="53">
        <v>0</v>
      </c>
      <c r="O18" s="54">
        <v>0</v>
      </c>
      <c r="P18" s="54">
        <v>0</v>
      </c>
      <c r="Q18" s="54">
        <v>0</v>
      </c>
      <c r="R18" s="54"/>
      <c r="S18" s="55">
        <v>100</v>
      </c>
      <c r="T18" s="55">
        <v>36</v>
      </c>
      <c r="U18" s="11" t="s">
        <v>146</v>
      </c>
      <c r="V18" s="55">
        <v>310</v>
      </c>
      <c r="W18" s="55"/>
      <c r="X18" s="7"/>
      <c r="Y18" s="7"/>
      <c r="Z18" s="408">
        <v>42740</v>
      </c>
      <c r="AA18" s="7"/>
      <c r="AB18" s="9" t="s">
        <v>11</v>
      </c>
      <c r="AC18" s="24"/>
      <c r="AD18" s="23"/>
      <c r="AE18" s="11"/>
      <c r="AF18" s="23"/>
      <c r="AG18" s="11"/>
      <c r="AH18" s="11" t="str">
        <f>VLOOKUP(E18,' Data Lists'!$Z$3:$AA$31,2,)</f>
        <v xml:space="preserve">OUT OF SERVICE </v>
      </c>
      <c r="AI18" s="7"/>
    </row>
    <row r="19" spans="1:35" ht="15" customHeight="1" x14ac:dyDescent="0.25">
      <c r="A19" s="6" t="s">
        <v>37</v>
      </c>
      <c r="B19" s="16" t="s">
        <v>4</v>
      </c>
      <c r="C19" s="16" t="s">
        <v>21</v>
      </c>
      <c r="D19" s="561" t="s">
        <v>370</v>
      </c>
      <c r="E19" s="7" t="s">
        <v>124</v>
      </c>
      <c r="F19" s="9" t="str">
        <f>VLOOKUP(E19,' Data Lists'!$T$3:$U$31,2,)</f>
        <v>PP3</v>
      </c>
      <c r="G19" s="17" t="s">
        <v>94</v>
      </c>
      <c r="H19" s="49">
        <v>0</v>
      </c>
      <c r="I19" s="44">
        <v>90</v>
      </c>
      <c r="J19" s="82">
        <f>Database[[#This Row],[RATE , M3/D]]*(1-I19/100)</f>
        <v>0</v>
      </c>
      <c r="K19" s="76">
        <v>0</v>
      </c>
      <c r="L19" s="77">
        <v>0</v>
      </c>
      <c r="M19" s="87">
        <f>Database[[#This Row],[ACT , M3/D2]]*(1-L19/100)</f>
        <v>0</v>
      </c>
      <c r="N19" s="53">
        <v>0</v>
      </c>
      <c r="O19" s="54">
        <v>0</v>
      </c>
      <c r="P19" s="54">
        <v>100</v>
      </c>
      <c r="Q19" s="54">
        <v>119</v>
      </c>
      <c r="R19" s="54"/>
      <c r="S19" s="55">
        <v>374</v>
      </c>
      <c r="T19" s="55">
        <v>127</v>
      </c>
      <c r="U19" s="11" t="s">
        <v>153</v>
      </c>
      <c r="V19" s="55">
        <v>234</v>
      </c>
      <c r="W19" s="55"/>
      <c r="X19" s="7"/>
      <c r="Y19" s="7"/>
      <c r="Z19" s="406">
        <v>42629</v>
      </c>
      <c r="AA19" s="7"/>
      <c r="AB19" s="9" t="s">
        <v>11</v>
      </c>
      <c r="AC19" s="24"/>
      <c r="AD19" s="23"/>
      <c r="AE19" s="11"/>
      <c r="AF19" s="23"/>
      <c r="AG19" s="11"/>
      <c r="AH19" s="11" t="str">
        <f>VLOOKUP(E19,' Data Lists'!$Z$3:$AA$31,2,)</f>
        <v>IN SERVICE</v>
      </c>
      <c r="AI19" s="7"/>
    </row>
    <row r="20" spans="1:35" ht="15" customHeight="1" x14ac:dyDescent="0.25">
      <c r="A20" s="6" t="s">
        <v>38</v>
      </c>
      <c r="B20" s="7" t="s">
        <v>4</v>
      </c>
      <c r="C20" s="7" t="s">
        <v>21</v>
      </c>
      <c r="D20" s="561" t="s">
        <v>370</v>
      </c>
      <c r="E20" s="7" t="s">
        <v>124</v>
      </c>
      <c r="F20" s="9" t="str">
        <f>VLOOKUP(E20,' Data Lists'!$T$3:$U$31,2,)</f>
        <v>PP3</v>
      </c>
      <c r="G20" s="17" t="s">
        <v>94</v>
      </c>
      <c r="H20" s="49">
        <v>50</v>
      </c>
      <c r="I20" s="44">
        <v>60</v>
      </c>
      <c r="J20" s="82">
        <f>Database[[#This Row],[RATE , M3/D]]*(1-I20/100)</f>
        <v>20</v>
      </c>
      <c r="K20" s="76">
        <v>60</v>
      </c>
      <c r="L20" s="77">
        <v>95</v>
      </c>
      <c r="M20" s="87">
        <f>Database[[#This Row],[ACT , M3/D2]]*(1-L20/100)</f>
        <v>3.0000000000000027</v>
      </c>
      <c r="N20" s="53">
        <v>342</v>
      </c>
      <c r="O20" s="54">
        <v>0.12</v>
      </c>
      <c r="P20" s="54">
        <v>100</v>
      </c>
      <c r="Q20" s="54">
        <v>21</v>
      </c>
      <c r="R20" s="54"/>
      <c r="S20" s="55">
        <v>73</v>
      </c>
      <c r="T20" s="55">
        <v>27</v>
      </c>
      <c r="U20" s="11" t="s">
        <v>154</v>
      </c>
      <c r="V20" s="55">
        <v>320</v>
      </c>
      <c r="W20" s="55"/>
      <c r="X20" s="7"/>
      <c r="Y20" s="7"/>
      <c r="Z20" s="406">
        <v>42026</v>
      </c>
      <c r="AA20" s="7"/>
      <c r="AB20" s="9" t="s">
        <v>11</v>
      </c>
      <c r="AC20" s="24"/>
      <c r="AD20" s="23"/>
      <c r="AE20" s="11"/>
      <c r="AF20" s="23"/>
      <c r="AG20" s="11"/>
      <c r="AH20" s="11" t="str">
        <f>VLOOKUP(E20,' Data Lists'!$Z$3:$AA$31,2,)</f>
        <v>IN SERVICE</v>
      </c>
      <c r="AI20" s="7"/>
    </row>
    <row r="21" spans="1:35" ht="15" customHeight="1" x14ac:dyDescent="0.25">
      <c r="A21" s="6" t="s">
        <v>39</v>
      </c>
      <c r="B21" s="16" t="s">
        <v>7</v>
      </c>
      <c r="C21" s="16" t="s">
        <v>21</v>
      </c>
      <c r="D21" s="561" t="s">
        <v>370</v>
      </c>
      <c r="E21" s="7" t="s">
        <v>102</v>
      </c>
      <c r="F21" s="9" t="str">
        <f>VLOOKUP(E21,' Data Lists'!$T$3:$U$31,2,)</f>
        <v>PP3</v>
      </c>
      <c r="G21" s="17" t="s">
        <v>95</v>
      </c>
      <c r="H21" s="49">
        <v>200</v>
      </c>
      <c r="I21" s="44">
        <v>95</v>
      </c>
      <c r="J21" s="82">
        <f>Database[[#This Row],[RATE , M3/D]]*(1-I21/100)</f>
        <v>10.000000000000009</v>
      </c>
      <c r="K21" s="76">
        <v>185</v>
      </c>
      <c r="L21" s="77">
        <v>93.3</v>
      </c>
      <c r="M21" s="87">
        <f>Database[[#This Row],[ACT , M3/D2]]*(1-L21/100)</f>
        <v>12.39500000000001</v>
      </c>
      <c r="N21" s="53">
        <v>90</v>
      </c>
      <c r="O21" s="54">
        <v>0.11</v>
      </c>
      <c r="P21" s="54">
        <v>400</v>
      </c>
      <c r="Q21" s="54">
        <v>62</v>
      </c>
      <c r="R21" s="54"/>
      <c r="S21" s="55">
        <v>187</v>
      </c>
      <c r="T21" s="55">
        <v>59</v>
      </c>
      <c r="U21" s="11" t="s">
        <v>155</v>
      </c>
      <c r="V21" s="55">
        <v>238</v>
      </c>
      <c r="W21" s="55"/>
      <c r="X21" s="7"/>
      <c r="Y21" s="7"/>
      <c r="Z21" s="406">
        <v>43638</v>
      </c>
      <c r="AA21" s="7"/>
      <c r="AB21" s="9" t="s">
        <v>10</v>
      </c>
      <c r="AC21" s="24"/>
      <c r="AD21" s="23"/>
      <c r="AE21" s="11"/>
      <c r="AF21" s="23"/>
      <c r="AG21" s="11"/>
      <c r="AH21" s="11" t="str">
        <f>VLOOKUP(E21,' Data Lists'!$Z$3:$AA$31,2,)</f>
        <v>IN SERVICE</v>
      </c>
      <c r="AI21" s="7"/>
    </row>
    <row r="22" spans="1:35" ht="15" customHeight="1" x14ac:dyDescent="0.25">
      <c r="A22" s="6" t="s">
        <v>40</v>
      </c>
      <c r="B22" s="7" t="s">
        <v>7</v>
      </c>
      <c r="C22" s="7" t="s">
        <v>21</v>
      </c>
      <c r="D22" s="561" t="s">
        <v>370</v>
      </c>
      <c r="E22" s="7" t="s">
        <v>120</v>
      </c>
      <c r="F22" s="9" t="str">
        <f>VLOOKUP(E22,' Data Lists'!$T$3:$U$31,2,)</f>
        <v>PP2</v>
      </c>
      <c r="G22" s="17" t="s">
        <v>93</v>
      </c>
      <c r="H22" s="49">
        <v>80</v>
      </c>
      <c r="I22" s="44">
        <v>41</v>
      </c>
      <c r="J22" s="82">
        <f>Database[[#This Row],[RATE , M3/D]]*(1-I22/100)</f>
        <v>47.2</v>
      </c>
      <c r="K22" s="76">
        <v>80</v>
      </c>
      <c r="L22" s="77">
        <v>36.799999999999997</v>
      </c>
      <c r="M22" s="87">
        <f>Database[[#This Row],[ACT , M3/D2]]*(1-L22/100)</f>
        <v>50.56</v>
      </c>
      <c r="N22" s="53">
        <v>110</v>
      </c>
      <c r="O22" s="54">
        <v>0.16</v>
      </c>
      <c r="P22" s="54">
        <v>400</v>
      </c>
      <c r="Q22" s="54">
        <v>22</v>
      </c>
      <c r="R22" s="54"/>
      <c r="S22" s="55">
        <v>133</v>
      </c>
      <c r="T22" s="55">
        <v>30.5</v>
      </c>
      <c r="U22" s="11" t="s">
        <v>147</v>
      </c>
      <c r="V22" s="55">
        <v>309</v>
      </c>
      <c r="W22" s="55"/>
      <c r="X22" s="7"/>
      <c r="Y22" s="7"/>
      <c r="Z22" s="407">
        <v>43414</v>
      </c>
      <c r="AA22" s="7"/>
      <c r="AB22" s="9" t="s">
        <v>11</v>
      </c>
      <c r="AC22" s="24"/>
      <c r="AD22" s="23"/>
      <c r="AE22" s="11"/>
      <c r="AF22" s="23"/>
      <c r="AG22" s="11"/>
      <c r="AH22" s="11" t="str">
        <f>VLOOKUP(E22,' Data Lists'!$Z$3:$AA$31,2,)</f>
        <v>IN SERVICE</v>
      </c>
      <c r="AI22" s="7"/>
    </row>
    <row r="23" spans="1:35" ht="15" customHeight="1" x14ac:dyDescent="0.25">
      <c r="A23" s="6" t="s">
        <v>41</v>
      </c>
      <c r="B23" s="7" t="s">
        <v>4</v>
      </c>
      <c r="C23" s="7" t="s">
        <v>21</v>
      </c>
      <c r="D23" s="561" t="s">
        <v>370</v>
      </c>
      <c r="E23" s="7" t="s">
        <v>120</v>
      </c>
      <c r="F23" s="9" t="str">
        <f>VLOOKUP(E23,' Data Lists'!$T$3:$U$31,2,)</f>
        <v>PP2</v>
      </c>
      <c r="G23" s="17" t="s">
        <v>93</v>
      </c>
      <c r="H23" s="49">
        <v>90</v>
      </c>
      <c r="I23" s="44">
        <v>83.5</v>
      </c>
      <c r="J23" s="82">
        <f>Database[[#This Row],[RATE , M3/D]]*(1-I23/100)</f>
        <v>14.850000000000003</v>
      </c>
      <c r="K23" s="76">
        <v>90</v>
      </c>
      <c r="L23" s="77">
        <v>84.2</v>
      </c>
      <c r="M23" s="87">
        <f>Database[[#This Row],[ACT , M3/D2]]*(1-L23/100)</f>
        <v>14.219999999999992</v>
      </c>
      <c r="N23" s="53">
        <v>100</v>
      </c>
      <c r="O23" s="54">
        <v>0.22</v>
      </c>
      <c r="P23" s="54">
        <v>120</v>
      </c>
      <c r="Q23" s="54">
        <v>33</v>
      </c>
      <c r="R23" s="54"/>
      <c r="S23" s="55">
        <v>133</v>
      </c>
      <c r="T23" s="55">
        <v>46</v>
      </c>
      <c r="U23" s="11" t="s">
        <v>156</v>
      </c>
      <c r="V23" s="55">
        <v>299</v>
      </c>
      <c r="W23" s="55"/>
      <c r="X23" s="7"/>
      <c r="Y23" s="7"/>
      <c r="Z23" s="406">
        <v>42642</v>
      </c>
      <c r="AA23" s="7"/>
      <c r="AB23" s="9" t="s">
        <v>11</v>
      </c>
      <c r="AC23" s="24"/>
      <c r="AD23" s="23"/>
      <c r="AE23" s="11"/>
      <c r="AF23" s="23"/>
      <c r="AG23" s="11"/>
      <c r="AH23" s="11" t="str">
        <f>VLOOKUP(E23,' Data Lists'!$Z$3:$AA$31,2,)</f>
        <v>IN SERVICE</v>
      </c>
      <c r="AI23" s="7"/>
    </row>
    <row r="24" spans="1:35" ht="15" customHeight="1" x14ac:dyDescent="0.25">
      <c r="A24" s="6" t="s">
        <v>42</v>
      </c>
      <c r="B24" s="7" t="s">
        <v>4</v>
      </c>
      <c r="C24" s="7" t="s">
        <v>21</v>
      </c>
      <c r="D24" s="561" t="s">
        <v>370</v>
      </c>
      <c r="E24" s="38" t="s">
        <v>120</v>
      </c>
      <c r="F24" s="9" t="str">
        <f>VLOOKUP(E24,' Data Lists'!$T$3:$U$31,2,)</f>
        <v>PP2</v>
      </c>
      <c r="G24" s="17" t="s">
        <v>93</v>
      </c>
      <c r="H24" s="50">
        <v>30</v>
      </c>
      <c r="I24" s="45">
        <v>3.6</v>
      </c>
      <c r="J24" s="83">
        <f>Database[[#This Row],[RATE , M3/D]]*(1-I24/100)</f>
        <v>28.919999999999998</v>
      </c>
      <c r="K24" s="78">
        <v>30</v>
      </c>
      <c r="L24" s="79">
        <v>4</v>
      </c>
      <c r="M24" s="87">
        <f>Database[[#This Row],[ACT , M3/D2]]*(1-L24/100)</f>
        <v>28.799999999999997</v>
      </c>
      <c r="N24" s="56">
        <v>63</v>
      </c>
      <c r="O24" s="57">
        <v>0.03</v>
      </c>
      <c r="P24" s="57">
        <v>400</v>
      </c>
      <c r="Q24" s="57">
        <v>12</v>
      </c>
      <c r="R24" s="57"/>
      <c r="S24" s="58">
        <v>67</v>
      </c>
      <c r="T24" s="58">
        <v>24</v>
      </c>
      <c r="U24" s="11" t="s">
        <v>158</v>
      </c>
      <c r="V24" s="39">
        <v>450</v>
      </c>
      <c r="W24" s="39"/>
      <c r="X24" s="38"/>
      <c r="Y24" s="38"/>
      <c r="Z24" s="406">
        <v>43973</v>
      </c>
      <c r="AA24" s="38"/>
      <c r="AB24" s="9" t="s">
        <v>2</v>
      </c>
      <c r="AC24" s="24"/>
      <c r="AD24" s="40"/>
      <c r="AE24" s="42"/>
      <c r="AF24" s="41"/>
      <c r="AG24" s="42"/>
      <c r="AH24" s="42" t="str">
        <f>VLOOKUP(E24,' Data Lists'!$Z$3:$AA$31,2,)</f>
        <v>IN SERVICE</v>
      </c>
      <c r="AI24" s="43"/>
    </row>
    <row r="25" spans="1:35" ht="15" customHeight="1" x14ac:dyDescent="0.25">
      <c r="A25" s="6" t="s">
        <v>43</v>
      </c>
      <c r="B25" s="19" t="s">
        <v>4</v>
      </c>
      <c r="C25" s="7" t="s">
        <v>21</v>
      </c>
      <c r="D25" s="561" t="s">
        <v>370</v>
      </c>
      <c r="E25" s="7" t="s">
        <v>95</v>
      </c>
      <c r="F25" s="9" t="str">
        <f>VLOOKUP(E25,' Data Lists'!$T$3:$U$31,2,)</f>
        <v>PP3</v>
      </c>
      <c r="G25" s="17" t="s">
        <v>95</v>
      </c>
      <c r="H25" s="49">
        <v>45</v>
      </c>
      <c r="I25" s="44">
        <v>67.400000000000006</v>
      </c>
      <c r="J25" s="82">
        <f>Database[[#This Row],[RATE , M3/D]]*(1-I25/100)</f>
        <v>14.669999999999998</v>
      </c>
      <c r="K25" s="76">
        <v>50</v>
      </c>
      <c r="L25" s="77">
        <v>20.3</v>
      </c>
      <c r="M25" s="87">
        <f>Database[[#This Row],[ACT , M3/D2]]*(1-L25/100)</f>
        <v>39.849999999999994</v>
      </c>
      <c r="N25" s="53">
        <v>27</v>
      </c>
      <c r="O25" s="54">
        <v>0.03</v>
      </c>
      <c r="P25" s="54">
        <v>400</v>
      </c>
      <c r="Q25" s="54">
        <v>13</v>
      </c>
      <c r="R25" s="54"/>
      <c r="S25" s="55">
        <v>66.7</v>
      </c>
      <c r="T25" s="55">
        <v>24</v>
      </c>
      <c r="U25" s="11" t="s">
        <v>158</v>
      </c>
      <c r="V25" s="55">
        <v>436</v>
      </c>
      <c r="W25" s="55"/>
      <c r="X25" s="7"/>
      <c r="Y25" s="7"/>
      <c r="Z25" s="406">
        <v>44094</v>
      </c>
      <c r="AA25" s="7"/>
      <c r="AB25" s="9" t="s">
        <v>11</v>
      </c>
      <c r="AC25" s="24"/>
      <c r="AD25" s="23"/>
      <c r="AE25" s="32"/>
      <c r="AF25" s="20"/>
      <c r="AG25" s="11"/>
      <c r="AH25" s="11" t="str">
        <f>VLOOKUP(E25,' Data Lists'!$Z$3:$AA$31,2,)</f>
        <v>IN SERVICE</v>
      </c>
      <c r="AI25" s="7"/>
    </row>
    <row r="26" spans="1:35" ht="15" customHeight="1" x14ac:dyDescent="0.25">
      <c r="A26" s="6" t="s">
        <v>44</v>
      </c>
      <c r="B26" s="7" t="s">
        <v>7</v>
      </c>
      <c r="C26" s="7" t="s">
        <v>21</v>
      </c>
      <c r="D26" s="561" t="s">
        <v>370</v>
      </c>
      <c r="E26" s="7" t="s">
        <v>95</v>
      </c>
      <c r="F26" s="9" t="str">
        <f>VLOOKUP(E26,' Data Lists'!$T$3:$U$31,2,)</f>
        <v>PP3</v>
      </c>
      <c r="G26" s="17" t="s">
        <v>95</v>
      </c>
      <c r="H26" s="49">
        <v>180</v>
      </c>
      <c r="I26" s="44">
        <v>66</v>
      </c>
      <c r="J26" s="82">
        <f>Database[[#This Row],[RATE , M3/D]]*(1-I26/100)</f>
        <v>61.199999999999996</v>
      </c>
      <c r="K26" s="76">
        <v>180</v>
      </c>
      <c r="L26" s="77">
        <v>78.2</v>
      </c>
      <c r="M26" s="87">
        <f>Database[[#This Row],[ACT , M3/D2]]*(1-L26/100)</f>
        <v>39.239999999999995</v>
      </c>
      <c r="N26" s="53">
        <v>42</v>
      </c>
      <c r="O26" s="54">
        <v>0.03</v>
      </c>
      <c r="P26" s="54">
        <v>400</v>
      </c>
      <c r="Q26" s="54">
        <v>40</v>
      </c>
      <c r="R26" s="54"/>
      <c r="S26" s="55">
        <v>150</v>
      </c>
      <c r="T26" s="55">
        <v>50</v>
      </c>
      <c r="U26" s="11" t="s">
        <v>182</v>
      </c>
      <c r="V26" s="55">
        <v>195</v>
      </c>
      <c r="W26" s="55"/>
      <c r="X26" s="7"/>
      <c r="Y26" s="7"/>
      <c r="Z26" s="406">
        <v>43825</v>
      </c>
      <c r="AA26" s="7"/>
      <c r="AB26" s="9" t="s">
        <v>11</v>
      </c>
      <c r="AC26" s="23"/>
      <c r="AD26" s="23"/>
      <c r="AE26" s="11"/>
      <c r="AF26" s="23"/>
      <c r="AG26" s="11"/>
      <c r="AH26" s="11" t="str">
        <f>VLOOKUP(E26,' Data Lists'!$Z$3:$AA$31,2,)</f>
        <v>IN SERVICE</v>
      </c>
      <c r="AI26" s="7"/>
    </row>
    <row r="27" spans="1:35" ht="15" customHeight="1" x14ac:dyDescent="0.25">
      <c r="A27" s="6" t="s">
        <v>45</v>
      </c>
      <c r="B27" s="7" t="s">
        <v>7</v>
      </c>
      <c r="C27" s="7" t="s">
        <v>21</v>
      </c>
      <c r="D27" s="561" t="s">
        <v>370</v>
      </c>
      <c r="E27" s="7" t="s">
        <v>95</v>
      </c>
      <c r="F27" s="9" t="str">
        <f>VLOOKUP(E27,' Data Lists'!$T$3:$U$31,2,)</f>
        <v>PP3</v>
      </c>
      <c r="G27" s="17" t="s">
        <v>95</v>
      </c>
      <c r="H27" s="49">
        <v>130</v>
      </c>
      <c r="I27" s="44">
        <v>91.3</v>
      </c>
      <c r="J27" s="82">
        <f>Database[[#This Row],[RATE , M3/D]]*(1-I27/100)</f>
        <v>11.310000000000009</v>
      </c>
      <c r="K27" s="76">
        <v>130</v>
      </c>
      <c r="L27" s="77">
        <v>91.3</v>
      </c>
      <c r="M27" s="87">
        <f>Database[[#This Row],[ACT , M3/D2]]*(1-L27/100)</f>
        <v>11.310000000000009</v>
      </c>
      <c r="N27" s="53">
        <v>83</v>
      </c>
      <c r="O27" s="54">
        <v>0.08</v>
      </c>
      <c r="P27" s="54">
        <v>400</v>
      </c>
      <c r="Q27" s="54">
        <v>29</v>
      </c>
      <c r="R27" s="54"/>
      <c r="S27" s="55">
        <v>133</v>
      </c>
      <c r="T27" s="55">
        <v>46</v>
      </c>
      <c r="U27" s="11" t="s">
        <v>157</v>
      </c>
      <c r="V27" s="55">
        <v>358</v>
      </c>
      <c r="W27" s="55"/>
      <c r="X27" s="7"/>
      <c r="Y27" s="7"/>
      <c r="Z27" s="406">
        <v>44055</v>
      </c>
      <c r="AA27" s="7"/>
      <c r="AB27" s="9" t="s">
        <v>11</v>
      </c>
      <c r="AC27" s="23"/>
      <c r="AD27" s="23"/>
      <c r="AE27" s="11"/>
      <c r="AF27" s="23"/>
      <c r="AG27" s="11"/>
      <c r="AH27" s="11" t="str">
        <f>VLOOKUP(E27,' Data Lists'!$Z$3:$AA$31,2,)</f>
        <v>IN SERVICE</v>
      </c>
      <c r="AI27" s="7"/>
    </row>
    <row r="28" spans="1:35" ht="15" customHeight="1" x14ac:dyDescent="0.25">
      <c r="A28" s="6" t="s">
        <v>46</v>
      </c>
      <c r="B28" s="16" t="s">
        <v>7</v>
      </c>
      <c r="C28" s="16" t="s">
        <v>21</v>
      </c>
      <c r="D28" s="561" t="s">
        <v>370</v>
      </c>
      <c r="E28" s="7" t="s">
        <v>105</v>
      </c>
      <c r="F28" s="9" t="str">
        <f>VLOOKUP(E28,' Data Lists'!$T$3:$U$31,2,)</f>
        <v>PP2</v>
      </c>
      <c r="G28" s="17" t="s">
        <v>177</v>
      </c>
      <c r="H28" s="49">
        <v>170</v>
      </c>
      <c r="I28" s="44">
        <v>90.8</v>
      </c>
      <c r="J28" s="82">
        <f>Database[[#This Row],[RATE , M3/D]]*(1-I28/100)</f>
        <v>15.640000000000015</v>
      </c>
      <c r="K28" s="76">
        <v>170</v>
      </c>
      <c r="L28" s="77">
        <v>82.9</v>
      </c>
      <c r="M28" s="87">
        <f>Database[[#This Row],[ACT , M3/D2]]*(1-L28/100)</f>
        <v>29.06999999999999</v>
      </c>
      <c r="N28" s="53">
        <v>103</v>
      </c>
      <c r="O28" s="54">
        <v>2.5000000000000001E-2</v>
      </c>
      <c r="P28" s="54">
        <v>400</v>
      </c>
      <c r="Q28" s="54">
        <v>44</v>
      </c>
      <c r="R28" s="54"/>
      <c r="S28" s="55">
        <v>167</v>
      </c>
      <c r="T28" s="55">
        <v>60</v>
      </c>
      <c r="U28" s="11" t="s">
        <v>193</v>
      </c>
      <c r="V28" s="55">
        <v>458</v>
      </c>
      <c r="W28" s="55"/>
      <c r="X28" s="7"/>
      <c r="Y28" s="7"/>
      <c r="Z28" s="406">
        <v>43721</v>
      </c>
      <c r="AA28" s="7"/>
      <c r="AB28" s="9" t="s">
        <v>178</v>
      </c>
      <c r="AC28" s="23"/>
      <c r="AD28" s="23"/>
      <c r="AE28" s="11"/>
      <c r="AF28" s="23"/>
      <c r="AG28" s="11"/>
      <c r="AH28" s="11" t="str">
        <f>VLOOKUP(E28,' Data Lists'!$Z$3:$AA$31,2,)</f>
        <v>IN SERVICE</v>
      </c>
      <c r="AI28" s="7"/>
    </row>
    <row r="29" spans="1:35" ht="15" customHeight="1" x14ac:dyDescent="0.25">
      <c r="A29" s="6" t="s">
        <v>334</v>
      </c>
      <c r="B29" s="7" t="s">
        <v>7</v>
      </c>
      <c r="C29" s="7" t="s">
        <v>21</v>
      </c>
      <c r="D29" s="561" t="s">
        <v>370</v>
      </c>
      <c r="E29" s="7" t="s">
        <v>109</v>
      </c>
      <c r="F29" s="9" t="str">
        <f>VLOOKUP(E29,' Data Lists'!$T$3:$U$31,2,)</f>
        <v>PP3</v>
      </c>
      <c r="G29" s="17" t="s">
        <v>95</v>
      </c>
      <c r="H29" s="49">
        <v>0</v>
      </c>
      <c r="I29" s="44">
        <v>95</v>
      </c>
      <c r="J29" s="82">
        <f>Database[[#This Row],[RATE , M3/D]]*(1-I29/100)</f>
        <v>0</v>
      </c>
      <c r="K29" s="76">
        <v>0</v>
      </c>
      <c r="L29" s="77">
        <v>92</v>
      </c>
      <c r="M29" s="87">
        <f>Database[[#This Row],[ACT , M3/D2]]*(1-L29/100)</f>
        <v>0</v>
      </c>
      <c r="N29" s="53">
        <v>0</v>
      </c>
      <c r="O29" s="54">
        <v>0</v>
      </c>
      <c r="P29" s="54">
        <v>400</v>
      </c>
      <c r="Q29" s="54">
        <v>31</v>
      </c>
      <c r="R29" s="54"/>
      <c r="S29" s="55">
        <v>116.7</v>
      </c>
      <c r="T29" s="55">
        <v>39</v>
      </c>
      <c r="U29" s="11" t="s">
        <v>196</v>
      </c>
      <c r="V29" s="55">
        <v>328</v>
      </c>
      <c r="W29" s="55"/>
      <c r="X29" s="7"/>
      <c r="Y29" s="7"/>
      <c r="Z29" s="406">
        <v>43356</v>
      </c>
      <c r="AA29" s="7"/>
      <c r="AB29" s="9" t="s">
        <v>11</v>
      </c>
      <c r="AC29" s="23"/>
      <c r="AD29" s="23"/>
      <c r="AE29" s="11"/>
      <c r="AF29" s="23"/>
      <c r="AG29" s="11"/>
      <c r="AH29" s="11" t="str">
        <f>VLOOKUP(E29,' Data Lists'!$Z$3:$AA$31,2,)</f>
        <v>IN SERVICE</v>
      </c>
      <c r="AI29" s="7"/>
    </row>
    <row r="30" spans="1:35" ht="15" customHeight="1" x14ac:dyDescent="0.25">
      <c r="A30" s="6" t="s">
        <v>48</v>
      </c>
      <c r="B30" s="7" t="s">
        <v>7</v>
      </c>
      <c r="C30" s="7" t="s">
        <v>21</v>
      </c>
      <c r="D30" s="561" t="s">
        <v>370</v>
      </c>
      <c r="E30" s="7" t="s">
        <v>109</v>
      </c>
      <c r="F30" s="9" t="str">
        <f>VLOOKUP(E30,' Data Lists'!$T$3:$U$31,2,)</f>
        <v>PP3</v>
      </c>
      <c r="G30" s="17" t="s">
        <v>94</v>
      </c>
      <c r="H30" s="49">
        <v>150</v>
      </c>
      <c r="I30" s="44">
        <v>90</v>
      </c>
      <c r="J30" s="82">
        <f>Database[[#This Row],[RATE , M3/D]]*(1-I30/100)</f>
        <v>14.999999999999996</v>
      </c>
      <c r="K30" s="76">
        <v>140</v>
      </c>
      <c r="L30" s="77">
        <v>98</v>
      </c>
      <c r="M30" s="87">
        <f>Database[[#This Row],[ACT , M3/D2]]*(1-L30/100)</f>
        <v>2.8000000000000025</v>
      </c>
      <c r="N30" s="53">
        <v>89</v>
      </c>
      <c r="O30" s="54">
        <v>0.06</v>
      </c>
      <c r="P30" s="54">
        <v>500</v>
      </c>
      <c r="Q30" s="54">
        <v>32</v>
      </c>
      <c r="R30" s="54"/>
      <c r="S30" s="55">
        <v>133</v>
      </c>
      <c r="T30" s="55">
        <v>46</v>
      </c>
      <c r="U30" s="11" t="s">
        <v>196</v>
      </c>
      <c r="V30" s="55">
        <v>365</v>
      </c>
      <c r="W30" s="55"/>
      <c r="X30" s="7"/>
      <c r="Y30" s="7"/>
      <c r="Z30" s="407">
        <v>43544</v>
      </c>
      <c r="AA30" s="7"/>
      <c r="AB30" s="9" t="s">
        <v>11</v>
      </c>
      <c r="AC30" s="23"/>
      <c r="AD30" s="23"/>
      <c r="AE30" s="11"/>
      <c r="AF30" s="23"/>
      <c r="AG30" s="11"/>
      <c r="AH30" s="11" t="str">
        <f>VLOOKUP(E30,' Data Lists'!$Z$3:$AA$31,2,)</f>
        <v>IN SERVICE</v>
      </c>
      <c r="AI30" s="7"/>
    </row>
    <row r="31" spans="1:35" ht="15" customHeight="1" x14ac:dyDescent="0.25">
      <c r="A31" s="6" t="s">
        <v>49</v>
      </c>
      <c r="B31" s="7" t="s">
        <v>4</v>
      </c>
      <c r="C31" s="7" t="s">
        <v>21</v>
      </c>
      <c r="D31" s="561" t="s">
        <v>370</v>
      </c>
      <c r="E31" s="7" t="s">
        <v>102</v>
      </c>
      <c r="F31" s="9" t="str">
        <f>VLOOKUP(E31,' Data Lists'!$T$3:$U$31,2,)</f>
        <v>PP3</v>
      </c>
      <c r="G31" s="17" t="s">
        <v>95</v>
      </c>
      <c r="H31" s="49">
        <v>0</v>
      </c>
      <c r="I31" s="44">
        <v>97</v>
      </c>
      <c r="J31" s="82">
        <f>Database[[#This Row],[RATE , M3/D]]*(1-I31/100)</f>
        <v>0</v>
      </c>
      <c r="K31" s="76">
        <v>0</v>
      </c>
      <c r="L31" s="77">
        <v>92.7</v>
      </c>
      <c r="M31" s="87">
        <f>Database[[#This Row],[ACT , M3/D2]]*(1-L31/100)</f>
        <v>0</v>
      </c>
      <c r="N31" s="53">
        <v>0</v>
      </c>
      <c r="O31" s="54">
        <v>0</v>
      </c>
      <c r="P31" s="54">
        <v>400</v>
      </c>
      <c r="Q31" s="54">
        <v>29</v>
      </c>
      <c r="R31" s="54"/>
      <c r="S31" s="55">
        <v>100</v>
      </c>
      <c r="T31" s="55">
        <v>46</v>
      </c>
      <c r="U31" s="11" t="s">
        <v>156</v>
      </c>
      <c r="V31" s="55">
        <v>270</v>
      </c>
      <c r="W31" s="55"/>
      <c r="X31" s="7"/>
      <c r="Y31" s="7"/>
      <c r="Z31" s="407">
        <v>43452</v>
      </c>
      <c r="AA31" s="7"/>
      <c r="AB31" s="9" t="s">
        <v>11</v>
      </c>
      <c r="AC31" s="23"/>
      <c r="AD31" s="23"/>
      <c r="AE31" s="11"/>
      <c r="AF31" s="23"/>
      <c r="AG31" s="11"/>
      <c r="AH31" s="11" t="str">
        <f>VLOOKUP(E31,' Data Lists'!$Z$3:$AA$31,2,)</f>
        <v>IN SERVICE</v>
      </c>
      <c r="AI31" s="7"/>
    </row>
    <row r="32" spans="1:35" ht="15" customHeight="1" x14ac:dyDescent="0.25">
      <c r="A32" s="6" t="s">
        <v>50</v>
      </c>
      <c r="B32" s="18" t="s">
        <v>7</v>
      </c>
      <c r="C32" s="18" t="s">
        <v>21</v>
      </c>
      <c r="D32" s="561" t="s">
        <v>370</v>
      </c>
      <c r="E32" s="7" t="s">
        <v>113</v>
      </c>
      <c r="F32" s="9" t="str">
        <f>VLOOKUP(E32,' Data Lists'!$T$3:$U$31,2,)</f>
        <v>PP2</v>
      </c>
      <c r="G32" s="17" t="s">
        <v>93</v>
      </c>
      <c r="H32" s="49">
        <v>0</v>
      </c>
      <c r="I32" s="44">
        <v>98</v>
      </c>
      <c r="J32" s="82">
        <f>Database[[#This Row],[RATE , M3/D]]*(1-I32/100)</f>
        <v>0</v>
      </c>
      <c r="K32" s="76">
        <v>0</v>
      </c>
      <c r="L32" s="77">
        <v>96</v>
      </c>
      <c r="M32" s="87">
        <f>Database[[#This Row],[ACT , M3/D2]]*(1-L32/100)</f>
        <v>0</v>
      </c>
      <c r="N32" s="53">
        <v>0</v>
      </c>
      <c r="O32" s="54">
        <v>0</v>
      </c>
      <c r="P32" s="54">
        <v>0</v>
      </c>
      <c r="Q32" s="54">
        <v>25</v>
      </c>
      <c r="R32" s="54"/>
      <c r="S32" s="55">
        <v>100</v>
      </c>
      <c r="T32" s="55">
        <v>35</v>
      </c>
      <c r="U32" s="11" t="s">
        <v>186</v>
      </c>
      <c r="V32" s="55">
        <v>377</v>
      </c>
      <c r="W32" s="55"/>
      <c r="X32" s="7"/>
      <c r="Y32" s="7"/>
      <c r="Z32" s="406">
        <v>43715</v>
      </c>
      <c r="AA32" s="7"/>
      <c r="AB32" s="9" t="s">
        <v>179</v>
      </c>
      <c r="AC32" s="20"/>
      <c r="AD32" s="23"/>
      <c r="AE32" s="11"/>
      <c r="AF32" s="20"/>
      <c r="AG32" s="11"/>
      <c r="AH32" s="11" t="str">
        <f>VLOOKUP(E32,' Data Lists'!$Z$3:$AA$31,2,)</f>
        <v>IN SERVICE</v>
      </c>
      <c r="AI32" s="7"/>
    </row>
    <row r="33" spans="1:35" ht="15" customHeight="1" x14ac:dyDescent="0.25">
      <c r="A33" s="6" t="s">
        <v>52</v>
      </c>
      <c r="B33" s="7" t="s">
        <v>7</v>
      </c>
      <c r="C33" s="7" t="s">
        <v>21</v>
      </c>
      <c r="D33" s="561" t="s">
        <v>370</v>
      </c>
      <c r="E33" s="7" t="s">
        <v>107</v>
      </c>
      <c r="F33" s="9" t="str">
        <f>VLOOKUP(E33,' Data Lists'!$T$3:$U$31,2,)</f>
        <v>PP2</v>
      </c>
      <c r="G33" s="17" t="s">
        <v>177</v>
      </c>
      <c r="H33" s="49">
        <v>100</v>
      </c>
      <c r="I33" s="44">
        <v>80</v>
      </c>
      <c r="J33" s="82">
        <f>Database[[#This Row],[RATE , M3/D]]*(1-I33/100)</f>
        <v>19.999999999999996</v>
      </c>
      <c r="K33" s="76">
        <v>75</v>
      </c>
      <c r="L33" s="77">
        <v>66.900000000000006</v>
      </c>
      <c r="M33" s="87">
        <f>Database[[#This Row],[ACT , M3/D2]]*(1-L33/100)</f>
        <v>24.824999999999996</v>
      </c>
      <c r="N33" s="53">
        <v>69</v>
      </c>
      <c r="O33" s="54">
        <v>0.14000000000000001</v>
      </c>
      <c r="P33" s="54">
        <v>400</v>
      </c>
      <c r="Q33" s="54">
        <v>29</v>
      </c>
      <c r="R33" s="54"/>
      <c r="S33" s="55">
        <v>93</v>
      </c>
      <c r="T33" s="55">
        <v>32</v>
      </c>
      <c r="U33" s="11" t="s">
        <v>185</v>
      </c>
      <c r="V33" s="55">
        <v>332</v>
      </c>
      <c r="W33" s="55"/>
      <c r="X33" s="7"/>
      <c r="Y33" s="7"/>
      <c r="Z33" s="406">
        <v>42845</v>
      </c>
      <c r="AA33" s="7"/>
      <c r="AB33" s="9" t="s">
        <v>179</v>
      </c>
      <c r="AC33" s="23"/>
      <c r="AD33" s="23" t="s">
        <v>163</v>
      </c>
      <c r="AE33" s="11"/>
      <c r="AF33" s="23"/>
      <c r="AG33" s="11"/>
      <c r="AH33" s="11" t="str">
        <f>VLOOKUP(E33,' Data Lists'!$Z$3:$AA$31,2,)</f>
        <v>IN SERVICE</v>
      </c>
      <c r="AI33" s="7"/>
    </row>
    <row r="34" spans="1:35" ht="15" customHeight="1" x14ac:dyDescent="0.25">
      <c r="A34" s="6" t="s">
        <v>51</v>
      </c>
      <c r="B34" s="16" t="s">
        <v>7</v>
      </c>
      <c r="C34" s="7" t="s">
        <v>21</v>
      </c>
      <c r="D34" s="561" t="s">
        <v>370</v>
      </c>
      <c r="E34" s="7" t="s">
        <v>104</v>
      </c>
      <c r="F34" s="9" t="str">
        <f>VLOOKUP(E34,' Data Lists'!$T$3:$U$31,2,)</f>
        <v>PP2</v>
      </c>
      <c r="G34" s="17" t="s">
        <v>177</v>
      </c>
      <c r="H34" s="49">
        <v>0</v>
      </c>
      <c r="I34" s="44">
        <v>87</v>
      </c>
      <c r="J34" s="82">
        <f>Database[[#This Row],[RATE , M3/D]]*(1-I34/100)</f>
        <v>0</v>
      </c>
      <c r="K34" s="76">
        <v>0</v>
      </c>
      <c r="L34" s="77">
        <v>91.4</v>
      </c>
      <c r="M34" s="87">
        <f>Database[[#This Row],[ACT , M3/D2]]*(1-L34/100)</f>
        <v>0</v>
      </c>
      <c r="N34" s="53">
        <v>0</v>
      </c>
      <c r="O34" s="54">
        <v>0</v>
      </c>
      <c r="P34" s="54">
        <v>400</v>
      </c>
      <c r="Q34" s="54">
        <v>46</v>
      </c>
      <c r="R34" s="54"/>
      <c r="S34" s="55">
        <v>187.5</v>
      </c>
      <c r="T34" s="55">
        <v>62</v>
      </c>
      <c r="U34" s="11" t="s">
        <v>195</v>
      </c>
      <c r="V34" s="55">
        <v>255</v>
      </c>
      <c r="W34" s="55"/>
      <c r="X34" s="7"/>
      <c r="Y34" s="7"/>
      <c r="Z34" s="406">
        <v>43152</v>
      </c>
      <c r="AA34" s="7"/>
      <c r="AB34" s="9" t="s">
        <v>179</v>
      </c>
      <c r="AC34" s="23"/>
      <c r="AD34" s="23"/>
      <c r="AE34" s="11"/>
      <c r="AF34" s="23"/>
      <c r="AG34" s="11"/>
      <c r="AH34" s="11" t="str">
        <f>VLOOKUP(E34,' Data Lists'!$Z$3:$AA$31,2,)</f>
        <v xml:space="preserve">OUT OF SERVICE </v>
      </c>
      <c r="AI34" s="7"/>
    </row>
    <row r="35" spans="1:35" ht="15" customHeight="1" x14ac:dyDescent="0.25">
      <c r="A35" s="6" t="s">
        <v>53</v>
      </c>
      <c r="B35" s="7" t="s">
        <v>4</v>
      </c>
      <c r="C35" s="7" t="s">
        <v>21</v>
      </c>
      <c r="D35" s="561" t="s">
        <v>370</v>
      </c>
      <c r="E35" s="7" t="s">
        <v>112</v>
      </c>
      <c r="F35" s="9" t="str">
        <f>VLOOKUP(E35,' Data Lists'!$T$3:$U$31,2,)</f>
        <v>PP2</v>
      </c>
      <c r="G35" s="17" t="s">
        <v>177</v>
      </c>
      <c r="H35" s="49">
        <v>0</v>
      </c>
      <c r="I35" s="44">
        <v>0</v>
      </c>
      <c r="J35" s="82">
        <f>Database[[#This Row],[RATE , M3/D]]*(1-I35/100)</f>
        <v>0</v>
      </c>
      <c r="K35" s="76">
        <v>35</v>
      </c>
      <c r="L35" s="77">
        <v>67.8</v>
      </c>
      <c r="M35" s="87">
        <f>Database[[#This Row],[ACT , M3/D2]]*(1-L35/100)</f>
        <v>11.270000000000003</v>
      </c>
      <c r="N35" s="53"/>
      <c r="O35" s="54"/>
      <c r="P35" s="54">
        <v>400</v>
      </c>
      <c r="Q35" s="54">
        <v>18</v>
      </c>
      <c r="R35" s="54"/>
      <c r="S35" s="55">
        <v>58</v>
      </c>
      <c r="T35" s="55">
        <v>22</v>
      </c>
      <c r="U35" s="11" t="s">
        <v>154</v>
      </c>
      <c r="V35" s="55">
        <v>248</v>
      </c>
      <c r="W35" s="55"/>
      <c r="X35" s="7"/>
      <c r="Y35" s="7"/>
      <c r="Z35" s="403" t="s">
        <v>335</v>
      </c>
      <c r="AA35" s="7"/>
      <c r="AB35" s="9" t="s">
        <v>179</v>
      </c>
      <c r="AC35" s="23"/>
      <c r="AD35" s="23" t="s">
        <v>163</v>
      </c>
      <c r="AE35" s="11"/>
      <c r="AF35" s="23"/>
      <c r="AG35" s="11"/>
      <c r="AH35" s="11" t="str">
        <f>VLOOKUP(E35,' Data Lists'!$Z$3:$AA$31,2,)</f>
        <v>IN SERVICE</v>
      </c>
      <c r="AI35" s="7"/>
    </row>
    <row r="36" spans="1:35" ht="15" customHeight="1" x14ac:dyDescent="0.25">
      <c r="A36" s="6" t="s">
        <v>54</v>
      </c>
      <c r="B36" s="7" t="s">
        <v>7</v>
      </c>
      <c r="C36" s="7" t="s">
        <v>21</v>
      </c>
      <c r="D36" s="561" t="s">
        <v>370</v>
      </c>
      <c r="E36" s="7" t="s">
        <v>109</v>
      </c>
      <c r="F36" s="9" t="str">
        <f>VLOOKUP(E36,' Data Lists'!$T$3:$U$31,2,)</f>
        <v>PP3</v>
      </c>
      <c r="G36" s="17" t="s">
        <v>95</v>
      </c>
      <c r="H36" s="49">
        <v>150</v>
      </c>
      <c r="I36" s="44">
        <v>80</v>
      </c>
      <c r="J36" s="82">
        <f>Database[[#This Row],[RATE , M3/D]]*(1-I36/100)</f>
        <v>29.999999999999993</v>
      </c>
      <c r="K36" s="76">
        <v>180</v>
      </c>
      <c r="L36" s="77">
        <v>69.599999999999994</v>
      </c>
      <c r="M36" s="87">
        <f>Database[[#This Row],[ACT , M3/D2]]*(1-L36/100)</f>
        <v>54.720000000000006</v>
      </c>
      <c r="N36" s="53">
        <v>33</v>
      </c>
      <c r="O36" s="54">
        <v>0.08</v>
      </c>
      <c r="P36" s="54">
        <v>400</v>
      </c>
      <c r="Q36" s="54">
        <v>30</v>
      </c>
      <c r="R36" s="54"/>
      <c r="S36" s="55">
        <v>150</v>
      </c>
      <c r="T36" s="55">
        <v>50</v>
      </c>
      <c r="U36" s="11" t="s">
        <v>157</v>
      </c>
      <c r="V36" s="55">
        <v>370</v>
      </c>
      <c r="W36" s="55"/>
      <c r="X36" s="7"/>
      <c r="Y36" s="7"/>
      <c r="Z36" s="402" t="s">
        <v>335</v>
      </c>
      <c r="AA36" s="7"/>
      <c r="AB36" s="9" t="s">
        <v>11</v>
      </c>
      <c r="AC36" s="23"/>
      <c r="AD36" s="23"/>
      <c r="AE36" s="11"/>
      <c r="AF36" s="23"/>
      <c r="AG36" s="11"/>
      <c r="AH36" s="11" t="str">
        <f>VLOOKUP(E36,' Data Lists'!$Z$3:$AA$31,2,)</f>
        <v>IN SERVICE</v>
      </c>
      <c r="AI36" s="7"/>
    </row>
    <row r="37" spans="1:35" ht="15" customHeight="1" x14ac:dyDescent="0.25">
      <c r="A37" s="6" t="s">
        <v>55</v>
      </c>
      <c r="B37" s="17" t="s">
        <v>7</v>
      </c>
      <c r="C37" s="7" t="s">
        <v>21</v>
      </c>
      <c r="D37" s="561" t="s">
        <v>370</v>
      </c>
      <c r="E37" s="7" t="s">
        <v>95</v>
      </c>
      <c r="F37" s="9" t="str">
        <f>VLOOKUP(E37,' Data Lists'!$T$3:$U$31,2,)</f>
        <v>PP3</v>
      </c>
      <c r="G37" s="17" t="s">
        <v>95</v>
      </c>
      <c r="H37" s="49">
        <v>80</v>
      </c>
      <c r="I37" s="44">
        <v>93</v>
      </c>
      <c r="J37" s="82">
        <f>Database[[#This Row],[RATE , M3/D]]*(1-I37/100)</f>
        <v>5.5999999999999961</v>
      </c>
      <c r="K37" s="76">
        <v>80</v>
      </c>
      <c r="L37" s="77">
        <v>74.3</v>
      </c>
      <c r="M37" s="87">
        <f>Database[[#This Row],[ACT , M3/D2]]*(1-L37/100)</f>
        <v>20.560000000000002</v>
      </c>
      <c r="N37" s="53">
        <v>265</v>
      </c>
      <c r="O37" s="54">
        <v>0.32</v>
      </c>
      <c r="P37" s="54">
        <v>130</v>
      </c>
      <c r="Q37" s="54">
        <v>31</v>
      </c>
      <c r="R37" s="54"/>
      <c r="S37" s="55">
        <v>104</v>
      </c>
      <c r="T37" s="55">
        <v>39</v>
      </c>
      <c r="U37" s="11" t="s">
        <v>148</v>
      </c>
      <c r="V37" s="55">
        <v>285</v>
      </c>
      <c r="W37" s="55"/>
      <c r="X37" s="7"/>
      <c r="Y37" s="7"/>
      <c r="Z37" s="406">
        <v>43326</v>
      </c>
      <c r="AA37" s="7"/>
      <c r="AB37" s="9" t="s">
        <v>11</v>
      </c>
      <c r="AC37" s="28"/>
      <c r="AD37" s="23"/>
      <c r="AE37" s="11"/>
      <c r="AF37" s="28"/>
      <c r="AG37" s="11"/>
      <c r="AH37" s="11" t="str">
        <f>VLOOKUP(E37,' Data Lists'!$Z$3:$AA$31,2,)</f>
        <v>IN SERVICE</v>
      </c>
      <c r="AI37" s="7"/>
    </row>
    <row r="38" spans="1:35" ht="15" customHeight="1" x14ac:dyDescent="0.25">
      <c r="A38" s="6" t="s">
        <v>56</v>
      </c>
      <c r="B38" s="12" t="s">
        <v>7</v>
      </c>
      <c r="C38" s="12" t="s">
        <v>21</v>
      </c>
      <c r="D38" s="561" t="s">
        <v>370</v>
      </c>
      <c r="E38" s="7" t="s">
        <v>97</v>
      </c>
      <c r="F38" s="9" t="str">
        <f>VLOOKUP(E38,' Data Lists'!$T$3:$U$31,2,)</f>
        <v>PP2/PP3</v>
      </c>
      <c r="G38" s="17" t="s">
        <v>94</v>
      </c>
      <c r="H38" s="49">
        <v>170</v>
      </c>
      <c r="I38" s="44">
        <v>85</v>
      </c>
      <c r="J38" s="82">
        <f>Database[[#This Row],[RATE , M3/D]]*(1-I38/100)</f>
        <v>25.500000000000004</v>
      </c>
      <c r="K38" s="76">
        <v>170</v>
      </c>
      <c r="L38" s="77">
        <v>85.4</v>
      </c>
      <c r="M38" s="87">
        <f>Database[[#This Row],[ACT , M3/D2]]*(1-L38/100)</f>
        <v>24.819999999999986</v>
      </c>
      <c r="N38" s="53">
        <v>71</v>
      </c>
      <c r="O38" s="54">
        <v>0.04</v>
      </c>
      <c r="P38" s="54">
        <v>500</v>
      </c>
      <c r="Q38" s="54">
        <v>37</v>
      </c>
      <c r="R38" s="54"/>
      <c r="S38" s="55">
        <v>146</v>
      </c>
      <c r="T38" s="55">
        <v>48</v>
      </c>
      <c r="U38" s="11" t="s">
        <v>149</v>
      </c>
      <c r="V38" s="55">
        <v>201</v>
      </c>
      <c r="W38" s="55"/>
      <c r="X38" s="7"/>
      <c r="Y38" s="7"/>
      <c r="Z38" s="406">
        <v>42538</v>
      </c>
      <c r="AA38" s="7"/>
      <c r="AB38" s="9" t="s">
        <v>11</v>
      </c>
      <c r="AC38" s="28"/>
      <c r="AD38" s="23"/>
      <c r="AE38" s="11"/>
      <c r="AF38" s="28"/>
      <c r="AG38" s="11"/>
      <c r="AH38" s="11" t="str">
        <f>VLOOKUP(E38,' Data Lists'!$Z$3:$AA$31,2,)</f>
        <v>IN SERVICE</v>
      </c>
      <c r="AI38" s="7"/>
    </row>
    <row r="39" spans="1:35" ht="15" customHeight="1" x14ac:dyDescent="0.25">
      <c r="A39" s="6" t="s">
        <v>57</v>
      </c>
      <c r="B39" s="17" t="s">
        <v>7</v>
      </c>
      <c r="C39" s="7" t="s">
        <v>21</v>
      </c>
      <c r="D39" s="561" t="s">
        <v>370</v>
      </c>
      <c r="E39" s="7" t="s">
        <v>104</v>
      </c>
      <c r="F39" s="9" t="str">
        <f>VLOOKUP(E39,' Data Lists'!$T$3:$U$31,2,)</f>
        <v>PP2</v>
      </c>
      <c r="G39" s="17" t="s">
        <v>93</v>
      </c>
      <c r="H39" s="49">
        <v>80</v>
      </c>
      <c r="I39" s="44">
        <v>46</v>
      </c>
      <c r="J39" s="82">
        <f>Database[[#This Row],[RATE , M3/D]]*(1-I39/100)</f>
        <v>43.2</v>
      </c>
      <c r="K39" s="76">
        <v>70</v>
      </c>
      <c r="L39" s="77">
        <v>68.8</v>
      </c>
      <c r="M39" s="87">
        <f>Database[[#This Row],[ACT , M3/D2]]*(1-L39/100)</f>
        <v>21.840000000000003</v>
      </c>
      <c r="N39" s="53">
        <v>117</v>
      </c>
      <c r="O39" s="54">
        <v>0.08</v>
      </c>
      <c r="P39" s="54">
        <v>400</v>
      </c>
      <c r="Q39" s="54">
        <v>22</v>
      </c>
      <c r="R39" s="54"/>
      <c r="S39" s="55">
        <v>83.5</v>
      </c>
      <c r="T39" s="55">
        <v>28.5</v>
      </c>
      <c r="U39" s="11" t="s">
        <v>183</v>
      </c>
      <c r="V39" s="55">
        <v>510</v>
      </c>
      <c r="W39" s="55"/>
      <c r="X39" s="7"/>
      <c r="Y39" s="7"/>
      <c r="Z39" s="406">
        <v>43628</v>
      </c>
      <c r="AA39" s="7"/>
      <c r="AB39" s="9" t="s">
        <v>11</v>
      </c>
      <c r="AC39" s="28"/>
      <c r="AD39" s="23"/>
      <c r="AE39" s="11"/>
      <c r="AF39" s="28"/>
      <c r="AG39" s="11"/>
      <c r="AH39" s="11" t="str">
        <f>VLOOKUP(E39,' Data Lists'!$Z$3:$AA$31,2,)</f>
        <v xml:space="preserve">OUT OF SERVICE </v>
      </c>
      <c r="AI39" s="7"/>
    </row>
    <row r="40" spans="1:35" ht="15" customHeight="1" x14ac:dyDescent="0.25">
      <c r="A40" s="6" t="s">
        <v>58</v>
      </c>
      <c r="B40" s="17" t="s">
        <v>7</v>
      </c>
      <c r="C40" s="17" t="s">
        <v>21</v>
      </c>
      <c r="D40" s="561" t="s">
        <v>370</v>
      </c>
      <c r="E40" s="7" t="s">
        <v>105</v>
      </c>
      <c r="F40" s="9" t="str">
        <f>VLOOKUP(E40,' Data Lists'!$T$3:$U$31,2,)</f>
        <v>PP2</v>
      </c>
      <c r="G40" s="17" t="s">
        <v>93</v>
      </c>
      <c r="H40" s="49">
        <v>50</v>
      </c>
      <c r="I40" s="44">
        <v>53.2</v>
      </c>
      <c r="J40" s="82">
        <f>Database[[#This Row],[RATE , M3/D]]*(1-I40/100)</f>
        <v>23.4</v>
      </c>
      <c r="K40" s="76">
        <v>50</v>
      </c>
      <c r="L40" s="77">
        <v>82.2</v>
      </c>
      <c r="M40" s="87">
        <f>Database[[#This Row],[ACT , M3/D2]]*(1-L40/100)</f>
        <v>8.8999999999999968</v>
      </c>
      <c r="N40" s="53">
        <v>68</v>
      </c>
      <c r="O40" s="54">
        <v>1.9E-2</v>
      </c>
      <c r="P40" s="54">
        <v>400</v>
      </c>
      <c r="Q40" s="54">
        <v>19</v>
      </c>
      <c r="R40" s="54"/>
      <c r="S40" s="55">
        <v>83</v>
      </c>
      <c r="T40" s="55">
        <v>28.5</v>
      </c>
      <c r="U40" s="11" t="s">
        <v>184</v>
      </c>
      <c r="V40" s="55">
        <v>272</v>
      </c>
      <c r="W40" s="55"/>
      <c r="X40" s="7"/>
      <c r="Y40" s="7"/>
      <c r="Z40" s="406">
        <v>43429</v>
      </c>
      <c r="AA40" s="7"/>
      <c r="AB40" s="9" t="s">
        <v>178</v>
      </c>
      <c r="AC40" s="28"/>
      <c r="AD40" s="23"/>
      <c r="AE40" s="11"/>
      <c r="AF40" s="28"/>
      <c r="AG40" s="11"/>
      <c r="AH40" s="11" t="str">
        <f>VLOOKUP(E40,' Data Lists'!$Z$3:$AA$31,2,)</f>
        <v>IN SERVICE</v>
      </c>
      <c r="AI40" s="7"/>
    </row>
    <row r="41" spans="1:35" ht="15" customHeight="1" x14ac:dyDescent="0.25">
      <c r="A41" s="6" t="s">
        <v>59</v>
      </c>
      <c r="B41" s="17" t="s">
        <v>7</v>
      </c>
      <c r="C41" s="7" t="s">
        <v>21</v>
      </c>
      <c r="D41" s="561" t="s">
        <v>370</v>
      </c>
      <c r="E41" s="7" t="s">
        <v>109</v>
      </c>
      <c r="F41" s="9" t="str">
        <f>VLOOKUP(E41,' Data Lists'!$T$3:$U$31,2,)</f>
        <v>PP3</v>
      </c>
      <c r="G41" s="17" t="s">
        <v>94</v>
      </c>
      <c r="H41" s="49">
        <v>90</v>
      </c>
      <c r="I41" s="44">
        <v>50.7</v>
      </c>
      <c r="J41" s="82">
        <f>Database[[#This Row],[RATE , M3/D]]*(1-I41/100)</f>
        <v>44.37</v>
      </c>
      <c r="K41" s="76">
        <v>100</v>
      </c>
      <c r="L41" s="77">
        <v>65.5</v>
      </c>
      <c r="M41" s="87">
        <f>Database[[#This Row],[ACT , M3/D2]]*(1-L41/100)</f>
        <v>34.5</v>
      </c>
      <c r="N41" s="53">
        <v>74</v>
      </c>
      <c r="O41" s="54">
        <v>1.2E-2</v>
      </c>
      <c r="P41" s="54">
        <v>500</v>
      </c>
      <c r="Q41" s="54">
        <v>23</v>
      </c>
      <c r="R41" s="54"/>
      <c r="S41" s="55">
        <v>95</v>
      </c>
      <c r="T41" s="55">
        <v>30</v>
      </c>
      <c r="U41" s="11" t="s">
        <v>148</v>
      </c>
      <c r="V41" s="55">
        <v>190</v>
      </c>
      <c r="W41" s="55"/>
      <c r="X41" s="7"/>
      <c r="Y41" s="7"/>
      <c r="Z41" s="406">
        <v>43577</v>
      </c>
      <c r="AA41" s="7"/>
      <c r="AB41" s="9" t="s">
        <v>11</v>
      </c>
      <c r="AC41" s="28"/>
      <c r="AD41" s="23"/>
      <c r="AE41" s="11"/>
      <c r="AF41" s="28"/>
      <c r="AG41" s="11"/>
      <c r="AH41" s="11" t="str">
        <f>VLOOKUP(E41,' Data Lists'!$Z$3:$AA$31,2,)</f>
        <v>IN SERVICE</v>
      </c>
      <c r="AI41" s="7"/>
    </row>
    <row r="42" spans="1:35" ht="15" customHeight="1" x14ac:dyDescent="0.25">
      <c r="A42" s="6" t="s">
        <v>60</v>
      </c>
      <c r="B42" s="17" t="s">
        <v>7</v>
      </c>
      <c r="C42" s="7" t="s">
        <v>21</v>
      </c>
      <c r="D42" s="561" t="s">
        <v>370</v>
      </c>
      <c r="E42" s="7" t="s">
        <v>107</v>
      </c>
      <c r="F42" s="9" t="str">
        <f>VLOOKUP(E42,' Data Lists'!$T$3:$U$31,2,)</f>
        <v>PP2</v>
      </c>
      <c r="G42" s="17" t="s">
        <v>93</v>
      </c>
      <c r="H42" s="49">
        <v>140</v>
      </c>
      <c r="I42" s="44">
        <v>86</v>
      </c>
      <c r="J42" s="82">
        <f>Database[[#This Row],[RATE , M3/D]]*(1-I42/100)</f>
        <v>19.600000000000001</v>
      </c>
      <c r="K42" s="76">
        <v>115</v>
      </c>
      <c r="L42" s="77">
        <v>88.9</v>
      </c>
      <c r="M42" s="87">
        <f>Database[[#This Row],[ACT , M3/D2]]*(1-L42/100)</f>
        <v>12.764999999999999</v>
      </c>
      <c r="N42" s="53">
        <v>208</v>
      </c>
      <c r="O42" s="54">
        <v>0.14000000000000001</v>
      </c>
      <c r="P42" s="54">
        <v>400</v>
      </c>
      <c r="Q42" s="54">
        <v>31</v>
      </c>
      <c r="R42" s="54"/>
      <c r="S42" s="55">
        <v>125</v>
      </c>
      <c r="T42" s="55">
        <v>45</v>
      </c>
      <c r="U42" s="11" t="s">
        <v>185</v>
      </c>
      <c r="V42" s="55">
        <v>400</v>
      </c>
      <c r="W42" s="55"/>
      <c r="X42" s="7"/>
      <c r="Y42" s="7"/>
      <c r="Z42" s="406">
        <v>42861</v>
      </c>
      <c r="AA42" s="7"/>
      <c r="AB42" s="9" t="s">
        <v>178</v>
      </c>
      <c r="AC42" s="23"/>
      <c r="AD42" s="28"/>
      <c r="AE42" s="11"/>
      <c r="AF42" s="28"/>
      <c r="AG42" s="11"/>
      <c r="AH42" s="11" t="str">
        <f>VLOOKUP(E42,' Data Lists'!$Z$3:$AA$31,2,)</f>
        <v>IN SERVICE</v>
      </c>
      <c r="AI42" s="7"/>
    </row>
    <row r="43" spans="1:35" ht="15" customHeight="1" x14ac:dyDescent="0.25">
      <c r="A43" s="6" t="s">
        <v>61</v>
      </c>
      <c r="B43" s="17" t="s">
        <v>7</v>
      </c>
      <c r="C43" s="7" t="s">
        <v>21</v>
      </c>
      <c r="D43" s="561" t="s">
        <v>370</v>
      </c>
      <c r="E43" s="7" t="s">
        <v>107</v>
      </c>
      <c r="F43" s="9" t="str">
        <f>VLOOKUP(E43,' Data Lists'!$T$3:$U$31,2,)</f>
        <v>PP2</v>
      </c>
      <c r="G43" s="17" t="s">
        <v>93</v>
      </c>
      <c r="H43" s="49">
        <v>90</v>
      </c>
      <c r="I43" s="44">
        <v>51</v>
      </c>
      <c r="J43" s="82">
        <f>Database[[#This Row],[RATE , M3/D]]*(1-I43/100)</f>
        <v>44.1</v>
      </c>
      <c r="K43" s="76">
        <v>80</v>
      </c>
      <c r="L43" s="77">
        <v>58.5</v>
      </c>
      <c r="M43" s="87">
        <f>Database[[#This Row],[ACT , M3/D2]]*(1-L43/100)</f>
        <v>33.200000000000003</v>
      </c>
      <c r="N43" s="53">
        <v>118</v>
      </c>
      <c r="O43" s="54">
        <v>0.15</v>
      </c>
      <c r="P43" s="54">
        <v>500</v>
      </c>
      <c r="Q43" s="54">
        <v>24</v>
      </c>
      <c r="R43" s="54"/>
      <c r="S43" s="55">
        <v>104</v>
      </c>
      <c r="T43" s="55">
        <v>39</v>
      </c>
      <c r="U43" s="11" t="s">
        <v>159</v>
      </c>
      <c r="V43" s="55">
        <v>259</v>
      </c>
      <c r="W43" s="55"/>
      <c r="X43" s="7"/>
      <c r="Y43" s="7"/>
      <c r="Z43" s="406">
        <v>43311</v>
      </c>
      <c r="AA43" s="7"/>
      <c r="AB43" s="9" t="s">
        <v>178</v>
      </c>
      <c r="AC43" s="23"/>
      <c r="AD43" s="28"/>
      <c r="AE43" s="11"/>
      <c r="AF43" s="28"/>
      <c r="AG43" s="11"/>
      <c r="AH43" s="11" t="str">
        <f>VLOOKUP(E43,' Data Lists'!$Z$3:$AA$31,2,)</f>
        <v>IN SERVICE</v>
      </c>
      <c r="AI43" s="7"/>
    </row>
    <row r="44" spans="1:35" ht="15" customHeight="1" x14ac:dyDescent="0.25">
      <c r="A44" s="6" t="s">
        <v>62</v>
      </c>
      <c r="B44" s="17" t="s">
        <v>7</v>
      </c>
      <c r="C44" s="7" t="s">
        <v>21</v>
      </c>
      <c r="D44" s="561" t="s">
        <v>370</v>
      </c>
      <c r="E44" s="7" t="s">
        <v>107</v>
      </c>
      <c r="F44" s="9" t="str">
        <f>VLOOKUP(E44,' Data Lists'!$T$3:$U$31,2,)</f>
        <v>PP2</v>
      </c>
      <c r="G44" s="17" t="s">
        <v>93</v>
      </c>
      <c r="H44" s="49">
        <v>0</v>
      </c>
      <c r="I44" s="44">
        <v>94.6</v>
      </c>
      <c r="J44" s="82">
        <f>Database[[#This Row],[RATE , M3/D]]*(1-I44/100)</f>
        <v>0</v>
      </c>
      <c r="K44" s="76">
        <v>0</v>
      </c>
      <c r="L44" s="77">
        <v>92.5</v>
      </c>
      <c r="M44" s="87">
        <f>Database[[#This Row],[ACT , M3/D2]]*(1-L44/100)</f>
        <v>0</v>
      </c>
      <c r="N44" s="53">
        <v>0</v>
      </c>
      <c r="O44" s="54">
        <v>0</v>
      </c>
      <c r="P44" s="54">
        <v>400</v>
      </c>
      <c r="Q44" s="54">
        <v>14</v>
      </c>
      <c r="R44" s="54"/>
      <c r="S44" s="55">
        <v>66.7</v>
      </c>
      <c r="T44" s="55">
        <v>24</v>
      </c>
      <c r="U44" s="11" t="s">
        <v>158</v>
      </c>
      <c r="V44" s="55">
        <v>422</v>
      </c>
      <c r="W44" s="55"/>
      <c r="X44" s="7"/>
      <c r="Y44" s="7"/>
      <c r="Z44" s="406">
        <v>43508</v>
      </c>
      <c r="AA44" s="7"/>
      <c r="AB44" s="9" t="s">
        <v>178</v>
      </c>
      <c r="AC44" s="28"/>
      <c r="AD44" s="23"/>
      <c r="AE44" s="11"/>
      <c r="AF44" s="28"/>
      <c r="AG44" s="11"/>
      <c r="AH44" s="11" t="str">
        <f>VLOOKUP(E44,' Data Lists'!$Z$3:$AA$31,2,)</f>
        <v>IN SERVICE</v>
      </c>
      <c r="AI44" s="7"/>
    </row>
    <row r="45" spans="1:35" ht="15" customHeight="1" x14ac:dyDescent="0.25">
      <c r="A45" s="6" t="s">
        <v>63</v>
      </c>
      <c r="B45" s="13" t="s">
        <v>7</v>
      </c>
      <c r="C45" s="7" t="s">
        <v>21</v>
      </c>
      <c r="D45" s="561" t="s">
        <v>370</v>
      </c>
      <c r="E45" s="7" t="s">
        <v>102</v>
      </c>
      <c r="F45" s="9" t="str">
        <f>VLOOKUP(E45,' Data Lists'!$T$3:$U$31,2,)</f>
        <v>PP3</v>
      </c>
      <c r="G45" s="17" t="s">
        <v>93</v>
      </c>
      <c r="H45" s="49">
        <v>550</v>
      </c>
      <c r="I45" s="44">
        <v>26.2</v>
      </c>
      <c r="J45" s="82">
        <f>Database[[#This Row],[RATE , M3/D]]*(1-I45/100)</f>
        <v>405.9</v>
      </c>
      <c r="K45" s="76">
        <v>545</v>
      </c>
      <c r="L45" s="77">
        <v>96</v>
      </c>
      <c r="M45" s="87">
        <f>Database[[#This Row],[ACT , M3/D2]]*(1-L45/100)</f>
        <v>21.800000000000018</v>
      </c>
      <c r="N45" s="53">
        <v>114</v>
      </c>
      <c r="O45" s="54">
        <v>0.38</v>
      </c>
      <c r="P45" s="54">
        <v>200</v>
      </c>
      <c r="Q45" s="54">
        <v>90</v>
      </c>
      <c r="R45" s="54"/>
      <c r="S45" s="55">
        <v>115</v>
      </c>
      <c r="T45" s="55">
        <v>115</v>
      </c>
      <c r="U45" s="11" t="s">
        <v>194</v>
      </c>
      <c r="V45" s="55">
        <v>340</v>
      </c>
      <c r="W45" s="55"/>
      <c r="X45" s="7"/>
      <c r="Y45" s="7"/>
      <c r="Z45" s="406">
        <v>43842</v>
      </c>
      <c r="AA45" s="7"/>
      <c r="AB45" s="9" t="s">
        <v>178</v>
      </c>
      <c r="AC45" s="29"/>
      <c r="AD45" s="23" t="s">
        <v>163</v>
      </c>
      <c r="AE45" s="11"/>
      <c r="AF45" s="29"/>
      <c r="AG45" s="11"/>
      <c r="AH45" s="11" t="str">
        <f>VLOOKUP(E45,' Data Lists'!$Z$3:$AA$31,2,)</f>
        <v>IN SERVICE</v>
      </c>
      <c r="AI45" s="7"/>
    </row>
    <row r="46" spans="1:35" ht="15" customHeight="1" x14ac:dyDescent="0.25">
      <c r="A46" s="6" t="s">
        <v>403</v>
      </c>
      <c r="B46" s="13" t="s">
        <v>7</v>
      </c>
      <c r="C46" s="13" t="s">
        <v>22</v>
      </c>
      <c r="D46" s="561" t="s">
        <v>370</v>
      </c>
      <c r="E46" s="63"/>
      <c r="F46" s="622"/>
      <c r="G46" s="63"/>
      <c r="H46" s="64"/>
      <c r="I46" s="65"/>
      <c r="J46" s="84">
        <f>Database[[#This Row],[RATE , M3/D]]*(1-I46/100)</f>
        <v>0</v>
      </c>
      <c r="K46" s="624"/>
      <c r="L46" s="629"/>
      <c r="M46" s="626">
        <f>Database[[#This Row],[ACT , M3/D2]]*(1-L46/100)</f>
        <v>0</v>
      </c>
      <c r="N46" s="627"/>
      <c r="O46" s="66"/>
      <c r="P46" s="66"/>
      <c r="Q46" s="66"/>
      <c r="R46" s="66"/>
      <c r="S46" s="67"/>
      <c r="T46" s="67"/>
      <c r="U46" s="68"/>
      <c r="V46" s="69"/>
      <c r="W46" s="67"/>
      <c r="X46" s="63"/>
      <c r="Y46" s="63"/>
      <c r="Z46" s="628"/>
      <c r="AA46" s="63"/>
      <c r="AB46" s="9"/>
      <c r="AC46" s="70"/>
      <c r="AD46" s="71"/>
      <c r="AE46" s="72"/>
      <c r="AF46" s="73"/>
      <c r="AG46" s="72"/>
      <c r="AH46" s="68" t="e">
        <f>VLOOKUP(E46,' Data Lists'!$Z$3:$AA$31,2,)</f>
        <v>#N/A</v>
      </c>
      <c r="AI46" s="63"/>
    </row>
    <row r="47" spans="1:35" ht="15" customHeight="1" x14ac:dyDescent="0.25">
      <c r="A47" s="21" t="s">
        <v>64</v>
      </c>
      <c r="B47" s="13" t="s">
        <v>7</v>
      </c>
      <c r="C47" s="13" t="s">
        <v>21</v>
      </c>
      <c r="D47" s="561" t="s">
        <v>370</v>
      </c>
      <c r="E47" s="7" t="s">
        <v>103</v>
      </c>
      <c r="F47" s="9" t="str">
        <f>VLOOKUP(E47,' Data Lists'!$T$3:$U$31,2,)</f>
        <v>PP2</v>
      </c>
      <c r="G47" s="17" t="s">
        <v>177</v>
      </c>
      <c r="H47" s="49">
        <v>60</v>
      </c>
      <c r="I47" s="44">
        <v>30</v>
      </c>
      <c r="J47" s="82">
        <f>Database[[#This Row],[RATE , M3/D]]*(1-I47/100)</f>
        <v>42</v>
      </c>
      <c r="K47" s="76">
        <v>60</v>
      </c>
      <c r="L47" s="77">
        <v>40.9</v>
      </c>
      <c r="M47" s="87">
        <f>Database[[#This Row],[ACT , M3/D2]]*(1-L47/100)</f>
        <v>35.46</v>
      </c>
      <c r="N47" s="53">
        <v>385</v>
      </c>
      <c r="O47" s="54">
        <v>0.19</v>
      </c>
      <c r="P47" s="54">
        <v>500</v>
      </c>
      <c r="Q47" s="54">
        <v>17</v>
      </c>
      <c r="R47" s="54"/>
      <c r="S47" s="55">
        <v>64</v>
      </c>
      <c r="T47" s="55">
        <v>24</v>
      </c>
      <c r="U47" s="11" t="s">
        <v>160</v>
      </c>
      <c r="V47" s="55">
        <v>401</v>
      </c>
      <c r="W47" s="55"/>
      <c r="X47" s="7"/>
      <c r="Y47" s="7"/>
      <c r="Z47" s="406">
        <v>43919</v>
      </c>
      <c r="AA47" s="7"/>
      <c r="AB47" s="9" t="s">
        <v>179</v>
      </c>
      <c r="AC47" s="29"/>
      <c r="AD47" s="23"/>
      <c r="AE47" s="11"/>
      <c r="AF47" s="29"/>
      <c r="AG47" s="11"/>
      <c r="AH47" s="11" t="str">
        <f>VLOOKUP(E47,' Data Lists'!$Z$3:$AA$31,2,)</f>
        <v>IN SERVICE</v>
      </c>
      <c r="AI47" s="7"/>
    </row>
    <row r="48" spans="1:35" ht="15" customHeight="1" x14ac:dyDescent="0.25">
      <c r="A48" s="21" t="s">
        <v>65</v>
      </c>
      <c r="B48" s="13" t="s">
        <v>7</v>
      </c>
      <c r="C48" s="13" t="s">
        <v>22</v>
      </c>
      <c r="D48" s="561" t="s">
        <v>370</v>
      </c>
      <c r="E48" s="7" t="s">
        <v>109</v>
      </c>
      <c r="F48" s="9" t="str">
        <f>VLOOKUP(E48,' Data Lists'!$T$3:$U$31,2,)</f>
        <v>PP3</v>
      </c>
      <c r="G48" s="17" t="s">
        <v>94</v>
      </c>
      <c r="H48" s="49"/>
      <c r="I48" s="44"/>
      <c r="J48" s="82">
        <f>Database[[#This Row],[RATE , M3/D]]*(1-I48/100)</f>
        <v>0</v>
      </c>
      <c r="K48" s="76">
        <v>80</v>
      </c>
      <c r="L48" s="77">
        <v>77.2</v>
      </c>
      <c r="M48" s="87">
        <f>Database[[#This Row],[ACT , M3/D2]]*(1-L48/100)</f>
        <v>18.239999999999998</v>
      </c>
      <c r="N48" s="53"/>
      <c r="O48" s="54"/>
      <c r="P48" s="54">
        <v>400</v>
      </c>
      <c r="Q48" s="54">
        <v>19</v>
      </c>
      <c r="R48" s="54"/>
      <c r="S48" s="55">
        <v>64</v>
      </c>
      <c r="T48" s="55">
        <v>24</v>
      </c>
      <c r="U48" s="11" t="s">
        <v>160</v>
      </c>
      <c r="V48" s="55">
        <v>406</v>
      </c>
      <c r="W48" s="55"/>
      <c r="X48" s="7"/>
      <c r="Y48" s="7"/>
      <c r="Z48" s="406">
        <v>43747</v>
      </c>
      <c r="AA48" s="7"/>
      <c r="AB48" s="9" t="s">
        <v>11</v>
      </c>
      <c r="AC48" s="29"/>
      <c r="AD48" s="23"/>
      <c r="AE48" s="11"/>
      <c r="AF48" s="29"/>
      <c r="AG48" s="11"/>
      <c r="AH48" s="11" t="str">
        <f>VLOOKUP(E48,' Data Lists'!$Z$3:$AA$31,2,)</f>
        <v>IN SERVICE</v>
      </c>
      <c r="AI48" s="7"/>
    </row>
    <row r="49" spans="1:35" ht="15" customHeight="1" x14ac:dyDescent="0.25">
      <c r="A49" s="21" t="s">
        <v>66</v>
      </c>
      <c r="B49" s="13" t="s">
        <v>7</v>
      </c>
      <c r="C49" s="7" t="s">
        <v>21</v>
      </c>
      <c r="D49" s="561" t="s">
        <v>370</v>
      </c>
      <c r="E49" s="7" t="s">
        <v>105</v>
      </c>
      <c r="F49" s="9" t="str">
        <f>VLOOKUP(E49,' Data Lists'!$T$3:$U$31,2,)</f>
        <v>PP2</v>
      </c>
      <c r="G49" s="17" t="s">
        <v>176</v>
      </c>
      <c r="H49" s="49">
        <v>0</v>
      </c>
      <c r="I49" s="44">
        <v>71.2</v>
      </c>
      <c r="J49" s="82">
        <f>Database[[#This Row],[RATE , M3/D]]*(1-I49/100)</f>
        <v>0</v>
      </c>
      <c r="K49" s="76">
        <v>0</v>
      </c>
      <c r="L49" s="77">
        <v>71.2</v>
      </c>
      <c r="M49" s="87">
        <f>Database[[#This Row],[ACT , M3/D2]]*(1-L49/100)</f>
        <v>0</v>
      </c>
      <c r="N49" s="53">
        <v>212</v>
      </c>
      <c r="O49" s="54">
        <v>0.19</v>
      </c>
      <c r="P49" s="54">
        <v>400</v>
      </c>
      <c r="Q49" s="54">
        <v>27</v>
      </c>
      <c r="R49" s="54">
        <v>50</v>
      </c>
      <c r="S49" s="55">
        <v>104</v>
      </c>
      <c r="T49" s="55">
        <v>39</v>
      </c>
      <c r="U49" s="11" t="s">
        <v>148</v>
      </c>
      <c r="V49" s="55">
        <v>190</v>
      </c>
      <c r="W49" s="55"/>
      <c r="X49" s="7"/>
      <c r="Y49" s="7"/>
      <c r="Z49" s="406">
        <v>43928</v>
      </c>
      <c r="AA49" s="7"/>
      <c r="AB49" s="9" t="s">
        <v>179</v>
      </c>
      <c r="AC49" s="29"/>
      <c r="AD49" s="23" t="s">
        <v>16</v>
      </c>
      <c r="AE49" s="11"/>
      <c r="AF49" s="29"/>
      <c r="AG49" s="11"/>
      <c r="AH49" s="11" t="str">
        <f>VLOOKUP(E49,' Data Lists'!$Z$3:$AA$31,2,)</f>
        <v>IN SERVICE</v>
      </c>
      <c r="AI49" s="7"/>
    </row>
    <row r="50" spans="1:35" ht="15" customHeight="1" x14ac:dyDescent="0.25">
      <c r="A50" s="6" t="s">
        <v>67</v>
      </c>
      <c r="B50" s="13" t="s">
        <v>4</v>
      </c>
      <c r="C50" s="7" t="s">
        <v>21</v>
      </c>
      <c r="D50" s="561" t="s">
        <v>370</v>
      </c>
      <c r="E50" s="33" t="s">
        <v>97</v>
      </c>
      <c r="F50" s="9" t="str">
        <f>VLOOKUP(E50,' Data Lists'!$T$3:$U$31,2,)</f>
        <v>PP2/PP3</v>
      </c>
      <c r="G50" s="17" t="s">
        <v>94</v>
      </c>
      <c r="H50" s="49">
        <v>0</v>
      </c>
      <c r="I50" s="46">
        <v>80</v>
      </c>
      <c r="J50" s="82">
        <f>Database[[#This Row],[RATE , M3/D]]*(1-I50/100)</f>
        <v>0</v>
      </c>
      <c r="K50" s="76">
        <v>0</v>
      </c>
      <c r="L50" s="77">
        <v>76.7</v>
      </c>
      <c r="M50" s="87">
        <f>Database[[#This Row],[ACT , M3/D2]]*(1-L50/100)</f>
        <v>0</v>
      </c>
      <c r="N50" s="59">
        <v>70</v>
      </c>
      <c r="O50" s="60">
        <v>0.03</v>
      </c>
      <c r="P50" s="60">
        <v>0</v>
      </c>
      <c r="Q50" s="60">
        <v>0</v>
      </c>
      <c r="R50" s="60"/>
      <c r="S50" s="55">
        <v>97</v>
      </c>
      <c r="T50" s="55">
        <v>29.5</v>
      </c>
      <c r="U50" s="37" t="s">
        <v>186</v>
      </c>
      <c r="V50" s="55">
        <v>359</v>
      </c>
      <c r="W50" s="55"/>
      <c r="X50" s="33"/>
      <c r="Y50" s="33"/>
      <c r="Z50" s="406">
        <v>44027</v>
      </c>
      <c r="AA50" s="33"/>
      <c r="AB50" s="9" t="s">
        <v>10</v>
      </c>
      <c r="AC50" s="36"/>
      <c r="AD50" s="23"/>
      <c r="AE50" s="37"/>
      <c r="AF50" s="36"/>
      <c r="AG50" s="37"/>
      <c r="AH50" s="37" t="str">
        <f>VLOOKUP(E50,' Data Lists'!$Z$3:$AA$31,2,)</f>
        <v>IN SERVICE</v>
      </c>
      <c r="AI50" s="33"/>
    </row>
    <row r="51" spans="1:35" ht="15" customHeight="1" x14ac:dyDescent="0.25">
      <c r="A51" s="21" t="s">
        <v>68</v>
      </c>
      <c r="B51" s="7" t="s">
        <v>7</v>
      </c>
      <c r="C51" s="7" t="s">
        <v>21</v>
      </c>
      <c r="D51" s="561" t="s">
        <v>370</v>
      </c>
      <c r="E51" s="7" t="s">
        <v>109</v>
      </c>
      <c r="F51" s="9" t="str">
        <f>VLOOKUP(E51,' Data Lists'!$T$3:$U$31,2,)</f>
        <v>PP3</v>
      </c>
      <c r="G51" s="17" t="s">
        <v>94</v>
      </c>
      <c r="H51" s="49"/>
      <c r="I51" s="44"/>
      <c r="J51" s="82">
        <f>Database[[#This Row],[RATE , M3/D]]*(1-I51/100)</f>
        <v>0</v>
      </c>
      <c r="K51" s="76">
        <v>140</v>
      </c>
      <c r="L51" s="77">
        <v>92</v>
      </c>
      <c r="M51" s="87">
        <f>Database[[#This Row],[ACT , M3/D2]]*(1-L51/100)</f>
        <v>11.199999999999994</v>
      </c>
      <c r="N51" s="53"/>
      <c r="O51" s="54"/>
      <c r="P51" s="54">
        <v>400</v>
      </c>
      <c r="Q51" s="54">
        <v>35</v>
      </c>
      <c r="R51" s="54"/>
      <c r="S51" s="55">
        <v>150</v>
      </c>
      <c r="T51" s="55">
        <v>48</v>
      </c>
      <c r="U51" s="11" t="s">
        <v>192</v>
      </c>
      <c r="V51" s="55">
        <v>377</v>
      </c>
      <c r="W51" s="55"/>
      <c r="X51" s="7"/>
      <c r="Y51" s="7"/>
      <c r="Z51" s="406">
        <v>43894</v>
      </c>
      <c r="AA51" s="7"/>
      <c r="AB51" s="9" t="s">
        <v>11</v>
      </c>
      <c r="AC51" s="23"/>
      <c r="AD51" s="23"/>
      <c r="AE51" s="11"/>
      <c r="AF51" s="23"/>
      <c r="AG51" s="11"/>
      <c r="AH51" s="11" t="str">
        <f>VLOOKUP(E51,' Data Lists'!$Z$3:$AA$31,2,)</f>
        <v>IN SERVICE</v>
      </c>
      <c r="AI51" s="7"/>
    </row>
    <row r="52" spans="1:35" x14ac:dyDescent="0.25">
      <c r="A52" s="21" t="s">
        <v>69</v>
      </c>
      <c r="B52" s="7" t="s">
        <v>7</v>
      </c>
      <c r="C52" s="7" t="s">
        <v>21</v>
      </c>
      <c r="D52" s="561" t="s">
        <v>370</v>
      </c>
      <c r="E52" s="7" t="s">
        <v>109</v>
      </c>
      <c r="F52" s="9" t="str">
        <f>VLOOKUP(E52,' Data Lists'!$T$3:$U$31,2,)</f>
        <v>PP3</v>
      </c>
      <c r="G52" s="17" t="s">
        <v>174</v>
      </c>
      <c r="H52" s="49">
        <v>50</v>
      </c>
      <c r="I52" s="44">
        <v>50</v>
      </c>
      <c r="J52" s="82">
        <f>Database[[#This Row],[RATE , M3/D]]*(1-I52/100)</f>
        <v>25</v>
      </c>
      <c r="K52" s="76">
        <v>50</v>
      </c>
      <c r="L52" s="77">
        <v>50</v>
      </c>
      <c r="M52" s="87">
        <f>Database[[#This Row],[ACT , M3/D2]]*(1-L52/100)</f>
        <v>25</v>
      </c>
      <c r="N52" s="53">
        <v>62</v>
      </c>
      <c r="O52" s="54">
        <v>0.06</v>
      </c>
      <c r="P52" s="54">
        <v>400</v>
      </c>
      <c r="Q52" s="54">
        <v>24</v>
      </c>
      <c r="R52" s="54"/>
      <c r="S52" s="55">
        <v>64</v>
      </c>
      <c r="T52" s="55">
        <v>24</v>
      </c>
      <c r="U52" s="11" t="s">
        <v>160</v>
      </c>
      <c r="V52" s="55">
        <v>617</v>
      </c>
      <c r="W52" s="55"/>
      <c r="X52" s="7"/>
      <c r="Y52" s="7"/>
      <c r="Z52" s="406">
        <v>44128</v>
      </c>
      <c r="AA52" s="7"/>
      <c r="AB52" s="9" t="s">
        <v>178</v>
      </c>
      <c r="AC52" s="23"/>
      <c r="AD52" s="23" t="s">
        <v>165</v>
      </c>
      <c r="AE52" s="11"/>
      <c r="AF52" s="23"/>
      <c r="AG52" s="11"/>
      <c r="AH52" s="11" t="str">
        <f>VLOOKUP(E52,' Data Lists'!$Z$3:$AA$31,2,)</f>
        <v>IN SERVICE</v>
      </c>
      <c r="AI52" s="7"/>
    </row>
    <row r="53" spans="1:35" ht="15" customHeight="1" x14ac:dyDescent="0.25">
      <c r="A53" s="21" t="s">
        <v>70</v>
      </c>
      <c r="B53" s="7" t="s">
        <v>7</v>
      </c>
      <c r="C53" s="7" t="s">
        <v>21</v>
      </c>
      <c r="D53" s="561" t="s">
        <v>370</v>
      </c>
      <c r="E53" s="7" t="s">
        <v>108</v>
      </c>
      <c r="F53" s="9" t="str">
        <f>VLOOKUP(E53,' Data Lists'!$T$3:$U$31,2,)</f>
        <v>PP2/PP3</v>
      </c>
      <c r="G53" s="17" t="s">
        <v>94</v>
      </c>
      <c r="H53" s="49">
        <v>250</v>
      </c>
      <c r="I53" s="44">
        <v>84</v>
      </c>
      <c r="J53" s="82">
        <f>Database[[#This Row],[RATE , M3/D]]*(1-I53/100)</f>
        <v>40.000000000000007</v>
      </c>
      <c r="K53" s="76">
        <v>210</v>
      </c>
      <c r="L53" s="77">
        <v>79.599999999999994</v>
      </c>
      <c r="M53" s="87">
        <f>Database[[#This Row],[ACT , M3/D2]]*(1-L53/100)</f>
        <v>42.840000000000018</v>
      </c>
      <c r="N53" s="53">
        <v>225</v>
      </c>
      <c r="O53" s="54">
        <v>0.14000000000000001</v>
      </c>
      <c r="P53" s="54">
        <v>500</v>
      </c>
      <c r="Q53" s="54">
        <v>47</v>
      </c>
      <c r="R53" s="54"/>
      <c r="S53" s="55">
        <v>187</v>
      </c>
      <c r="T53" s="55">
        <v>63</v>
      </c>
      <c r="U53" s="11" t="s">
        <v>155</v>
      </c>
      <c r="V53" s="55">
        <v>204</v>
      </c>
      <c r="W53" s="55"/>
      <c r="X53" s="7"/>
      <c r="Y53" s="7"/>
      <c r="Z53" s="406">
        <v>43040</v>
      </c>
      <c r="AA53" s="7"/>
      <c r="AB53" s="9" t="s">
        <v>11</v>
      </c>
      <c r="AC53" s="23"/>
      <c r="AD53" s="23"/>
      <c r="AE53" s="11"/>
      <c r="AF53" s="23"/>
      <c r="AG53" s="11"/>
      <c r="AH53" s="11" t="str">
        <f>VLOOKUP(E53,' Data Lists'!$Z$3:$AA$31,2,)</f>
        <v xml:space="preserve">OUT OF SERVICE </v>
      </c>
      <c r="AI53" s="7"/>
    </row>
    <row r="54" spans="1:35" ht="15" customHeight="1" x14ac:dyDescent="0.25">
      <c r="A54" s="21" t="s">
        <v>71</v>
      </c>
      <c r="B54" s="7" t="s">
        <v>7</v>
      </c>
      <c r="C54" s="7" t="s">
        <v>21</v>
      </c>
      <c r="D54" s="561" t="s">
        <v>370</v>
      </c>
      <c r="E54" s="7" t="s">
        <v>104</v>
      </c>
      <c r="F54" s="9" t="str">
        <f>VLOOKUP(E54,' Data Lists'!$T$3:$U$31,2,)</f>
        <v>PP2</v>
      </c>
      <c r="G54" s="17" t="s">
        <v>176</v>
      </c>
      <c r="H54" s="49">
        <v>100</v>
      </c>
      <c r="I54" s="44">
        <v>58.2</v>
      </c>
      <c r="J54" s="82">
        <f>Database[[#This Row],[RATE , M3/D]]*(1-I54/100)</f>
        <v>41.79999999999999</v>
      </c>
      <c r="K54" s="76">
        <v>100</v>
      </c>
      <c r="L54" s="77">
        <v>58.2</v>
      </c>
      <c r="M54" s="87">
        <f>Database[[#This Row],[ACT , M3/D2]]*(1-L54/100)</f>
        <v>41.79999999999999</v>
      </c>
      <c r="N54" s="53">
        <v>99</v>
      </c>
      <c r="O54" s="54">
        <v>0.14000000000000001</v>
      </c>
      <c r="P54" s="54">
        <v>400</v>
      </c>
      <c r="Q54" s="54">
        <v>32</v>
      </c>
      <c r="R54" s="54"/>
      <c r="S54" s="55">
        <v>116.7</v>
      </c>
      <c r="T54" s="55">
        <v>39</v>
      </c>
      <c r="U54" s="11" t="s">
        <v>185</v>
      </c>
      <c r="V54" s="55">
        <v>364</v>
      </c>
      <c r="W54" s="55"/>
      <c r="X54" s="7"/>
      <c r="Y54" s="7"/>
      <c r="Z54" s="406">
        <v>44060</v>
      </c>
      <c r="AA54" s="7"/>
      <c r="AB54" s="9" t="s">
        <v>179</v>
      </c>
      <c r="AC54" s="24"/>
      <c r="AD54" s="23"/>
      <c r="AE54" s="11"/>
      <c r="AF54" s="23"/>
      <c r="AG54" s="11"/>
      <c r="AH54" s="11" t="str">
        <f>VLOOKUP(E54,' Data Lists'!$Z$3:$AA$31,2,)</f>
        <v xml:space="preserve">OUT OF SERVICE </v>
      </c>
      <c r="AI54" s="7"/>
    </row>
    <row r="55" spans="1:35" ht="15" customHeight="1" x14ac:dyDescent="0.25">
      <c r="A55" s="21" t="s">
        <v>72</v>
      </c>
      <c r="B55" s="18" t="s">
        <v>7</v>
      </c>
      <c r="C55" s="18" t="s">
        <v>21</v>
      </c>
      <c r="D55" s="561" t="s">
        <v>370</v>
      </c>
      <c r="E55" s="7" t="s">
        <v>105</v>
      </c>
      <c r="F55" s="9" t="str">
        <f>VLOOKUP(E55,' Data Lists'!$T$3:$U$31,2,)</f>
        <v>PP2</v>
      </c>
      <c r="G55" s="17" t="s">
        <v>176</v>
      </c>
      <c r="H55" s="49"/>
      <c r="I55" s="44"/>
      <c r="J55" s="82">
        <f>Database[[#This Row],[RATE , M3/D]]*(1-I55/100)</f>
        <v>0</v>
      </c>
      <c r="K55" s="76">
        <v>30</v>
      </c>
      <c r="L55" s="77">
        <v>0.8</v>
      </c>
      <c r="M55" s="87">
        <f>Database[[#This Row],[ACT , M3/D2]]*(1-L55/100)</f>
        <v>29.759999999999998</v>
      </c>
      <c r="N55" s="53">
        <v>32</v>
      </c>
      <c r="O55" s="54">
        <v>0.03</v>
      </c>
      <c r="P55" s="54">
        <v>400</v>
      </c>
      <c r="Q55" s="54">
        <v>13</v>
      </c>
      <c r="R55" s="54"/>
      <c r="S55" s="55">
        <v>67</v>
      </c>
      <c r="T55" s="55">
        <v>24</v>
      </c>
      <c r="U55" s="11" t="s">
        <v>158</v>
      </c>
      <c r="V55" s="55">
        <v>472</v>
      </c>
      <c r="W55" s="55"/>
      <c r="X55" s="7"/>
      <c r="Y55" s="7"/>
      <c r="Z55" s="406">
        <v>43391</v>
      </c>
      <c r="AA55" s="7"/>
      <c r="AB55" s="9" t="s">
        <v>178</v>
      </c>
      <c r="AC55" s="24"/>
      <c r="AD55" s="23" t="s">
        <v>163</v>
      </c>
      <c r="AE55" s="11"/>
      <c r="AF55" s="20"/>
      <c r="AG55" s="11"/>
      <c r="AH55" s="11" t="str">
        <f>VLOOKUP(E55,' Data Lists'!$Z$3:$AA$31,2,)</f>
        <v>IN SERVICE</v>
      </c>
      <c r="AI55" s="7"/>
    </row>
    <row r="56" spans="1:35" ht="15" customHeight="1" x14ac:dyDescent="0.25">
      <c r="A56" s="21" t="s">
        <v>74</v>
      </c>
      <c r="B56" s="16" t="s">
        <v>7</v>
      </c>
      <c r="C56" s="16" t="s">
        <v>21</v>
      </c>
      <c r="D56" s="561" t="s">
        <v>370</v>
      </c>
      <c r="E56" s="7" t="s">
        <v>95</v>
      </c>
      <c r="F56" s="9" t="str">
        <f>VLOOKUP(E56,' Data Lists'!$T$3:$U$31,2,)</f>
        <v>PP3</v>
      </c>
      <c r="G56" s="17" t="s">
        <v>95</v>
      </c>
      <c r="H56" s="49">
        <v>400</v>
      </c>
      <c r="I56" s="44">
        <v>69.3</v>
      </c>
      <c r="J56" s="82">
        <f>Database[[#This Row],[RATE , M3/D]]*(1-I56/100)</f>
        <v>122.80000000000003</v>
      </c>
      <c r="K56" s="76">
        <v>400</v>
      </c>
      <c r="L56" s="77">
        <v>95.6</v>
      </c>
      <c r="M56" s="87">
        <f>Database[[#This Row],[ACT , M3/D2]]*(1-L56/100)</f>
        <v>17.600000000000016</v>
      </c>
      <c r="N56" s="53">
        <v>39</v>
      </c>
      <c r="O56" s="54">
        <v>0.08</v>
      </c>
      <c r="P56" s="54">
        <v>400</v>
      </c>
      <c r="Q56" s="54">
        <v>99</v>
      </c>
      <c r="R56" s="54"/>
      <c r="S56" s="55">
        <v>348</v>
      </c>
      <c r="T56" s="55">
        <v>127</v>
      </c>
      <c r="U56" s="11" t="s">
        <v>187</v>
      </c>
      <c r="V56" s="55">
        <v>327</v>
      </c>
      <c r="W56" s="55"/>
      <c r="X56" s="7"/>
      <c r="Y56" s="7"/>
      <c r="Z56" s="406">
        <v>44047</v>
      </c>
      <c r="AA56" s="7"/>
      <c r="AB56" s="9" t="s">
        <v>11</v>
      </c>
      <c r="AC56" s="24"/>
      <c r="AD56" s="23"/>
      <c r="AE56" s="11"/>
      <c r="AF56" s="23"/>
      <c r="AG56" s="11"/>
      <c r="AH56" s="11" t="str">
        <f>VLOOKUP(E56,' Data Lists'!$Z$3:$AA$31,2,)</f>
        <v>IN SERVICE</v>
      </c>
      <c r="AI56" s="7"/>
    </row>
    <row r="57" spans="1:35" ht="15" customHeight="1" x14ac:dyDescent="0.25">
      <c r="A57" s="21" t="s">
        <v>76</v>
      </c>
      <c r="B57" s="7" t="s">
        <v>4</v>
      </c>
      <c r="C57" s="7" t="s">
        <v>21</v>
      </c>
      <c r="D57" s="561" t="s">
        <v>370</v>
      </c>
      <c r="E57" s="7" t="s">
        <v>104</v>
      </c>
      <c r="F57" s="9" t="str">
        <f>VLOOKUP(E57,' Data Lists'!$T$3:$U$31,2,)</f>
        <v>PP2</v>
      </c>
      <c r="G57" s="17" t="s">
        <v>177</v>
      </c>
      <c r="H57" s="49">
        <v>60</v>
      </c>
      <c r="I57" s="44">
        <v>80</v>
      </c>
      <c r="J57" s="82">
        <f>Database[[#This Row],[RATE , M3/D]]*(1-I57/100)</f>
        <v>11.999999999999996</v>
      </c>
      <c r="K57" s="76">
        <v>60</v>
      </c>
      <c r="L57" s="77">
        <v>90.7</v>
      </c>
      <c r="M57" s="87">
        <f>Database[[#This Row],[ACT , M3/D2]]*(1-L57/100)</f>
        <v>5.5799999999999983</v>
      </c>
      <c r="N57" s="53">
        <v>281</v>
      </c>
      <c r="O57" s="54">
        <v>0.19</v>
      </c>
      <c r="P57" s="54">
        <v>400</v>
      </c>
      <c r="Q57" s="54">
        <v>18</v>
      </c>
      <c r="R57" s="54"/>
      <c r="S57" s="55">
        <v>66.7</v>
      </c>
      <c r="T57" s="55">
        <v>24</v>
      </c>
      <c r="U57" s="11" t="s">
        <v>183</v>
      </c>
      <c r="V57" s="55">
        <v>388</v>
      </c>
      <c r="W57" s="55"/>
      <c r="X57" s="7"/>
      <c r="Y57" s="7"/>
      <c r="Z57" s="406">
        <v>43663</v>
      </c>
      <c r="AA57" s="7"/>
      <c r="AB57" s="9" t="s">
        <v>178</v>
      </c>
      <c r="AC57" s="24"/>
      <c r="AD57" s="23"/>
      <c r="AE57" s="11"/>
      <c r="AF57" s="23"/>
      <c r="AG57" s="11"/>
      <c r="AH57" s="11" t="str">
        <f>VLOOKUP(E57,' Data Lists'!$Z$3:$AA$31,2,)</f>
        <v xml:space="preserve">OUT OF SERVICE </v>
      </c>
      <c r="AI57" s="7"/>
    </row>
    <row r="58" spans="1:35" ht="15" customHeight="1" x14ac:dyDescent="0.25">
      <c r="A58" s="21" t="s">
        <v>78</v>
      </c>
      <c r="B58" s="7" t="s">
        <v>4</v>
      </c>
      <c r="C58" s="7" t="s">
        <v>21</v>
      </c>
      <c r="D58" s="561" t="s">
        <v>370</v>
      </c>
      <c r="E58" s="7" t="s">
        <v>104</v>
      </c>
      <c r="F58" s="9" t="str">
        <f>VLOOKUP(E58,' Data Lists'!$T$3:$U$31,2,)</f>
        <v>PP2</v>
      </c>
      <c r="G58" s="17" t="s">
        <v>177</v>
      </c>
      <c r="H58" s="49">
        <v>90</v>
      </c>
      <c r="I58" s="44">
        <v>50</v>
      </c>
      <c r="J58" s="82">
        <f>Database[[#This Row],[RATE , M3/D]]*(1-I58/100)</f>
        <v>45</v>
      </c>
      <c r="K58" s="76">
        <v>90</v>
      </c>
      <c r="L58" s="77">
        <v>50.8</v>
      </c>
      <c r="M58" s="87">
        <f>Database[[#This Row],[ACT , M3/D2]]*(1-L58/100)</f>
        <v>44.28</v>
      </c>
      <c r="N58" s="53">
        <v>397</v>
      </c>
      <c r="O58" s="54">
        <v>0.22</v>
      </c>
      <c r="P58" s="54">
        <v>400</v>
      </c>
      <c r="Q58" s="54">
        <v>25</v>
      </c>
      <c r="R58" s="54"/>
      <c r="S58" s="55">
        <v>100</v>
      </c>
      <c r="T58" s="55">
        <v>35</v>
      </c>
      <c r="U58" s="11" t="s">
        <v>184</v>
      </c>
      <c r="V58" s="55">
        <v>354</v>
      </c>
      <c r="W58" s="55"/>
      <c r="X58" s="7"/>
      <c r="Y58" s="7"/>
      <c r="Z58" s="406">
        <v>43745</v>
      </c>
      <c r="AA58" s="7"/>
      <c r="AB58" s="9" t="s">
        <v>179</v>
      </c>
      <c r="AC58" s="24"/>
      <c r="AD58" s="23"/>
      <c r="AE58" s="11"/>
      <c r="AF58" s="23"/>
      <c r="AG58" s="11"/>
      <c r="AH58" s="11" t="str">
        <f>VLOOKUP(E58,' Data Lists'!$Z$3:$AA$31,2,)</f>
        <v xml:space="preserve">OUT OF SERVICE </v>
      </c>
      <c r="AI58" s="7"/>
    </row>
    <row r="59" spans="1:35" ht="15" customHeight="1" x14ac:dyDescent="0.25">
      <c r="A59" s="21" t="s">
        <v>79</v>
      </c>
      <c r="B59" s="7" t="s">
        <v>7</v>
      </c>
      <c r="C59" s="7" t="s">
        <v>22</v>
      </c>
      <c r="D59" s="561" t="s">
        <v>370</v>
      </c>
      <c r="E59" s="7" t="s">
        <v>104</v>
      </c>
      <c r="F59" s="9" t="str">
        <f>VLOOKUP(E59,' Data Lists'!$T$3:$U$31,2,)</f>
        <v>PP2</v>
      </c>
      <c r="G59" s="17" t="s">
        <v>93</v>
      </c>
      <c r="H59" s="49">
        <v>0</v>
      </c>
      <c r="I59" s="44">
        <v>94.6</v>
      </c>
      <c r="J59" s="82">
        <f>Database[[#This Row],[RATE , M3/D]]*(1-I59/100)</f>
        <v>0</v>
      </c>
      <c r="K59" s="76">
        <v>0</v>
      </c>
      <c r="L59" s="77">
        <v>93.7</v>
      </c>
      <c r="M59" s="87">
        <f>Database[[#This Row],[ACT , M3/D2]]*(1-L59/100)</f>
        <v>0</v>
      </c>
      <c r="N59" s="53">
        <v>0</v>
      </c>
      <c r="O59" s="54">
        <v>0</v>
      </c>
      <c r="P59" s="54">
        <v>800</v>
      </c>
      <c r="Q59" s="54">
        <v>30</v>
      </c>
      <c r="R59" s="54"/>
      <c r="S59" s="55">
        <v>83</v>
      </c>
      <c r="T59" s="55">
        <v>30</v>
      </c>
      <c r="U59" s="11" t="s">
        <v>146</v>
      </c>
      <c r="V59" s="55">
        <v>326</v>
      </c>
      <c r="W59" s="55"/>
      <c r="X59" s="7"/>
      <c r="Y59" s="7"/>
      <c r="Z59" s="406">
        <v>43244</v>
      </c>
      <c r="AA59" s="7"/>
      <c r="AB59" s="9" t="s">
        <v>11</v>
      </c>
      <c r="AC59" s="24"/>
      <c r="AD59" s="23"/>
      <c r="AE59" s="11"/>
      <c r="AF59" s="23"/>
      <c r="AG59" s="11"/>
      <c r="AH59" s="11" t="str">
        <f>VLOOKUP(E59,' Data Lists'!$Z$3:$AA$31,2,)</f>
        <v xml:space="preserve">OUT OF SERVICE </v>
      </c>
      <c r="AI59" s="7"/>
    </row>
    <row r="60" spans="1:35" ht="15" customHeight="1" x14ac:dyDescent="0.25">
      <c r="A60" s="21" t="s">
        <v>80</v>
      </c>
      <c r="B60" s="7" t="s">
        <v>7</v>
      </c>
      <c r="C60" s="7" t="s">
        <v>21</v>
      </c>
      <c r="D60" s="561" t="s">
        <v>370</v>
      </c>
      <c r="E60" s="7" t="s">
        <v>114</v>
      </c>
      <c r="F60" s="9" t="str">
        <f>VLOOKUP(E60,' Data Lists'!$T$3:$U$31,2,)</f>
        <v>D10</v>
      </c>
      <c r="G60" s="17" t="s">
        <v>176</v>
      </c>
      <c r="H60" s="49">
        <v>140</v>
      </c>
      <c r="I60" s="44">
        <v>71.599999999999994</v>
      </c>
      <c r="J60" s="82">
        <f>Database[[#This Row],[RATE , M3/D]]*(1-I60/100)</f>
        <v>39.760000000000005</v>
      </c>
      <c r="K60" s="76">
        <v>130</v>
      </c>
      <c r="L60" s="77">
        <v>80.2</v>
      </c>
      <c r="M60" s="87">
        <f>Database[[#This Row],[ACT , M3/D2]]*(1-L60/100)</f>
        <v>25.739999999999995</v>
      </c>
      <c r="N60" s="53">
        <v>119</v>
      </c>
      <c r="O60" s="54">
        <v>0.34</v>
      </c>
      <c r="P60" s="54">
        <v>250</v>
      </c>
      <c r="Q60" s="54">
        <v>30</v>
      </c>
      <c r="R60" s="54"/>
      <c r="S60" s="55">
        <v>133</v>
      </c>
      <c r="T60" s="55">
        <v>46</v>
      </c>
      <c r="U60" s="11" t="s">
        <v>189</v>
      </c>
      <c r="V60" s="55">
        <v>393</v>
      </c>
      <c r="W60" s="55"/>
      <c r="X60" s="7"/>
      <c r="Y60" s="7"/>
      <c r="Z60" s="406">
        <v>42823</v>
      </c>
      <c r="AA60" s="7"/>
      <c r="AB60" s="9" t="s">
        <v>178</v>
      </c>
      <c r="AC60" s="24"/>
      <c r="AD60" s="23" t="s">
        <v>163</v>
      </c>
      <c r="AE60" s="32"/>
      <c r="AF60" s="23"/>
      <c r="AG60" s="11"/>
      <c r="AH60" s="11" t="str">
        <f>VLOOKUP(E60,' Data Lists'!$Z$3:$AA$31,2,)</f>
        <v>IN SERVICE</v>
      </c>
      <c r="AI60" s="7"/>
    </row>
    <row r="61" spans="1:35" ht="15" customHeight="1" x14ac:dyDescent="0.25">
      <c r="A61" s="21" t="s">
        <v>82</v>
      </c>
      <c r="B61" s="7" t="s">
        <v>4</v>
      </c>
      <c r="C61" s="7" t="s">
        <v>21</v>
      </c>
      <c r="D61" s="561" t="s">
        <v>370</v>
      </c>
      <c r="E61" s="7" t="s">
        <v>116</v>
      </c>
      <c r="F61" s="9" t="str">
        <f>VLOOKUP(E61,' Data Lists'!$T$3:$U$31,2,)</f>
        <v>PP2</v>
      </c>
      <c r="G61" s="17" t="s">
        <v>176</v>
      </c>
      <c r="H61" s="49">
        <v>120</v>
      </c>
      <c r="I61" s="44">
        <v>90.1</v>
      </c>
      <c r="J61" s="82">
        <f>Database[[#This Row],[RATE , M3/D]]*(1-I61/100)</f>
        <v>11.88000000000001</v>
      </c>
      <c r="K61" s="76">
        <v>120</v>
      </c>
      <c r="L61" s="77">
        <v>90.1</v>
      </c>
      <c r="M61" s="87">
        <f>Database[[#This Row],[ACT , M3/D2]]*(1-L61/100)</f>
        <v>11.88000000000001</v>
      </c>
      <c r="N61" s="53">
        <v>250</v>
      </c>
      <c r="O61" s="54">
        <v>0.39</v>
      </c>
      <c r="P61" s="54">
        <v>600</v>
      </c>
      <c r="Q61" s="54">
        <v>24</v>
      </c>
      <c r="R61" s="54"/>
      <c r="S61" s="55">
        <v>125</v>
      </c>
      <c r="T61" s="55">
        <v>40</v>
      </c>
      <c r="U61" s="11" t="s">
        <v>148</v>
      </c>
      <c r="V61" s="55">
        <v>238</v>
      </c>
      <c r="W61" s="55"/>
      <c r="X61" s="7"/>
      <c r="Y61" s="7"/>
      <c r="Z61" s="406">
        <v>43983</v>
      </c>
      <c r="AA61" s="7"/>
      <c r="AB61" s="9" t="s">
        <v>178</v>
      </c>
      <c r="AC61" s="24"/>
      <c r="AD61" s="23" t="s">
        <v>165</v>
      </c>
      <c r="AE61" s="11"/>
      <c r="AF61" s="23"/>
      <c r="AG61" s="11"/>
      <c r="AH61" s="11" t="str">
        <f>VLOOKUP(E61,' Data Lists'!$Z$3:$AA$31,2,)</f>
        <v>IN SERVICE</v>
      </c>
      <c r="AI61" s="7"/>
    </row>
    <row r="62" spans="1:35" ht="15" customHeight="1" x14ac:dyDescent="0.25">
      <c r="A62" s="21" t="s">
        <v>83</v>
      </c>
      <c r="B62" s="7" t="s">
        <v>7</v>
      </c>
      <c r="C62" s="7" t="s">
        <v>21</v>
      </c>
      <c r="D62" s="561" t="s">
        <v>370</v>
      </c>
      <c r="E62" s="7" t="s">
        <v>103</v>
      </c>
      <c r="F62" s="9" t="str">
        <f>VLOOKUP(E62,' Data Lists'!$T$3:$U$31,2,)</f>
        <v>PP2</v>
      </c>
      <c r="G62" s="17" t="s">
        <v>93</v>
      </c>
      <c r="H62" s="49">
        <v>80</v>
      </c>
      <c r="I62" s="44">
        <v>48.9</v>
      </c>
      <c r="J62" s="82">
        <f>Database[[#This Row],[RATE , M3/D]]*(1-I62/100)</f>
        <v>40.880000000000003</v>
      </c>
      <c r="K62" s="76">
        <v>70</v>
      </c>
      <c r="L62" s="77">
        <v>96</v>
      </c>
      <c r="M62" s="87">
        <f>Database[[#This Row],[ACT , M3/D2]]*(1-L62/100)</f>
        <v>2.8000000000000025</v>
      </c>
      <c r="N62" s="53">
        <v>114</v>
      </c>
      <c r="O62" s="54">
        <v>0.43</v>
      </c>
      <c r="P62" s="54">
        <v>400</v>
      </c>
      <c r="Q62" s="54">
        <v>23</v>
      </c>
      <c r="R62" s="54"/>
      <c r="S62" s="55">
        <v>83</v>
      </c>
      <c r="T62" s="55">
        <v>30</v>
      </c>
      <c r="U62" s="11" t="s">
        <v>185</v>
      </c>
      <c r="V62" s="55">
        <v>321</v>
      </c>
      <c r="W62" s="55"/>
      <c r="X62" s="7"/>
      <c r="Y62" s="7"/>
      <c r="Z62" s="406">
        <v>43486</v>
      </c>
      <c r="AA62" s="7"/>
      <c r="AB62" s="9" t="s">
        <v>179</v>
      </c>
      <c r="AC62" s="24"/>
      <c r="AD62" s="23"/>
      <c r="AE62" s="11"/>
      <c r="AF62" s="23"/>
      <c r="AG62" s="11"/>
      <c r="AH62" s="11" t="str">
        <f>VLOOKUP(E62,' Data Lists'!$Z$3:$AA$31,2,)</f>
        <v>IN SERVICE</v>
      </c>
      <c r="AI62" s="7"/>
    </row>
    <row r="63" spans="1:35" ht="15" customHeight="1" x14ac:dyDescent="0.25">
      <c r="A63" s="21" t="s">
        <v>84</v>
      </c>
      <c r="B63" s="7" t="s">
        <v>7</v>
      </c>
      <c r="C63" s="7" t="s">
        <v>21</v>
      </c>
      <c r="D63" s="561" t="s">
        <v>370</v>
      </c>
      <c r="E63" s="7" t="s">
        <v>105</v>
      </c>
      <c r="F63" s="9" t="str">
        <f>VLOOKUP(E63,' Data Lists'!$T$3:$U$31,2,)</f>
        <v>PP2</v>
      </c>
      <c r="G63" s="17" t="s">
        <v>176</v>
      </c>
      <c r="H63" s="49">
        <v>40</v>
      </c>
      <c r="I63" s="44">
        <v>46.5</v>
      </c>
      <c r="J63" s="82">
        <f>Database[[#This Row],[RATE , M3/D]]*(1-I63/100)</f>
        <v>21.4</v>
      </c>
      <c r="K63" s="76">
        <v>50</v>
      </c>
      <c r="L63" s="77">
        <v>42.4</v>
      </c>
      <c r="M63" s="87">
        <f>Database[[#This Row],[ACT , M3/D2]]*(1-L63/100)</f>
        <v>28.800000000000004</v>
      </c>
      <c r="N63" s="53">
        <v>173</v>
      </c>
      <c r="O63" s="54">
        <v>0.81</v>
      </c>
      <c r="P63" s="54">
        <v>400</v>
      </c>
      <c r="Q63" s="54">
        <v>18</v>
      </c>
      <c r="R63" s="54"/>
      <c r="S63" s="55">
        <v>67</v>
      </c>
      <c r="T63" s="55">
        <v>20</v>
      </c>
      <c r="U63" s="11" t="s">
        <v>158</v>
      </c>
      <c r="V63" s="55">
        <v>438</v>
      </c>
      <c r="W63" s="55"/>
      <c r="X63" s="7"/>
      <c r="Y63" s="7"/>
      <c r="Z63" s="406">
        <v>43590</v>
      </c>
      <c r="AA63" s="7"/>
      <c r="AB63" s="9" t="s">
        <v>179</v>
      </c>
      <c r="AC63" s="24"/>
      <c r="AD63" s="23" t="s">
        <v>16</v>
      </c>
      <c r="AE63" s="11"/>
      <c r="AF63" s="23"/>
      <c r="AG63" s="11"/>
      <c r="AH63" s="11" t="str">
        <f>VLOOKUP(E63,' Data Lists'!$Z$3:$AA$31,2,)</f>
        <v>IN SERVICE</v>
      </c>
      <c r="AI63" s="7"/>
    </row>
    <row r="64" spans="1:35" ht="15" customHeight="1" x14ac:dyDescent="0.25">
      <c r="A64" s="21" t="s">
        <v>85</v>
      </c>
      <c r="B64" s="7" t="s">
        <v>7</v>
      </c>
      <c r="C64" s="7" t="s">
        <v>21</v>
      </c>
      <c r="D64" s="561" t="s">
        <v>370</v>
      </c>
      <c r="E64" s="7" t="s">
        <v>109</v>
      </c>
      <c r="F64" s="9" t="str">
        <f>VLOOKUP(E64,' Data Lists'!$T$3:$U$31,2,)</f>
        <v>PP3</v>
      </c>
      <c r="G64" s="17" t="s">
        <v>94</v>
      </c>
      <c r="H64" s="49">
        <v>90</v>
      </c>
      <c r="I64" s="44">
        <v>50</v>
      </c>
      <c r="J64" s="82">
        <f>Database[[#This Row],[RATE , M3/D]]*(1-I64/100)</f>
        <v>45</v>
      </c>
      <c r="K64" s="76">
        <v>150</v>
      </c>
      <c r="L64" s="77">
        <v>3.2</v>
      </c>
      <c r="M64" s="87">
        <f>Database[[#This Row],[ACT , M3/D2]]*(1-L64/100)</f>
        <v>145.19999999999999</v>
      </c>
      <c r="N64" s="53">
        <v>71</v>
      </c>
      <c r="O64" s="54">
        <v>0.4</v>
      </c>
      <c r="P64" s="54">
        <v>400</v>
      </c>
      <c r="Q64" s="54">
        <v>17</v>
      </c>
      <c r="R64" s="54"/>
      <c r="S64" s="55">
        <v>100</v>
      </c>
      <c r="T64" s="55">
        <v>35</v>
      </c>
      <c r="U64" s="11" t="s">
        <v>185</v>
      </c>
      <c r="V64" s="55">
        <v>354</v>
      </c>
      <c r="W64" s="55"/>
      <c r="X64" s="7"/>
      <c r="Y64" s="7"/>
      <c r="Z64" s="406">
        <v>44119</v>
      </c>
      <c r="AA64" s="7"/>
      <c r="AB64" s="9" t="s">
        <v>11</v>
      </c>
      <c r="AC64" s="24"/>
      <c r="AD64" s="23"/>
      <c r="AE64" s="11"/>
      <c r="AF64" s="23"/>
      <c r="AG64" s="11"/>
      <c r="AH64" s="11" t="str">
        <f>VLOOKUP(E64,' Data Lists'!$Z$3:$AA$31,2,)</f>
        <v>IN SERVICE</v>
      </c>
      <c r="AI64" s="7"/>
    </row>
    <row r="65" spans="1:35" ht="15" customHeight="1" x14ac:dyDescent="0.25">
      <c r="A65" s="6" t="s">
        <v>180</v>
      </c>
      <c r="B65" s="7" t="s">
        <v>7</v>
      </c>
      <c r="C65" s="7" t="s">
        <v>21</v>
      </c>
      <c r="D65" s="561" t="s">
        <v>370</v>
      </c>
      <c r="E65" s="63" t="s">
        <v>109</v>
      </c>
      <c r="F65" s="9" t="str">
        <f>VLOOKUP(E65,' Data Lists'!$T$3:$U$31,2,)</f>
        <v>PP3</v>
      </c>
      <c r="G65" s="63"/>
      <c r="H65" s="64">
        <v>100</v>
      </c>
      <c r="I65" s="65">
        <v>1.6</v>
      </c>
      <c r="J65" s="84">
        <f>Database[[#This Row],[RATE , M3/D]]*(1-I65/100)</f>
        <v>98.4</v>
      </c>
      <c r="K65" s="80">
        <v>90</v>
      </c>
      <c r="L65" s="77">
        <v>7.3</v>
      </c>
      <c r="M65" s="87">
        <f>Database[[#This Row],[ACT , M3/D2]]*(1-L65/100)</f>
        <v>83.43</v>
      </c>
      <c r="N65" s="66">
        <v>200</v>
      </c>
      <c r="O65" s="66">
        <v>0.42</v>
      </c>
      <c r="P65" s="66">
        <v>600</v>
      </c>
      <c r="Q65" s="66">
        <v>25</v>
      </c>
      <c r="R65" s="66"/>
      <c r="S65" s="67">
        <v>133</v>
      </c>
      <c r="T65" s="67">
        <v>46</v>
      </c>
      <c r="U65" s="68" t="s">
        <v>157</v>
      </c>
      <c r="V65" s="69">
        <v>400</v>
      </c>
      <c r="W65" s="67"/>
      <c r="X65" s="63"/>
      <c r="Y65" s="63"/>
      <c r="Z65" s="406">
        <v>43333</v>
      </c>
      <c r="AA65" s="63"/>
      <c r="AB65" s="9"/>
      <c r="AC65" s="70"/>
      <c r="AD65" s="71" t="s">
        <v>165</v>
      </c>
      <c r="AE65" s="72"/>
      <c r="AF65" s="73"/>
      <c r="AG65" s="72"/>
      <c r="AH65" s="72" t="str">
        <f>VLOOKUP(E65,' Data Lists'!$Z$3:$AA$31,2,)</f>
        <v>IN SERVICE</v>
      </c>
      <c r="AI65" s="63"/>
    </row>
    <row r="66" spans="1:35" x14ac:dyDescent="0.25">
      <c r="A66" s="21" t="s">
        <v>86</v>
      </c>
      <c r="B66" s="7" t="s">
        <v>7</v>
      </c>
      <c r="C66" s="7" t="s">
        <v>21</v>
      </c>
      <c r="D66" s="561" t="s">
        <v>370</v>
      </c>
      <c r="E66" s="7" t="s">
        <v>97</v>
      </c>
      <c r="F66" s="9" t="str">
        <f>VLOOKUP(E66,' Data Lists'!$T$3:$U$31,2,)</f>
        <v>PP2/PP3</v>
      </c>
      <c r="G66" s="17" t="s">
        <v>94</v>
      </c>
      <c r="H66" s="49">
        <v>200</v>
      </c>
      <c r="I66" s="44">
        <v>27.8</v>
      </c>
      <c r="J66" s="82">
        <f>Database[[#This Row],[RATE , M3/D]]*(1-I66/100)</f>
        <v>144.4</v>
      </c>
      <c r="K66" s="76">
        <v>200</v>
      </c>
      <c r="L66" s="77">
        <v>4.8</v>
      </c>
      <c r="M66" s="87">
        <f>Database[[#This Row],[ACT , M3/D2]]*(1-L66/100)</f>
        <v>190.39999999999998</v>
      </c>
      <c r="N66" s="53"/>
      <c r="O66" s="54"/>
      <c r="P66" s="54">
        <v>400</v>
      </c>
      <c r="Q66" s="54">
        <v>35</v>
      </c>
      <c r="R66" s="54"/>
      <c r="S66" s="55">
        <v>150</v>
      </c>
      <c r="T66" s="55">
        <v>50</v>
      </c>
      <c r="U66" s="11" t="s">
        <v>198</v>
      </c>
      <c r="V66" s="55">
        <v>449</v>
      </c>
      <c r="W66" s="55"/>
      <c r="X66" s="7"/>
      <c r="Y66" s="7"/>
      <c r="Z66" s="406">
        <v>43955</v>
      </c>
      <c r="AA66" s="7"/>
      <c r="AB66" s="9" t="s">
        <v>178</v>
      </c>
      <c r="AC66" s="24"/>
      <c r="AD66" s="23" t="s">
        <v>163</v>
      </c>
      <c r="AE66" s="11"/>
      <c r="AF66" s="23"/>
      <c r="AG66" s="11"/>
      <c r="AH66" s="11" t="str">
        <f>VLOOKUP(E66,' Data Lists'!$Z$3:$AA$31,2,)</f>
        <v>IN SERVICE</v>
      </c>
      <c r="AI66" s="7"/>
    </row>
    <row r="67" spans="1:35" ht="15" customHeight="1" x14ac:dyDescent="0.25">
      <c r="A67" s="21" t="s">
        <v>87</v>
      </c>
      <c r="B67" s="16" t="s">
        <v>7</v>
      </c>
      <c r="C67" s="16" t="s">
        <v>21</v>
      </c>
      <c r="D67" s="561" t="s">
        <v>370</v>
      </c>
      <c r="E67" s="7" t="s">
        <v>110</v>
      </c>
      <c r="F67" s="9" t="str">
        <f>VLOOKUP(E67,' Data Lists'!$T$3:$U$31,2,)</f>
        <v>PP3</v>
      </c>
      <c r="G67" s="17" t="s">
        <v>94</v>
      </c>
      <c r="H67" s="49">
        <v>100</v>
      </c>
      <c r="I67" s="44">
        <v>13</v>
      </c>
      <c r="J67" s="82">
        <f>Database[[#This Row],[RATE , M3/D]]*(1-I67/100)</f>
        <v>87</v>
      </c>
      <c r="K67" s="76">
        <v>115</v>
      </c>
      <c r="L67" s="77">
        <v>0.8</v>
      </c>
      <c r="M67" s="87">
        <f>Database[[#This Row],[ACT , M3/D2]]*(1-L67/100)</f>
        <v>114.08</v>
      </c>
      <c r="N67" s="53">
        <v>82</v>
      </c>
      <c r="O67" s="54">
        <v>0.34</v>
      </c>
      <c r="P67" s="54">
        <v>500</v>
      </c>
      <c r="Q67" s="54">
        <v>37</v>
      </c>
      <c r="R67" s="54"/>
      <c r="S67" s="55">
        <v>150</v>
      </c>
      <c r="T67" s="55">
        <v>48</v>
      </c>
      <c r="U67" s="11" t="s">
        <v>148</v>
      </c>
      <c r="V67" s="55">
        <v>357</v>
      </c>
      <c r="W67" s="55"/>
      <c r="X67" s="7"/>
      <c r="Y67" s="7"/>
      <c r="Z67" s="406">
        <v>43822</v>
      </c>
      <c r="AA67" s="7"/>
      <c r="AB67" s="9" t="s">
        <v>179</v>
      </c>
      <c r="AC67" s="24"/>
      <c r="AD67" s="23" t="s">
        <v>16</v>
      </c>
      <c r="AE67" s="11"/>
      <c r="AF67" s="23"/>
      <c r="AG67" s="11"/>
      <c r="AH67" s="11" t="str">
        <f>VLOOKUP(E67,' Data Lists'!$Z$3:$AA$31,2,)</f>
        <v xml:space="preserve">OUT OF SERVICE </v>
      </c>
      <c r="AI67" s="7"/>
    </row>
    <row r="68" spans="1:35" ht="15" customHeight="1" x14ac:dyDescent="0.25">
      <c r="A68" s="6" t="s">
        <v>88</v>
      </c>
      <c r="B68" s="16" t="s">
        <v>7</v>
      </c>
      <c r="C68" s="16" t="s">
        <v>21</v>
      </c>
      <c r="D68" s="561" t="s">
        <v>370</v>
      </c>
      <c r="E68" s="33" t="s">
        <v>95</v>
      </c>
      <c r="F68" s="9" t="str">
        <f>VLOOKUP(E68,' Data Lists'!$T$3:$U$31,2,)</f>
        <v>PP3</v>
      </c>
      <c r="G68" s="17" t="s">
        <v>95</v>
      </c>
      <c r="H68" s="52">
        <v>100</v>
      </c>
      <c r="I68" s="46">
        <v>4</v>
      </c>
      <c r="J68" s="85">
        <f>Database[[#This Row],[RATE , M3/D]]*(1-I68/100)</f>
        <v>96</v>
      </c>
      <c r="K68" s="78">
        <v>100</v>
      </c>
      <c r="L68" s="79">
        <v>29.7</v>
      </c>
      <c r="M68" s="87">
        <f>Database[[#This Row],[ACT , M3/D2]]*(1-L68/100)</f>
        <v>70.300000000000011</v>
      </c>
      <c r="N68" s="59">
        <v>47</v>
      </c>
      <c r="O68" s="60">
        <v>0.41</v>
      </c>
      <c r="P68" s="60">
        <v>400</v>
      </c>
      <c r="Q68" s="60">
        <v>25</v>
      </c>
      <c r="R68" s="60"/>
      <c r="S68" s="61">
        <v>83</v>
      </c>
      <c r="T68" s="61">
        <v>27</v>
      </c>
      <c r="U68" s="11" t="s">
        <v>190</v>
      </c>
      <c r="V68" s="34">
        <v>333</v>
      </c>
      <c r="W68" s="34"/>
      <c r="X68" s="33"/>
      <c r="Y68" s="33"/>
      <c r="Z68" s="406">
        <v>44040</v>
      </c>
      <c r="AA68" s="33"/>
      <c r="AB68" s="9" t="s">
        <v>179</v>
      </c>
      <c r="AC68" s="24"/>
      <c r="AD68" s="35" t="s">
        <v>163</v>
      </c>
      <c r="AE68" s="37"/>
      <c r="AF68" s="36"/>
      <c r="AG68" s="37"/>
      <c r="AH68" s="37" t="str">
        <f>VLOOKUP(E68,' Data Lists'!$Z$3:$AA$31,2,)</f>
        <v>IN SERVICE</v>
      </c>
      <c r="AI68" s="7"/>
    </row>
    <row r="69" spans="1:35" ht="15" customHeight="1" x14ac:dyDescent="0.25">
      <c r="A69" s="21" t="s">
        <v>89</v>
      </c>
      <c r="B69" s="7" t="s">
        <v>7</v>
      </c>
      <c r="C69" s="7" t="s">
        <v>21</v>
      </c>
      <c r="D69" s="561" t="s">
        <v>370</v>
      </c>
      <c r="E69" s="7" t="s">
        <v>105</v>
      </c>
      <c r="F69" s="9" t="str">
        <f>VLOOKUP(E69,' Data Lists'!$T$3:$U$31,2,)</f>
        <v>PP2</v>
      </c>
      <c r="G69" s="17" t="s">
        <v>176</v>
      </c>
      <c r="H69" s="49">
        <v>180</v>
      </c>
      <c r="I69" s="44">
        <v>7</v>
      </c>
      <c r="J69" s="82">
        <f>Database[[#This Row],[RATE , M3/D]]*(1-I69/100)</f>
        <v>167.39999999999998</v>
      </c>
      <c r="K69" s="76">
        <v>120</v>
      </c>
      <c r="L69" s="77">
        <v>22.7</v>
      </c>
      <c r="M69" s="87">
        <f>Database[[#This Row],[ACT , M3/D2]]*(1-L69/100)</f>
        <v>92.76</v>
      </c>
      <c r="N69" s="53">
        <v>67</v>
      </c>
      <c r="O69" s="54">
        <v>0.35</v>
      </c>
      <c r="P69" s="54">
        <v>400</v>
      </c>
      <c r="Q69" s="54">
        <v>40</v>
      </c>
      <c r="R69" s="54">
        <v>50</v>
      </c>
      <c r="S69" s="55">
        <v>167</v>
      </c>
      <c r="T69" s="55">
        <v>54</v>
      </c>
      <c r="U69" s="11" t="s">
        <v>191</v>
      </c>
      <c r="V69" s="55">
        <v>466</v>
      </c>
      <c r="W69" s="55"/>
      <c r="X69" s="7"/>
      <c r="Y69" s="7"/>
      <c r="Z69" s="406">
        <v>43902</v>
      </c>
      <c r="AA69" s="7"/>
      <c r="AB69" s="9" t="s">
        <v>179</v>
      </c>
      <c r="AC69" s="24"/>
      <c r="AD69" s="23" t="s">
        <v>16</v>
      </c>
      <c r="AE69" s="11"/>
      <c r="AF69" s="23"/>
      <c r="AG69" s="11"/>
      <c r="AH69" s="11" t="str">
        <f>VLOOKUP(E69,' Data Lists'!$Z$3:$AA$31,2,)</f>
        <v>IN SERVICE</v>
      </c>
      <c r="AI69" s="7"/>
    </row>
    <row r="70" spans="1:35" ht="15" customHeight="1" x14ac:dyDescent="0.25">
      <c r="A70" s="21" t="s">
        <v>90</v>
      </c>
      <c r="B70" s="7" t="s">
        <v>4</v>
      </c>
      <c r="C70" s="7" t="s">
        <v>21</v>
      </c>
      <c r="D70" s="561" t="s">
        <v>370</v>
      </c>
      <c r="E70" s="7" t="s">
        <v>104</v>
      </c>
      <c r="F70" s="9" t="str">
        <f>VLOOKUP(E70,' Data Lists'!$T$3:$U$31,2,)</f>
        <v>PP2</v>
      </c>
      <c r="G70" s="17" t="s">
        <v>176</v>
      </c>
      <c r="H70" s="49">
        <v>80</v>
      </c>
      <c r="I70" s="44">
        <v>8</v>
      </c>
      <c r="J70" s="82">
        <f>Database[[#This Row],[RATE , M3/D]]*(1-I70/100)</f>
        <v>73.600000000000009</v>
      </c>
      <c r="K70" s="76">
        <v>100</v>
      </c>
      <c r="L70" s="77">
        <v>1.6</v>
      </c>
      <c r="M70" s="87">
        <f>Database[[#This Row],[ACT , M3/D2]]*(1-L70/100)</f>
        <v>98.4</v>
      </c>
      <c r="N70" s="53">
        <v>47</v>
      </c>
      <c r="O70" s="54">
        <v>0.35</v>
      </c>
      <c r="P70" s="54">
        <v>400</v>
      </c>
      <c r="Q70" s="54">
        <v>18</v>
      </c>
      <c r="R70" s="54"/>
      <c r="S70" s="55">
        <v>83</v>
      </c>
      <c r="T70" s="55">
        <v>27</v>
      </c>
      <c r="U70" s="11" t="s">
        <v>190</v>
      </c>
      <c r="V70" s="55">
        <v>361</v>
      </c>
      <c r="W70" s="55"/>
      <c r="X70" s="7"/>
      <c r="Y70" s="7"/>
      <c r="Z70" s="406">
        <v>44074</v>
      </c>
      <c r="AA70" s="7"/>
      <c r="AB70" s="9" t="s">
        <v>10</v>
      </c>
      <c r="AC70" s="24"/>
      <c r="AD70" s="23" t="s">
        <v>16</v>
      </c>
      <c r="AE70" s="11"/>
      <c r="AF70" s="23"/>
      <c r="AG70" s="11"/>
      <c r="AH70" s="11" t="str">
        <f>VLOOKUP(E70,' Data Lists'!$Z$3:$AA$31,2,)</f>
        <v xml:space="preserve">OUT OF SERVICE </v>
      </c>
      <c r="AI70" s="7"/>
    </row>
    <row r="71" spans="1:35" ht="15" customHeight="1" thickBot="1" x14ac:dyDescent="0.3">
      <c r="A71" s="96" t="s">
        <v>91</v>
      </c>
      <c r="B71" s="97" t="s">
        <v>4</v>
      </c>
      <c r="C71" s="97" t="s">
        <v>21</v>
      </c>
      <c r="D71" s="561" t="s">
        <v>370</v>
      </c>
      <c r="E71" s="97" t="s">
        <v>109</v>
      </c>
      <c r="F71" s="9" t="str">
        <f>VLOOKUP(E71,' Data Lists'!$T$3:$U$31,2,)</f>
        <v>PP3</v>
      </c>
      <c r="G71" s="99" t="s">
        <v>94</v>
      </c>
      <c r="H71" s="100">
        <v>45</v>
      </c>
      <c r="I71" s="101">
        <v>5</v>
      </c>
      <c r="J71" s="102">
        <f>Database[[#This Row],[RATE , M3/D]]*(1-I71/100)</f>
        <v>42.75</v>
      </c>
      <c r="K71" s="103">
        <v>50</v>
      </c>
      <c r="L71" s="104">
        <v>100</v>
      </c>
      <c r="M71" s="105">
        <f>Database[[#This Row],[ACT , M3/D2]]*(1-L71/100)</f>
        <v>0</v>
      </c>
      <c r="N71" s="106">
        <v>47</v>
      </c>
      <c r="O71" s="107">
        <v>0.35</v>
      </c>
      <c r="P71" s="107">
        <v>300</v>
      </c>
      <c r="Q71" s="107">
        <v>28</v>
      </c>
      <c r="R71" s="107"/>
      <c r="S71" s="108">
        <v>133</v>
      </c>
      <c r="T71" s="108">
        <v>32</v>
      </c>
      <c r="U71" s="109" t="s">
        <v>148</v>
      </c>
      <c r="V71" s="108">
        <v>222</v>
      </c>
      <c r="W71" s="108"/>
      <c r="X71" s="97"/>
      <c r="Y71" s="97"/>
      <c r="Z71" s="406">
        <v>44107</v>
      </c>
      <c r="AA71" s="97"/>
      <c r="AB71" s="98" t="s">
        <v>179</v>
      </c>
      <c r="AC71" s="110"/>
      <c r="AD71" s="110" t="s">
        <v>16</v>
      </c>
      <c r="AE71" s="109"/>
      <c r="AF71" s="110"/>
      <c r="AG71" s="109"/>
      <c r="AH71" s="109" t="str">
        <f>VLOOKUP(E71,' Data Lists'!$Z$3:$AA$31,2,)</f>
        <v>IN SERVICE</v>
      </c>
      <c r="AI71" s="97"/>
    </row>
    <row r="72" spans="1:35" ht="15" customHeight="1" x14ac:dyDescent="0.25">
      <c r="A72" s="6" t="s">
        <v>386</v>
      </c>
      <c r="B72" s="13" t="s">
        <v>7</v>
      </c>
      <c r="C72" s="13" t="s">
        <v>21</v>
      </c>
      <c r="D72" s="561" t="s">
        <v>370</v>
      </c>
      <c r="E72" s="63" t="s">
        <v>97</v>
      </c>
      <c r="F72" s="622" t="s">
        <v>94</v>
      </c>
      <c r="G72" s="63" t="s">
        <v>94</v>
      </c>
      <c r="H72" s="64"/>
      <c r="I72" s="623"/>
      <c r="J72" s="84">
        <f>Database[[#This Row],[RATE , M3/D]]*(1-I72/100)</f>
        <v>0</v>
      </c>
      <c r="K72" s="624"/>
      <c r="L72" s="625"/>
      <c r="M72" s="626">
        <f>Database[[#This Row],[ACT , M3/D2]]*(1-L72/100)</f>
        <v>0</v>
      </c>
      <c r="N72" s="627"/>
      <c r="O72" s="66"/>
      <c r="P72" s="66"/>
      <c r="Q72" s="66"/>
      <c r="R72" s="66"/>
      <c r="S72" s="67"/>
      <c r="T72" s="67"/>
      <c r="U72" s="68"/>
      <c r="V72" s="69"/>
      <c r="W72" s="67"/>
      <c r="X72" s="63"/>
      <c r="Y72" s="63"/>
      <c r="Z72" s="628"/>
      <c r="AA72" s="63"/>
      <c r="AB72" s="9"/>
      <c r="AC72" s="70"/>
      <c r="AD72" s="95"/>
      <c r="AE72" s="72"/>
      <c r="AF72" s="73"/>
      <c r="AG72" s="72"/>
      <c r="AH72" s="68" t="str">
        <f>VLOOKUP(E72,' Data Lists'!$Z$3:$AA$31,2,)</f>
        <v>IN SERVICE</v>
      </c>
      <c r="AI72" s="63"/>
    </row>
    <row r="73" spans="1:35" ht="15" customHeight="1" x14ac:dyDescent="0.25">
      <c r="A73" s="6" t="s">
        <v>387</v>
      </c>
      <c r="B73" s="13" t="s">
        <v>7</v>
      </c>
      <c r="C73" s="13" t="s">
        <v>21</v>
      </c>
      <c r="D73" s="561" t="s">
        <v>370</v>
      </c>
      <c r="E73" s="63" t="s">
        <v>109</v>
      </c>
      <c r="F73" s="622" t="s">
        <v>94</v>
      </c>
      <c r="G73" s="63" t="s">
        <v>95</v>
      </c>
      <c r="H73" s="64">
        <v>100</v>
      </c>
      <c r="I73" s="623">
        <v>18.3</v>
      </c>
      <c r="J73" s="84">
        <f>Database[[#This Row],[RATE , M3/D]]*(1-I73/100)</f>
        <v>81.699999999999989</v>
      </c>
      <c r="K73" s="624">
        <v>100</v>
      </c>
      <c r="L73" s="625">
        <v>38.5</v>
      </c>
      <c r="M73" s="626">
        <f>Database[[#This Row],[ACT , M3/D2]]*(1-L73/100)</f>
        <v>61.5</v>
      </c>
      <c r="N73" s="627"/>
      <c r="O73" s="66"/>
      <c r="P73" s="66"/>
      <c r="Q73" s="66"/>
      <c r="R73" s="66"/>
      <c r="S73" s="67"/>
      <c r="T73" s="67"/>
      <c r="U73" s="68"/>
      <c r="V73" s="69"/>
      <c r="W73" s="67"/>
      <c r="X73" s="63"/>
      <c r="Y73" s="63"/>
      <c r="Z73" s="628"/>
      <c r="AA73" s="63"/>
      <c r="AB73" s="9"/>
      <c r="AC73" s="70"/>
      <c r="AD73" s="95"/>
      <c r="AE73" s="72"/>
      <c r="AF73" s="73"/>
      <c r="AG73" s="72"/>
      <c r="AH73" s="68" t="str">
        <f>VLOOKUP(E73,' Data Lists'!$Z$3:$AA$31,2,)</f>
        <v>IN SERVICE</v>
      </c>
      <c r="AI73" s="63"/>
    </row>
    <row r="74" spans="1:35" ht="15" customHeight="1" thickBot="1" x14ac:dyDescent="0.3">
      <c r="A74" s="6" t="s">
        <v>388</v>
      </c>
      <c r="B74" s="13" t="s">
        <v>7</v>
      </c>
      <c r="C74" s="13" t="s">
        <v>21</v>
      </c>
      <c r="D74" s="561" t="s">
        <v>370</v>
      </c>
      <c r="E74" s="63" t="s">
        <v>110</v>
      </c>
      <c r="F74" s="622" t="s">
        <v>94</v>
      </c>
      <c r="G74" s="63" t="s">
        <v>94</v>
      </c>
      <c r="H74" s="64">
        <v>200</v>
      </c>
      <c r="I74" s="623">
        <v>59.4</v>
      </c>
      <c r="J74" s="84">
        <f>Database[[#This Row],[RATE , M3/D]]*(1-I74/100)</f>
        <v>81.2</v>
      </c>
      <c r="K74" s="624">
        <v>200</v>
      </c>
      <c r="L74" s="625">
        <v>57.3</v>
      </c>
      <c r="M74" s="626">
        <f>Database[[#This Row],[ACT , M3/D2]]*(1-L74/100)</f>
        <v>85.4</v>
      </c>
      <c r="N74" s="627"/>
      <c r="O74" s="66"/>
      <c r="P74" s="66"/>
      <c r="Q74" s="66"/>
      <c r="R74" s="66"/>
      <c r="S74" s="67"/>
      <c r="T74" s="67"/>
      <c r="U74" s="68"/>
      <c r="V74" s="69"/>
      <c r="W74" s="67"/>
      <c r="X74" s="63"/>
      <c r="Y74" s="63"/>
      <c r="Z74" s="628"/>
      <c r="AA74" s="63"/>
      <c r="AB74" s="9"/>
      <c r="AC74" s="70"/>
      <c r="AD74" s="95"/>
      <c r="AE74" s="72"/>
      <c r="AF74" s="73"/>
      <c r="AG74" s="72"/>
      <c r="AH74" s="68" t="str">
        <f>VLOOKUP(E74,' Data Lists'!$Z$3:$AA$31,2,)</f>
        <v xml:space="preserve">OUT OF SERVICE </v>
      </c>
      <c r="AI74" s="63"/>
    </row>
    <row r="75" spans="1:35" x14ac:dyDescent="0.25">
      <c r="A75" s="91" t="s">
        <v>199</v>
      </c>
      <c r="B75" s="16" t="s">
        <v>7</v>
      </c>
      <c r="C75" s="7" t="s">
        <v>21</v>
      </c>
      <c r="D75" s="561" t="s">
        <v>370</v>
      </c>
      <c r="E75" s="92" t="s">
        <v>303</v>
      </c>
      <c r="F75" s="9" t="str">
        <f>VLOOKUP(E75,' Data Lists'!$T$3:$U$31,2,)</f>
        <v>PP2</v>
      </c>
      <c r="G75" s="243" t="s">
        <v>175</v>
      </c>
      <c r="H75" s="240">
        <v>50</v>
      </c>
      <c r="I75" s="44">
        <v>75</v>
      </c>
      <c r="J75" s="82">
        <f>Database[[#This Row],[RATE , M3/D]]*(1-I75/100)</f>
        <v>12.5</v>
      </c>
      <c r="K75" s="76">
        <v>50</v>
      </c>
      <c r="L75" s="77">
        <v>33.1</v>
      </c>
      <c r="M75" s="87">
        <f>Database[[#This Row],[ACT , M3/D2]]*(1-L75/100)</f>
        <v>33.450000000000003</v>
      </c>
      <c r="N75" s="53">
        <v>158</v>
      </c>
      <c r="O75" s="54">
        <v>0.04</v>
      </c>
      <c r="P75" s="54">
        <v>400</v>
      </c>
      <c r="Q75" s="54">
        <v>17</v>
      </c>
      <c r="R75" s="54"/>
      <c r="S75" s="55">
        <v>83</v>
      </c>
      <c r="T75" s="55">
        <v>27</v>
      </c>
      <c r="U75" s="10" t="s">
        <v>299</v>
      </c>
      <c r="V75" s="55">
        <v>245</v>
      </c>
      <c r="W75" s="67"/>
      <c r="X75" s="92"/>
      <c r="Y75" s="92"/>
      <c r="Z75" s="406">
        <v>43422</v>
      </c>
      <c r="AA75" s="92"/>
      <c r="AB75" s="93" t="s">
        <v>179</v>
      </c>
      <c r="AC75" s="70"/>
      <c r="AD75" s="90"/>
      <c r="AE75" s="94"/>
      <c r="AF75" s="95"/>
      <c r="AG75" s="94"/>
      <c r="AH75" s="94" t="str">
        <f>VLOOKUP(E75,' Data Lists'!$Z$3:$AA$31,2,)</f>
        <v xml:space="preserve">OUT OF SERVICE </v>
      </c>
      <c r="AI75" s="92"/>
    </row>
    <row r="76" spans="1:35" x14ac:dyDescent="0.25">
      <c r="A76" s="6" t="s">
        <v>200</v>
      </c>
      <c r="B76" s="16" t="s">
        <v>7</v>
      </c>
      <c r="C76" s="7" t="s">
        <v>21</v>
      </c>
      <c r="D76" s="561" t="s">
        <v>370</v>
      </c>
      <c r="E76" s="63" t="s">
        <v>123</v>
      </c>
      <c r="F76" s="9" t="str">
        <f>VLOOKUP(E76,' Data Lists'!$T$3:$U$31,2,)</f>
        <v>D10</v>
      </c>
      <c r="G76" s="3" t="s">
        <v>123</v>
      </c>
      <c r="H76" s="240">
        <v>110</v>
      </c>
      <c r="I76" s="44">
        <v>79</v>
      </c>
      <c r="J76" s="82">
        <f>Database[[#This Row],[RATE , M3/D]]*(1-I76/100)</f>
        <v>23.099999999999994</v>
      </c>
      <c r="K76" s="76">
        <v>120</v>
      </c>
      <c r="L76" s="77">
        <v>73.7</v>
      </c>
      <c r="M76" s="87">
        <f>Database[[#This Row],[ACT , M3/D2]]*(1-L76/100)</f>
        <v>31.560000000000002</v>
      </c>
      <c r="N76" s="53">
        <v>74</v>
      </c>
      <c r="O76" s="54">
        <v>0.03</v>
      </c>
      <c r="P76" s="54">
        <v>400</v>
      </c>
      <c r="Q76" s="54">
        <v>20</v>
      </c>
      <c r="R76" s="54"/>
      <c r="S76" s="55">
        <v>83</v>
      </c>
      <c r="T76" s="55">
        <v>28.5</v>
      </c>
      <c r="U76" s="11" t="s">
        <v>184</v>
      </c>
      <c r="V76" s="55">
        <v>300</v>
      </c>
      <c r="W76" s="67"/>
      <c r="X76" s="63"/>
      <c r="Y76" s="63"/>
      <c r="Z76" s="406">
        <v>43023</v>
      </c>
      <c r="AA76" s="63"/>
      <c r="AB76" s="89" t="s">
        <v>179</v>
      </c>
      <c r="AC76" s="111"/>
      <c r="AD76" s="90"/>
      <c r="AE76" s="72"/>
      <c r="AF76" s="73"/>
      <c r="AG76" s="72"/>
      <c r="AH76" s="72" t="str">
        <f>VLOOKUP(E76,' Data Lists'!$Z$3:$AA$31,2,)</f>
        <v xml:space="preserve">OUT OF SERVICE </v>
      </c>
      <c r="AI76" s="63"/>
    </row>
    <row r="77" spans="1:35" x14ac:dyDescent="0.25">
      <c r="A77" s="6" t="s">
        <v>245</v>
      </c>
      <c r="B77" s="16" t="s">
        <v>4</v>
      </c>
      <c r="C77" s="18" t="s">
        <v>22</v>
      </c>
      <c r="D77" s="561" t="s">
        <v>370</v>
      </c>
      <c r="E77" s="63" t="s">
        <v>123</v>
      </c>
      <c r="F77" s="9" t="str">
        <f>VLOOKUP(E77,' Data Lists'!$T$3:$U$31,2,)</f>
        <v>D10</v>
      </c>
      <c r="G77" s="3" t="s">
        <v>123</v>
      </c>
      <c r="H77" s="240"/>
      <c r="I77" s="44"/>
      <c r="J77" s="82">
        <f>Database[[#This Row],[RATE , M3/D]]*(1-I77/100)</f>
        <v>0</v>
      </c>
      <c r="K77" s="76">
        <v>0</v>
      </c>
      <c r="L77" s="77">
        <v>40.9</v>
      </c>
      <c r="M77" s="87">
        <f>Database[[#This Row],[ACT , M3/D2]]*(1-L77/100)</f>
        <v>0</v>
      </c>
      <c r="N77" s="53">
        <v>0</v>
      </c>
      <c r="O77" s="54">
        <v>0</v>
      </c>
      <c r="P77" s="54">
        <v>400</v>
      </c>
      <c r="Q77" s="54">
        <v>17</v>
      </c>
      <c r="R77" s="54"/>
      <c r="S77" s="55">
        <v>60</v>
      </c>
      <c r="T77" s="55">
        <v>20</v>
      </c>
      <c r="U77" s="11" t="s">
        <v>188</v>
      </c>
      <c r="V77" s="55">
        <v>288</v>
      </c>
      <c r="W77" s="67"/>
      <c r="X77" s="63"/>
      <c r="Y77" s="63"/>
      <c r="Z77" s="406">
        <v>43588</v>
      </c>
      <c r="AA77" s="63"/>
      <c r="AB77" s="89" t="s">
        <v>179</v>
      </c>
      <c r="AC77" s="111"/>
      <c r="AD77" s="90"/>
      <c r="AE77" s="72"/>
      <c r="AF77" s="95"/>
      <c r="AG77" s="72"/>
      <c r="AH77" s="72" t="str">
        <f>VLOOKUP(E77,' Data Lists'!$Z$3:$AA$31,2,)</f>
        <v xml:space="preserve">OUT OF SERVICE </v>
      </c>
      <c r="AI77" s="63"/>
    </row>
    <row r="78" spans="1:35" x14ac:dyDescent="0.25">
      <c r="A78" s="6" t="s">
        <v>246</v>
      </c>
      <c r="B78" s="16" t="s">
        <v>7</v>
      </c>
      <c r="C78" s="7" t="s">
        <v>21</v>
      </c>
      <c r="D78" s="561" t="s">
        <v>370</v>
      </c>
      <c r="E78" s="63" t="s">
        <v>123</v>
      </c>
      <c r="F78" s="9" t="str">
        <f>VLOOKUP(E78,' Data Lists'!$T$3:$U$31,2,)</f>
        <v>D10</v>
      </c>
      <c r="G78" s="244" t="s">
        <v>123</v>
      </c>
      <c r="H78" s="240">
        <v>0</v>
      </c>
      <c r="I78" s="44">
        <v>68.599999999999994</v>
      </c>
      <c r="J78" s="82">
        <f>Database[[#This Row],[RATE , M3/D]]*(1-I78/100)</f>
        <v>0</v>
      </c>
      <c r="K78" s="76">
        <v>0</v>
      </c>
      <c r="L78" s="77">
        <v>2.4</v>
      </c>
      <c r="M78" s="87">
        <f>Database[[#This Row],[ACT , M3/D2]]*(1-L78/100)</f>
        <v>0</v>
      </c>
      <c r="N78" s="53">
        <v>0</v>
      </c>
      <c r="O78" s="54">
        <v>0</v>
      </c>
      <c r="P78" s="54">
        <v>400</v>
      </c>
      <c r="Q78" s="54">
        <v>15</v>
      </c>
      <c r="R78" s="54"/>
      <c r="S78" s="55">
        <v>75</v>
      </c>
      <c r="T78" s="55">
        <v>27</v>
      </c>
      <c r="U78" s="11" t="s">
        <v>154</v>
      </c>
      <c r="V78" s="55">
        <v>357</v>
      </c>
      <c r="W78" s="67"/>
      <c r="X78" s="63"/>
      <c r="Y78" s="63"/>
      <c r="Z78" s="406">
        <v>43269</v>
      </c>
      <c r="AA78" s="63"/>
      <c r="AB78" s="89" t="s">
        <v>179</v>
      </c>
      <c r="AC78" s="111"/>
      <c r="AD78" s="90"/>
      <c r="AE78" s="72"/>
      <c r="AF78" s="95"/>
      <c r="AG78" s="72"/>
      <c r="AH78" s="72" t="str">
        <f>VLOOKUP(E78,' Data Lists'!$Z$3:$AA$31,2,)</f>
        <v xml:space="preserve">OUT OF SERVICE </v>
      </c>
      <c r="AI78" s="63"/>
    </row>
    <row r="79" spans="1:35" x14ac:dyDescent="0.25">
      <c r="A79" s="6" t="s">
        <v>201</v>
      </c>
      <c r="B79" s="16" t="s">
        <v>4</v>
      </c>
      <c r="C79" s="7" t="s">
        <v>21</v>
      </c>
      <c r="D79" s="561" t="s">
        <v>370</v>
      </c>
      <c r="E79" s="63" t="s">
        <v>123</v>
      </c>
      <c r="F79" s="9" t="str">
        <f>VLOOKUP(E79,' Data Lists'!$T$3:$U$31,2,)</f>
        <v>D10</v>
      </c>
      <c r="G79" s="244" t="s">
        <v>123</v>
      </c>
      <c r="H79" s="240">
        <v>50</v>
      </c>
      <c r="I79" s="44">
        <v>61.9</v>
      </c>
      <c r="J79" s="82">
        <f>Database[[#This Row],[RATE , M3/D]]*(1-I79/100)</f>
        <v>19.05</v>
      </c>
      <c r="K79" s="76">
        <v>50</v>
      </c>
      <c r="L79" s="77">
        <v>78.400000000000006</v>
      </c>
      <c r="M79" s="87">
        <f>Database[[#This Row],[ACT , M3/D2]]*(1-L79/100)</f>
        <v>10.799999999999999</v>
      </c>
      <c r="N79" s="53">
        <v>108</v>
      </c>
      <c r="O79" s="54">
        <v>0.09</v>
      </c>
      <c r="P79" s="54">
        <v>400</v>
      </c>
      <c r="Q79" s="54">
        <v>21</v>
      </c>
      <c r="R79" s="54"/>
      <c r="S79" s="55">
        <v>76</v>
      </c>
      <c r="T79" s="55">
        <v>25.6</v>
      </c>
      <c r="U79" s="11" t="s">
        <v>281</v>
      </c>
      <c r="V79" s="55">
        <v>584</v>
      </c>
      <c r="W79" s="67"/>
      <c r="X79" s="63"/>
      <c r="Y79" s="63"/>
      <c r="Z79" s="406">
        <v>43729</v>
      </c>
      <c r="AA79" s="63"/>
      <c r="AB79" s="89" t="s">
        <v>179</v>
      </c>
      <c r="AC79" s="111"/>
      <c r="AD79" s="90"/>
      <c r="AE79" s="72"/>
      <c r="AF79" s="95"/>
      <c r="AG79" s="72"/>
      <c r="AH79" s="72" t="str">
        <f>VLOOKUP(E79,' Data Lists'!$Z$3:$AA$31,2,)</f>
        <v xml:space="preserve">OUT OF SERVICE </v>
      </c>
      <c r="AI79" s="63"/>
    </row>
    <row r="80" spans="1:35" x14ac:dyDescent="0.25">
      <c r="A80" s="6" t="s">
        <v>202</v>
      </c>
      <c r="B80" s="16" t="s">
        <v>7</v>
      </c>
      <c r="C80" s="7" t="s">
        <v>21</v>
      </c>
      <c r="D80" s="561" t="s">
        <v>370</v>
      </c>
      <c r="E80" s="7" t="s">
        <v>118</v>
      </c>
      <c r="F80" s="9" t="str">
        <f>VLOOKUP(E80,' Data Lists'!$T$3:$U$31,2,)</f>
        <v>PP2</v>
      </c>
      <c r="G80" s="244" t="s">
        <v>93</v>
      </c>
      <c r="H80" s="240">
        <v>400</v>
      </c>
      <c r="I80" s="44">
        <v>100</v>
      </c>
      <c r="J80" s="82">
        <f>Database[[#This Row],[RATE , M3/D]]*(1-I80/100)</f>
        <v>0</v>
      </c>
      <c r="K80" s="76">
        <v>400</v>
      </c>
      <c r="L80" s="77">
        <v>97.5</v>
      </c>
      <c r="M80" s="87">
        <f>Database[[#This Row],[ACT , M3/D2]]*(1-L80/100)</f>
        <v>10.000000000000009</v>
      </c>
      <c r="N80" s="53">
        <v>49</v>
      </c>
      <c r="O80" s="54">
        <v>0.05</v>
      </c>
      <c r="P80" s="54">
        <v>400</v>
      </c>
      <c r="Q80" s="54">
        <v>92</v>
      </c>
      <c r="R80" s="54"/>
      <c r="S80" s="55" t="s">
        <v>282</v>
      </c>
      <c r="T80" s="55">
        <v>111</v>
      </c>
      <c r="U80" s="11" t="s">
        <v>295</v>
      </c>
      <c r="V80" s="55">
        <v>400</v>
      </c>
      <c r="W80" s="67"/>
      <c r="X80" s="63"/>
      <c r="Y80" s="63"/>
      <c r="Z80" s="406">
        <v>43993</v>
      </c>
      <c r="AA80" s="63"/>
      <c r="AB80" s="89" t="s">
        <v>178</v>
      </c>
      <c r="AC80" s="111"/>
      <c r="AD80" s="90"/>
      <c r="AE80" s="72"/>
      <c r="AF80" s="95"/>
      <c r="AG80" s="72"/>
      <c r="AH80" s="72" t="str">
        <f>VLOOKUP(E80,' Data Lists'!$Z$3:$AA$31,2,)</f>
        <v xml:space="preserve">OUT OF SERVICE </v>
      </c>
      <c r="AI80" s="63"/>
    </row>
    <row r="81" spans="1:35" x14ac:dyDescent="0.25">
      <c r="A81" s="6" t="s">
        <v>396</v>
      </c>
      <c r="B81" s="16" t="s">
        <v>7</v>
      </c>
      <c r="C81" s="7" t="s">
        <v>22</v>
      </c>
      <c r="D81" s="561" t="s">
        <v>370</v>
      </c>
      <c r="E81" s="63" t="s">
        <v>123</v>
      </c>
      <c r="F81" s="622" t="s">
        <v>302</v>
      </c>
      <c r="G81" s="244" t="s">
        <v>123</v>
      </c>
      <c r="H81" s="64"/>
      <c r="I81" s="65"/>
      <c r="J81" s="84">
        <f>Database[[#This Row],[RATE , M3/D]]*(1-I81/100)</f>
        <v>0</v>
      </c>
      <c r="K81" s="624"/>
      <c r="L81" s="629"/>
      <c r="M81" s="626">
        <f>Database[[#This Row],[ACT , M3/D2]]*(1-L81/100)</f>
        <v>0</v>
      </c>
      <c r="N81" s="627"/>
      <c r="O81" s="66"/>
      <c r="P81" s="66"/>
      <c r="Q81" s="66"/>
      <c r="R81" s="66"/>
      <c r="S81" s="67"/>
      <c r="T81" s="67"/>
      <c r="U81" s="68"/>
      <c r="V81" s="69"/>
      <c r="W81" s="67"/>
      <c r="X81" s="63"/>
      <c r="Y81" s="63"/>
      <c r="Z81" s="628"/>
      <c r="AA81" s="63"/>
      <c r="AB81" s="89"/>
      <c r="AC81" s="70"/>
      <c r="AD81" s="90"/>
      <c r="AE81" s="72"/>
      <c r="AF81" s="73"/>
      <c r="AG81" s="72"/>
      <c r="AH81" s="68" t="str">
        <f>VLOOKUP(E81,' Data Lists'!$Z$3:$AA$31,2,)</f>
        <v xml:space="preserve">OUT OF SERVICE </v>
      </c>
      <c r="AI81" s="63"/>
    </row>
    <row r="82" spans="1:35" x14ac:dyDescent="0.25">
      <c r="A82" s="6" t="s">
        <v>203</v>
      </c>
      <c r="B82" s="16" t="s">
        <v>7</v>
      </c>
      <c r="C82" s="7" t="s">
        <v>21</v>
      </c>
      <c r="D82" s="561" t="s">
        <v>370</v>
      </c>
      <c r="E82" s="63" t="s">
        <v>123</v>
      </c>
      <c r="F82" s="9" t="str">
        <f>VLOOKUP(E82,' Data Lists'!$T$3:$U$31,2,)</f>
        <v>D10</v>
      </c>
      <c r="G82" s="3" t="s">
        <v>121</v>
      </c>
      <c r="H82" s="240">
        <v>60</v>
      </c>
      <c r="I82" s="44">
        <v>45</v>
      </c>
      <c r="J82" s="82">
        <f>Database[[#This Row],[RATE , M3/D]]*(1-I82/100)</f>
        <v>33</v>
      </c>
      <c r="K82" s="76">
        <v>60</v>
      </c>
      <c r="L82" s="77">
        <v>67.900000000000006</v>
      </c>
      <c r="M82" s="87">
        <f>Database[[#This Row],[ACT , M3/D2]]*(1-L82/100)</f>
        <v>19.259999999999998</v>
      </c>
      <c r="N82" s="53">
        <v>34</v>
      </c>
      <c r="O82" s="54">
        <v>0.03</v>
      </c>
      <c r="P82" s="54">
        <v>110</v>
      </c>
      <c r="Q82" s="54">
        <v>19</v>
      </c>
      <c r="R82" s="54"/>
      <c r="S82" s="55">
        <v>66.7</v>
      </c>
      <c r="T82" s="55">
        <v>23.6</v>
      </c>
      <c r="U82" s="11" t="s">
        <v>296</v>
      </c>
      <c r="V82" s="55">
        <v>391</v>
      </c>
      <c r="W82" s="67"/>
      <c r="X82" s="63"/>
      <c r="Y82" s="63"/>
      <c r="Z82" s="406">
        <v>42616</v>
      </c>
      <c r="AA82" s="63"/>
      <c r="AB82" s="89" t="s">
        <v>179</v>
      </c>
      <c r="AC82" s="111"/>
      <c r="AD82" s="90"/>
      <c r="AE82" s="72"/>
      <c r="AF82" s="95"/>
      <c r="AG82" s="72"/>
      <c r="AH82" s="72" t="str">
        <f>VLOOKUP(E82,' Data Lists'!$Z$3:$AA$31,2,)</f>
        <v xml:space="preserve">OUT OF SERVICE </v>
      </c>
      <c r="AI82" s="63"/>
    </row>
    <row r="83" spans="1:35" x14ac:dyDescent="0.25">
      <c r="A83" s="6" t="s">
        <v>247</v>
      </c>
      <c r="B83" s="16" t="s">
        <v>7</v>
      </c>
      <c r="C83" s="7" t="s">
        <v>21</v>
      </c>
      <c r="D83" s="561" t="s">
        <v>370</v>
      </c>
      <c r="E83" s="63" t="s">
        <v>303</v>
      </c>
      <c r="F83" s="9" t="str">
        <f>VLOOKUP(E83,' Data Lists'!$T$3:$U$31,2,)</f>
        <v>PP2</v>
      </c>
      <c r="G83" s="244" t="s">
        <v>93</v>
      </c>
      <c r="H83" s="240">
        <v>0</v>
      </c>
      <c r="I83" s="44">
        <v>1.2</v>
      </c>
      <c r="J83" s="82">
        <f>Database[[#This Row],[RATE , M3/D]]*(1-I83/100)</f>
        <v>0</v>
      </c>
      <c r="K83" s="76">
        <v>0</v>
      </c>
      <c r="L83" s="77">
        <v>37.6</v>
      </c>
      <c r="M83" s="87">
        <f>Database[[#This Row],[ACT , M3/D2]]*(1-L83/100)</f>
        <v>0</v>
      </c>
      <c r="N83" s="53">
        <v>0</v>
      </c>
      <c r="O83" s="54">
        <v>0</v>
      </c>
      <c r="P83" s="54">
        <v>400</v>
      </c>
      <c r="Q83" s="54">
        <v>19</v>
      </c>
      <c r="R83" s="54"/>
      <c r="S83" s="55">
        <v>66.7</v>
      </c>
      <c r="T83" s="55">
        <v>22</v>
      </c>
      <c r="U83" s="11" t="s">
        <v>284</v>
      </c>
      <c r="V83" s="55">
        <v>391</v>
      </c>
      <c r="W83" s="67"/>
      <c r="X83" s="63"/>
      <c r="Y83" s="63"/>
      <c r="Z83" s="406">
        <v>42888</v>
      </c>
      <c r="AA83" s="63"/>
      <c r="AB83" s="89" t="s">
        <v>179</v>
      </c>
      <c r="AC83" s="111"/>
      <c r="AD83" s="90"/>
      <c r="AE83" s="72"/>
      <c r="AF83" s="95"/>
      <c r="AG83" s="72"/>
      <c r="AH83" s="72" t="str">
        <f>VLOOKUP(E83,' Data Lists'!$Z$3:$AA$31,2,)</f>
        <v xml:space="preserve">OUT OF SERVICE </v>
      </c>
      <c r="AI83" s="63"/>
    </row>
    <row r="84" spans="1:35" x14ac:dyDescent="0.25">
      <c r="A84" s="6" t="s">
        <v>397</v>
      </c>
      <c r="B84" s="16" t="s">
        <v>7</v>
      </c>
      <c r="C84" s="7" t="s">
        <v>22</v>
      </c>
      <c r="D84" s="561" t="s">
        <v>370</v>
      </c>
      <c r="E84" s="63" t="s">
        <v>123</v>
      </c>
      <c r="F84" s="9" t="str">
        <f>VLOOKUP(E84,' Data Lists'!$T$3:$U$31,2,)</f>
        <v>D10</v>
      </c>
      <c r="G84" s="244" t="s">
        <v>123</v>
      </c>
      <c r="H84" s="64"/>
      <c r="I84" s="65"/>
      <c r="J84" s="84">
        <f>Database[[#This Row],[RATE , M3/D]]*(1-I84/100)</f>
        <v>0</v>
      </c>
      <c r="K84" s="624">
        <v>20</v>
      </c>
      <c r="L84" s="629">
        <v>79.099999999999994</v>
      </c>
      <c r="M84" s="626">
        <f>Database[[#This Row],[ACT , M3/D2]]*(1-L84/100)</f>
        <v>4.1800000000000015</v>
      </c>
      <c r="N84" s="627"/>
      <c r="O84" s="66"/>
      <c r="P84" s="66"/>
      <c r="Q84" s="66"/>
      <c r="R84" s="66"/>
      <c r="S84" s="67"/>
      <c r="T84" s="67"/>
      <c r="U84" s="68"/>
      <c r="V84" s="69"/>
      <c r="W84" s="67"/>
      <c r="X84" s="63"/>
      <c r="Y84" s="63"/>
      <c r="Z84" s="628"/>
      <c r="AA84" s="63"/>
      <c r="AB84" s="89"/>
      <c r="AC84" s="70"/>
      <c r="AD84" s="90"/>
      <c r="AE84" s="72"/>
      <c r="AF84" s="73"/>
      <c r="AG84" s="72"/>
      <c r="AH84" s="68" t="str">
        <f>VLOOKUP(E84,' Data Lists'!$Z$3:$AA$31,2,)</f>
        <v xml:space="preserve">OUT OF SERVICE </v>
      </c>
      <c r="AI84" s="63"/>
    </row>
    <row r="85" spans="1:35" x14ac:dyDescent="0.25">
      <c r="A85" s="6" t="s">
        <v>204</v>
      </c>
      <c r="B85" s="16" t="s">
        <v>7</v>
      </c>
      <c r="C85" s="7" t="s">
        <v>21</v>
      </c>
      <c r="D85" s="561" t="s">
        <v>370</v>
      </c>
      <c r="E85" s="63" t="s">
        <v>123</v>
      </c>
      <c r="F85" s="9" t="str">
        <f>VLOOKUP(E85,' Data Lists'!$T$3:$U$31,2,)</f>
        <v>D10</v>
      </c>
      <c r="G85" s="244" t="s">
        <v>123</v>
      </c>
      <c r="H85" s="240">
        <v>0</v>
      </c>
      <c r="I85" s="44">
        <v>0</v>
      </c>
      <c r="J85" s="82">
        <f>Database[[#This Row],[RATE , M3/D]]*(1-I85/100)</f>
        <v>0</v>
      </c>
      <c r="K85" s="76">
        <v>0</v>
      </c>
      <c r="L85" s="77">
        <v>94.3</v>
      </c>
      <c r="M85" s="87">
        <f>Database[[#This Row],[ACT , M3/D2]]*(1-L85/100)</f>
        <v>0</v>
      </c>
      <c r="N85" s="53">
        <v>0</v>
      </c>
      <c r="O85" s="54">
        <v>0</v>
      </c>
      <c r="P85" s="54">
        <v>0</v>
      </c>
      <c r="Q85" s="54">
        <v>0</v>
      </c>
      <c r="R85" s="54"/>
      <c r="S85" s="55">
        <v>71</v>
      </c>
      <c r="T85" s="55">
        <v>27</v>
      </c>
      <c r="U85" s="11" t="s">
        <v>160</v>
      </c>
      <c r="V85" s="55">
        <v>564</v>
      </c>
      <c r="W85" s="67"/>
      <c r="X85" s="63"/>
      <c r="Y85" s="63"/>
      <c r="Z85" s="406">
        <v>43553</v>
      </c>
      <c r="AA85" s="63"/>
      <c r="AB85" s="89" t="s">
        <v>179</v>
      </c>
      <c r="AC85" s="111"/>
      <c r="AD85" s="90"/>
      <c r="AE85" s="72"/>
      <c r="AF85" s="95"/>
      <c r="AG85" s="72"/>
      <c r="AH85" s="72" t="str">
        <f>VLOOKUP(E85,' Data Lists'!$Z$3:$AA$31,2,)</f>
        <v xml:space="preserve">OUT OF SERVICE </v>
      </c>
      <c r="AI85" s="63"/>
    </row>
    <row r="86" spans="1:35" x14ac:dyDescent="0.25">
      <c r="A86" s="6" t="s">
        <v>206</v>
      </c>
      <c r="B86" s="16" t="s">
        <v>4</v>
      </c>
      <c r="C86" s="7" t="s">
        <v>21</v>
      </c>
      <c r="D86" s="561" t="s">
        <v>370</v>
      </c>
      <c r="E86" s="63" t="s">
        <v>120</v>
      </c>
      <c r="F86" s="9" t="str">
        <f>VLOOKUP(E86,' Data Lists'!$T$3:$U$31,2,)</f>
        <v>PP2</v>
      </c>
      <c r="G86" s="244" t="s">
        <v>93</v>
      </c>
      <c r="H86" s="240">
        <v>30</v>
      </c>
      <c r="I86" s="44">
        <v>64.8</v>
      </c>
      <c r="J86" s="82">
        <f>Database[[#This Row],[RATE , M3/D]]*(1-I86/100)</f>
        <v>10.559999999999999</v>
      </c>
      <c r="K86" s="76">
        <v>30</v>
      </c>
      <c r="L86" s="77">
        <v>64.8</v>
      </c>
      <c r="M86" s="87">
        <f>Database[[#This Row],[ACT , M3/D2]]*(1-L86/100)</f>
        <v>10.559999999999999</v>
      </c>
      <c r="N86" s="53">
        <v>148</v>
      </c>
      <c r="O86" s="54">
        <v>0.05</v>
      </c>
      <c r="P86" s="54">
        <v>400</v>
      </c>
      <c r="Q86" s="54">
        <v>14</v>
      </c>
      <c r="R86" s="54"/>
      <c r="S86" s="55">
        <v>60</v>
      </c>
      <c r="T86" s="55">
        <v>24</v>
      </c>
      <c r="U86" s="11" t="s">
        <v>188</v>
      </c>
      <c r="V86" s="55">
        <v>216</v>
      </c>
      <c r="W86" s="67"/>
      <c r="X86" s="63"/>
      <c r="Y86" s="63"/>
      <c r="Z86" s="406">
        <v>43992</v>
      </c>
      <c r="AA86" s="63"/>
      <c r="AB86" s="89" t="s">
        <v>179</v>
      </c>
      <c r="AC86" s="111"/>
      <c r="AD86" s="90"/>
      <c r="AE86" s="72"/>
      <c r="AF86" s="95"/>
      <c r="AG86" s="72"/>
      <c r="AH86" s="72" t="str">
        <f>VLOOKUP(E86,' Data Lists'!$Z$3:$AA$31,2,)</f>
        <v>IN SERVICE</v>
      </c>
      <c r="AI86" s="63"/>
    </row>
    <row r="87" spans="1:35" x14ac:dyDescent="0.25">
      <c r="A87" s="6" t="s">
        <v>207</v>
      </c>
      <c r="B87" s="16" t="s">
        <v>7</v>
      </c>
      <c r="C87" s="7" t="s">
        <v>22</v>
      </c>
      <c r="D87" s="561" t="s">
        <v>370</v>
      </c>
      <c r="E87" s="63" t="s">
        <v>96</v>
      </c>
      <c r="F87" s="9" t="str">
        <f>VLOOKUP(E87,' Data Lists'!$T$3:$U$31,2,)</f>
        <v>D10</v>
      </c>
      <c r="G87" s="244" t="s">
        <v>96</v>
      </c>
      <c r="H87" s="240"/>
      <c r="I87" s="44"/>
      <c r="J87" s="82">
        <f>Database[[#This Row],[RATE , M3/D]]*(1-I87/100)</f>
        <v>0</v>
      </c>
      <c r="K87" s="76">
        <v>0</v>
      </c>
      <c r="L87" s="77">
        <v>80</v>
      </c>
      <c r="M87" s="87">
        <f>Database[[#This Row],[ACT , M3/D2]]*(1-L87/100)</f>
        <v>0</v>
      </c>
      <c r="N87" s="53">
        <v>0</v>
      </c>
      <c r="O87" s="54">
        <v>0</v>
      </c>
      <c r="P87" s="54">
        <v>400</v>
      </c>
      <c r="Q87" s="54">
        <v>0</v>
      </c>
      <c r="R87" s="54"/>
      <c r="S87" s="55">
        <v>83</v>
      </c>
      <c r="T87" s="55">
        <v>31.5</v>
      </c>
      <c r="U87" s="11" t="s">
        <v>283</v>
      </c>
      <c r="V87" s="55">
        <v>643</v>
      </c>
      <c r="W87" s="67"/>
      <c r="X87" s="63"/>
      <c r="Y87" s="63"/>
      <c r="Z87" s="406">
        <v>43204</v>
      </c>
      <c r="AA87" s="63"/>
      <c r="AB87" s="89" t="s">
        <v>179</v>
      </c>
      <c r="AC87" s="111"/>
      <c r="AD87" s="90"/>
      <c r="AE87" s="72"/>
      <c r="AF87" s="95"/>
      <c r="AG87" s="72"/>
      <c r="AH87" s="72" t="str">
        <f>VLOOKUP(E87,' Data Lists'!$Z$3:$AA$31,2,)</f>
        <v>IN SERVICE</v>
      </c>
      <c r="AI87" s="63"/>
    </row>
    <row r="88" spans="1:35" x14ac:dyDescent="0.25">
      <c r="A88" s="6" t="s">
        <v>398</v>
      </c>
      <c r="B88" s="16" t="s">
        <v>7</v>
      </c>
      <c r="C88" s="7" t="s">
        <v>21</v>
      </c>
      <c r="D88" s="561" t="s">
        <v>370</v>
      </c>
      <c r="E88" s="63"/>
      <c r="F88" s="622"/>
      <c r="G88" s="63"/>
      <c r="H88" s="64">
        <v>30</v>
      </c>
      <c r="I88" s="65">
        <v>16.8</v>
      </c>
      <c r="J88" s="84">
        <f>Database[[#This Row],[RATE , M3/D]]*(1-I88/100)</f>
        <v>24.959999999999997</v>
      </c>
      <c r="K88" s="624">
        <v>50</v>
      </c>
      <c r="L88" s="629">
        <v>50.8</v>
      </c>
      <c r="M88" s="626">
        <f>Database[[#This Row],[ACT , M3/D2]]*(1-L88/100)</f>
        <v>24.6</v>
      </c>
      <c r="N88" s="627"/>
      <c r="O88" s="66"/>
      <c r="P88" s="66"/>
      <c r="Q88" s="66"/>
      <c r="R88" s="66"/>
      <c r="S88" s="67"/>
      <c r="T88" s="67"/>
      <c r="U88" s="68"/>
      <c r="V88" s="69"/>
      <c r="W88" s="67"/>
      <c r="X88" s="63"/>
      <c r="Y88" s="63"/>
      <c r="Z88" s="628"/>
      <c r="AA88" s="63"/>
      <c r="AB88" s="89"/>
      <c r="AC88" s="70"/>
      <c r="AD88" s="90"/>
      <c r="AE88" s="72"/>
      <c r="AF88" s="73"/>
      <c r="AG88" s="72"/>
      <c r="AH88" s="68" t="e">
        <f>VLOOKUP(E88,' Data Lists'!$Z$3:$AA$31,2,)</f>
        <v>#N/A</v>
      </c>
      <c r="AI88" s="63"/>
    </row>
    <row r="89" spans="1:35" x14ac:dyDescent="0.25">
      <c r="A89" s="6" t="s">
        <v>208</v>
      </c>
      <c r="B89" s="16" t="s">
        <v>7</v>
      </c>
      <c r="C89" s="7" t="s">
        <v>21</v>
      </c>
      <c r="D89" s="561" t="s">
        <v>370</v>
      </c>
      <c r="E89" s="63" t="s">
        <v>113</v>
      </c>
      <c r="F89" s="9" t="str">
        <f>VLOOKUP(E89,' Data Lists'!$T$3:$U$31,2,)</f>
        <v>PP2</v>
      </c>
      <c r="G89" s="244" t="s">
        <v>93</v>
      </c>
      <c r="H89" s="240">
        <v>50</v>
      </c>
      <c r="I89" s="44">
        <v>74</v>
      </c>
      <c r="J89" s="82">
        <f>Database[[#This Row],[RATE , M3/D]]*(1-I89/100)</f>
        <v>13</v>
      </c>
      <c r="K89" s="76">
        <v>50</v>
      </c>
      <c r="L89" s="77">
        <v>73.099999999999994</v>
      </c>
      <c r="M89" s="87">
        <f>Database[[#This Row],[ACT , M3/D2]]*(1-L89/100)</f>
        <v>13.450000000000001</v>
      </c>
      <c r="N89" s="53">
        <v>200</v>
      </c>
      <c r="O89" s="54">
        <v>0.22</v>
      </c>
      <c r="P89" s="54">
        <v>400</v>
      </c>
      <c r="Q89" s="54">
        <v>21</v>
      </c>
      <c r="R89" s="54"/>
      <c r="S89" s="55">
        <v>75</v>
      </c>
      <c r="T89" s="55">
        <v>25</v>
      </c>
      <c r="U89" s="11" t="s">
        <v>284</v>
      </c>
      <c r="V89" s="55">
        <v>261</v>
      </c>
      <c r="W89" s="67"/>
      <c r="X89" s="63"/>
      <c r="Y89" s="63"/>
      <c r="Z89" s="406">
        <v>43728</v>
      </c>
      <c r="AA89" s="63"/>
      <c r="AB89" s="89" t="s">
        <v>179</v>
      </c>
      <c r="AC89" s="111"/>
      <c r="AD89" s="90"/>
      <c r="AE89" s="72"/>
      <c r="AF89" s="95"/>
      <c r="AG89" s="72"/>
      <c r="AH89" s="72" t="str">
        <f>VLOOKUP(E89,' Data Lists'!$Z$3:$AA$31,2,)</f>
        <v>IN SERVICE</v>
      </c>
      <c r="AI89" s="63"/>
    </row>
    <row r="90" spans="1:35" x14ac:dyDescent="0.25">
      <c r="A90" s="6" t="s">
        <v>248</v>
      </c>
      <c r="B90" s="16" t="s">
        <v>7</v>
      </c>
      <c r="C90" s="7" t="s">
        <v>21</v>
      </c>
      <c r="D90" s="561" t="s">
        <v>370</v>
      </c>
      <c r="E90" s="63" t="s">
        <v>121</v>
      </c>
      <c r="F90" s="9" t="str">
        <f>VLOOKUP(E90,' Data Lists'!$T$3:$U$31,2,)</f>
        <v>D10</v>
      </c>
      <c r="G90" s="3" t="s">
        <v>121</v>
      </c>
      <c r="H90" s="240">
        <v>0</v>
      </c>
      <c r="I90" s="44">
        <v>90</v>
      </c>
      <c r="J90" s="82">
        <f>Database[[#This Row],[RATE , M3/D]]*(1-I90/100)</f>
        <v>0</v>
      </c>
      <c r="K90" s="76">
        <v>0</v>
      </c>
      <c r="L90" s="77">
        <v>92</v>
      </c>
      <c r="M90" s="87">
        <f>Database[[#This Row],[ACT , M3/D2]]*(1-L90/100)</f>
        <v>0</v>
      </c>
      <c r="N90" s="53">
        <v>0</v>
      </c>
      <c r="O90" s="54">
        <v>0</v>
      </c>
      <c r="P90" s="54">
        <v>0</v>
      </c>
      <c r="Q90" s="54">
        <v>0</v>
      </c>
      <c r="R90" s="54"/>
      <c r="S90" s="55">
        <v>229</v>
      </c>
      <c r="T90" s="55">
        <v>75</v>
      </c>
      <c r="U90" s="11" t="s">
        <v>285</v>
      </c>
      <c r="V90" s="55">
        <v>205</v>
      </c>
      <c r="W90" s="67"/>
      <c r="X90" s="63"/>
      <c r="Y90" s="63"/>
      <c r="Z90" s="406">
        <v>43430</v>
      </c>
      <c r="AA90" s="63"/>
      <c r="AB90" s="89" t="s">
        <v>179</v>
      </c>
      <c r="AC90" s="111"/>
      <c r="AD90" s="90"/>
      <c r="AE90" s="72"/>
      <c r="AF90" s="95"/>
      <c r="AG90" s="72"/>
      <c r="AH90" s="72" t="str">
        <f>VLOOKUP(E90,' Data Lists'!$Z$3:$AA$31,2,)</f>
        <v>IN SERVICE</v>
      </c>
      <c r="AI90" s="63"/>
    </row>
    <row r="91" spans="1:35" x14ac:dyDescent="0.25">
      <c r="A91" s="6" t="s">
        <v>209</v>
      </c>
      <c r="B91" s="16" t="s">
        <v>4</v>
      </c>
      <c r="C91" s="7" t="s">
        <v>21</v>
      </c>
      <c r="D91" s="561" t="s">
        <v>370</v>
      </c>
      <c r="E91" s="7" t="s">
        <v>96</v>
      </c>
      <c r="F91" s="9" t="str">
        <f>VLOOKUP(E91,' Data Lists'!$T$3:$U$31,2,)</f>
        <v>D10</v>
      </c>
      <c r="G91" s="244" t="s">
        <v>96</v>
      </c>
      <c r="H91" s="240">
        <v>0</v>
      </c>
      <c r="I91" s="44">
        <v>0</v>
      </c>
      <c r="J91" s="82">
        <f>Database[[#This Row],[RATE , M3/D]]*(1-I91/100)</f>
        <v>0</v>
      </c>
      <c r="K91" s="76">
        <v>90</v>
      </c>
      <c r="L91" s="77">
        <v>82</v>
      </c>
      <c r="M91" s="87">
        <f>Database[[#This Row],[ACT , M3/D2]]*(1-L91/100)</f>
        <v>16.200000000000003</v>
      </c>
      <c r="N91" s="53"/>
      <c r="O91" s="54"/>
      <c r="P91" s="54">
        <v>400</v>
      </c>
      <c r="Q91" s="54">
        <v>22</v>
      </c>
      <c r="R91" s="54"/>
      <c r="S91" s="55">
        <v>75</v>
      </c>
      <c r="T91" s="55">
        <v>27.2</v>
      </c>
      <c r="U91" s="11" t="s">
        <v>147</v>
      </c>
      <c r="V91" s="55">
        <v>260</v>
      </c>
      <c r="W91" s="67"/>
      <c r="X91" s="63"/>
      <c r="Y91" s="63"/>
      <c r="Z91" s="406">
        <v>43189</v>
      </c>
      <c r="AA91" s="63"/>
      <c r="AB91" s="89" t="s">
        <v>179</v>
      </c>
      <c r="AC91" s="111"/>
      <c r="AD91" s="90"/>
      <c r="AE91" s="72"/>
      <c r="AF91" s="95"/>
      <c r="AG91" s="72"/>
      <c r="AH91" s="72" t="str">
        <f>VLOOKUP(E91,' Data Lists'!$Z$3:$AA$31,2,)</f>
        <v>IN SERVICE</v>
      </c>
      <c r="AI91" s="63"/>
    </row>
    <row r="92" spans="1:35" x14ac:dyDescent="0.25">
      <c r="A92" s="6" t="s">
        <v>390</v>
      </c>
      <c r="B92" s="16" t="s">
        <v>7</v>
      </c>
      <c r="C92" s="7" t="s">
        <v>21</v>
      </c>
      <c r="D92" s="561" t="s">
        <v>370</v>
      </c>
      <c r="E92" s="63" t="s">
        <v>121</v>
      </c>
      <c r="F92" s="622"/>
      <c r="G92" s="63"/>
      <c r="H92" s="64"/>
      <c r="I92" s="65"/>
      <c r="J92" s="84">
        <f>Database[[#This Row],[RATE , M3/D]]*(1-I92/100)</f>
        <v>0</v>
      </c>
      <c r="K92" s="624"/>
      <c r="L92" s="629"/>
      <c r="M92" s="626">
        <f>Database[[#This Row],[ACT , M3/D2]]*(1-L92/100)</f>
        <v>0</v>
      </c>
      <c r="N92" s="627"/>
      <c r="O92" s="66"/>
      <c r="P92" s="66"/>
      <c r="Q92" s="66"/>
      <c r="R92" s="66"/>
      <c r="S92" s="67"/>
      <c r="T92" s="67"/>
      <c r="U92" s="68"/>
      <c r="V92" s="69"/>
      <c r="W92" s="67"/>
      <c r="X92" s="63"/>
      <c r="Y92" s="63"/>
      <c r="Z92" s="628"/>
      <c r="AA92" s="63"/>
      <c r="AB92" s="89"/>
      <c r="AC92" s="70"/>
      <c r="AD92" s="90"/>
      <c r="AE92" s="72"/>
      <c r="AF92" s="73"/>
      <c r="AG92" s="72"/>
      <c r="AH92" s="68" t="str">
        <f>VLOOKUP(E92,' Data Lists'!$Z$3:$AA$31,2,)</f>
        <v>IN SERVICE</v>
      </c>
      <c r="AI92" s="63"/>
    </row>
    <row r="93" spans="1:35" x14ac:dyDescent="0.25">
      <c r="A93" s="6" t="s">
        <v>389</v>
      </c>
      <c r="B93" s="16" t="s">
        <v>7</v>
      </c>
      <c r="C93" s="7" t="s">
        <v>22</v>
      </c>
      <c r="D93" s="561" t="s">
        <v>370</v>
      </c>
      <c r="E93" s="63" t="s">
        <v>116</v>
      </c>
      <c r="F93" s="622" t="s">
        <v>93</v>
      </c>
      <c r="G93" s="63" t="s">
        <v>177</v>
      </c>
      <c r="H93" s="64"/>
      <c r="I93" s="65"/>
      <c r="J93" s="84">
        <f>Database[[#This Row],[RATE , M3/D]]*(1-I93/100)</f>
        <v>0</v>
      </c>
      <c r="K93" s="624">
        <v>65</v>
      </c>
      <c r="L93" s="629">
        <v>70.400000000000006</v>
      </c>
      <c r="M93" s="626">
        <f>Database[[#This Row],[ACT , M3/D2]]*(1-L93/100)</f>
        <v>19.239999999999995</v>
      </c>
      <c r="N93" s="627"/>
      <c r="O93" s="66"/>
      <c r="P93" s="66"/>
      <c r="Q93" s="66"/>
      <c r="R93" s="66"/>
      <c r="S93" s="67"/>
      <c r="T93" s="67"/>
      <c r="U93" s="68"/>
      <c r="V93" s="69"/>
      <c r="W93" s="67"/>
      <c r="X93" s="63"/>
      <c r="Y93" s="63"/>
      <c r="Z93" s="628"/>
      <c r="AA93" s="63"/>
      <c r="AB93" s="89"/>
      <c r="AC93" s="70"/>
      <c r="AD93" s="90"/>
      <c r="AE93" s="72"/>
      <c r="AF93" s="73"/>
      <c r="AG93" s="72"/>
      <c r="AH93" s="68" t="str">
        <f>VLOOKUP(E93,' Data Lists'!$Z$3:$AA$31,2,)</f>
        <v>IN SERVICE</v>
      </c>
      <c r="AI93" s="63"/>
    </row>
    <row r="94" spans="1:35" x14ac:dyDescent="0.25">
      <c r="A94" s="6" t="s">
        <v>249</v>
      </c>
      <c r="B94" s="16" t="s">
        <v>4</v>
      </c>
      <c r="C94" s="7" t="s">
        <v>21</v>
      </c>
      <c r="D94" s="561" t="s">
        <v>370</v>
      </c>
      <c r="E94" s="63" t="s">
        <v>96</v>
      </c>
      <c r="F94" s="9" t="str">
        <f>VLOOKUP(E94,' Data Lists'!$T$3:$U$31,2,)</f>
        <v>D10</v>
      </c>
      <c r="G94" s="3" t="s">
        <v>96</v>
      </c>
      <c r="H94" s="240">
        <v>0</v>
      </c>
      <c r="I94" s="44">
        <v>87</v>
      </c>
      <c r="J94" s="82">
        <f>Database[[#This Row],[RATE , M3/D]]*(1-I94/100)</f>
        <v>0</v>
      </c>
      <c r="K94" s="76">
        <v>0</v>
      </c>
      <c r="L94" s="77">
        <v>96</v>
      </c>
      <c r="M94" s="87">
        <f>Database[[#This Row],[ACT , M3/D2]]*(1-L94/100)</f>
        <v>0</v>
      </c>
      <c r="N94" s="53">
        <v>95</v>
      </c>
      <c r="O94" s="54">
        <v>0.27</v>
      </c>
      <c r="P94" s="54">
        <v>400</v>
      </c>
      <c r="Q94" s="54">
        <v>49</v>
      </c>
      <c r="R94" s="54"/>
      <c r="S94" s="55">
        <v>250</v>
      </c>
      <c r="T94" s="55">
        <v>87</v>
      </c>
      <c r="U94" s="11" t="s">
        <v>182</v>
      </c>
      <c r="V94" s="55">
        <v>286</v>
      </c>
      <c r="W94" s="67"/>
      <c r="X94" s="63"/>
      <c r="Y94" s="63"/>
      <c r="Z94" s="406">
        <v>43945</v>
      </c>
      <c r="AA94" s="63"/>
      <c r="AB94" s="89" t="s">
        <v>179</v>
      </c>
      <c r="AC94" s="111"/>
      <c r="AD94" s="90"/>
      <c r="AE94" s="72"/>
      <c r="AF94" s="95"/>
      <c r="AG94" s="72"/>
      <c r="AH94" s="72" t="str">
        <f>VLOOKUP(E94,' Data Lists'!$Z$3:$AA$31,2,)</f>
        <v>IN SERVICE</v>
      </c>
      <c r="AI94" s="63"/>
    </row>
    <row r="95" spans="1:35" x14ac:dyDescent="0.25">
      <c r="A95" s="6" t="s">
        <v>211</v>
      </c>
      <c r="B95" s="16" t="s">
        <v>7</v>
      </c>
      <c r="C95" s="7" t="s">
        <v>21</v>
      </c>
      <c r="D95" s="561" t="s">
        <v>370</v>
      </c>
      <c r="E95" s="63" t="s">
        <v>96</v>
      </c>
      <c r="F95" s="9" t="str">
        <f>VLOOKUP(E95,' Data Lists'!$T$3:$U$31,2,)</f>
        <v>D10</v>
      </c>
      <c r="G95" s="244" t="s">
        <v>101</v>
      </c>
      <c r="H95" s="240">
        <v>130</v>
      </c>
      <c r="I95" s="44">
        <v>82</v>
      </c>
      <c r="J95" s="82">
        <f>Database[[#This Row],[RATE , M3/D]]*(1-I95/100)</f>
        <v>23.400000000000006</v>
      </c>
      <c r="K95" s="76">
        <v>130</v>
      </c>
      <c r="L95" s="77">
        <v>82</v>
      </c>
      <c r="M95" s="87">
        <f>Database[[#This Row],[ACT , M3/D2]]*(1-L95/100)</f>
        <v>23.400000000000006</v>
      </c>
      <c r="N95" s="53">
        <v>149</v>
      </c>
      <c r="O95" s="54">
        <v>0.43</v>
      </c>
      <c r="P95" s="54">
        <v>400</v>
      </c>
      <c r="Q95" s="54">
        <v>44</v>
      </c>
      <c r="R95" s="54"/>
      <c r="S95" s="55">
        <v>167</v>
      </c>
      <c r="T95" s="55">
        <v>55.5</v>
      </c>
      <c r="U95" s="11" t="s">
        <v>149</v>
      </c>
      <c r="V95" s="55">
        <v>202</v>
      </c>
      <c r="W95" s="67"/>
      <c r="X95" s="63"/>
      <c r="Y95" s="63"/>
      <c r="Z95" s="406">
        <v>43967</v>
      </c>
      <c r="AA95" s="63"/>
      <c r="AB95" s="89" t="s">
        <v>179</v>
      </c>
      <c r="AC95" s="111"/>
      <c r="AD95" s="90"/>
      <c r="AE95" s="72"/>
      <c r="AF95" s="95"/>
      <c r="AG95" s="72"/>
      <c r="AH95" s="72" t="str">
        <f>VLOOKUP(E95,' Data Lists'!$Z$3:$AA$31,2,)</f>
        <v>IN SERVICE</v>
      </c>
      <c r="AI95" s="63"/>
    </row>
    <row r="96" spans="1:35" x14ac:dyDescent="0.25">
      <c r="A96" s="6" t="s">
        <v>212</v>
      </c>
      <c r="B96" s="16" t="s">
        <v>7</v>
      </c>
      <c r="C96" s="7" t="s">
        <v>21</v>
      </c>
      <c r="D96" s="561" t="s">
        <v>370</v>
      </c>
      <c r="E96" s="63" t="s">
        <v>114</v>
      </c>
      <c r="F96" s="9" t="str">
        <f>VLOOKUP(E96,' Data Lists'!$T$3:$U$31,2,)</f>
        <v>D10</v>
      </c>
      <c r="G96" s="244" t="s">
        <v>176</v>
      </c>
      <c r="H96" s="240">
        <v>40</v>
      </c>
      <c r="I96" s="44">
        <v>41.3</v>
      </c>
      <c r="J96" s="82">
        <f>Database[[#This Row],[RATE , M3/D]]*(1-I96/100)</f>
        <v>23.479999999999997</v>
      </c>
      <c r="K96" s="76">
        <v>40</v>
      </c>
      <c r="L96" s="77">
        <v>41.3</v>
      </c>
      <c r="M96" s="87">
        <f>Database[[#This Row],[ACT , M3/D2]]*(1-L96/100)</f>
        <v>23.479999999999997</v>
      </c>
      <c r="N96" s="53">
        <v>104</v>
      </c>
      <c r="O96" s="54">
        <v>0.11</v>
      </c>
      <c r="P96" s="54">
        <v>400</v>
      </c>
      <c r="Q96" s="54">
        <v>17</v>
      </c>
      <c r="R96" s="54"/>
      <c r="S96" s="55">
        <v>62.5</v>
      </c>
      <c r="T96" s="55">
        <v>23.1</v>
      </c>
      <c r="U96" s="11" t="s">
        <v>188</v>
      </c>
      <c r="V96" s="55">
        <v>245</v>
      </c>
      <c r="W96" s="67"/>
      <c r="X96" s="63"/>
      <c r="Y96" s="63"/>
      <c r="Z96" s="406">
        <v>43802</v>
      </c>
      <c r="AA96" s="63"/>
      <c r="AB96" s="89" t="s">
        <v>178</v>
      </c>
      <c r="AC96" s="111"/>
      <c r="AD96" s="90" t="s">
        <v>165</v>
      </c>
      <c r="AE96" s="72"/>
      <c r="AF96" s="95"/>
      <c r="AG96" s="72"/>
      <c r="AH96" s="72" t="str">
        <f>VLOOKUP(E96,' Data Lists'!$Z$3:$AA$31,2,)</f>
        <v>IN SERVICE</v>
      </c>
      <c r="AI96" s="63"/>
    </row>
    <row r="97" spans="1:35" x14ac:dyDescent="0.25">
      <c r="A97" s="6" t="s">
        <v>213</v>
      </c>
      <c r="B97" s="16" t="s">
        <v>7</v>
      </c>
      <c r="C97" s="7" t="s">
        <v>21</v>
      </c>
      <c r="D97" s="561" t="s">
        <v>370</v>
      </c>
      <c r="E97" s="63" t="s">
        <v>121</v>
      </c>
      <c r="F97" s="9" t="str">
        <f>VLOOKUP(E97,' Data Lists'!$T$3:$U$31,2,)</f>
        <v>D10</v>
      </c>
      <c r="G97" s="244" t="s">
        <v>121</v>
      </c>
      <c r="H97" s="240">
        <v>350</v>
      </c>
      <c r="I97" s="44">
        <v>95</v>
      </c>
      <c r="J97" s="82">
        <f>Database[[#This Row],[RATE , M3/D]]*(1-I97/100)</f>
        <v>17.500000000000014</v>
      </c>
      <c r="K97" s="76">
        <v>335</v>
      </c>
      <c r="L97" s="77">
        <v>92.7</v>
      </c>
      <c r="M97" s="87">
        <f>Database[[#This Row],[ACT , M3/D2]]*(1-L97/100)</f>
        <v>24.454999999999984</v>
      </c>
      <c r="N97" s="53">
        <v>81</v>
      </c>
      <c r="O97" s="54">
        <v>0.23</v>
      </c>
      <c r="P97" s="54">
        <v>400</v>
      </c>
      <c r="Q97" s="54">
        <v>58</v>
      </c>
      <c r="R97" s="54"/>
      <c r="S97" s="55">
        <v>250</v>
      </c>
      <c r="T97" s="55">
        <v>77</v>
      </c>
      <c r="U97" s="11" t="s">
        <v>285</v>
      </c>
      <c r="V97" s="55">
        <v>177</v>
      </c>
      <c r="W97" s="67"/>
      <c r="X97" s="63"/>
      <c r="Y97" s="63"/>
      <c r="Z97" s="406">
        <v>43731</v>
      </c>
      <c r="AA97" s="63"/>
      <c r="AB97" s="89" t="s">
        <v>179</v>
      </c>
      <c r="AC97" s="111"/>
      <c r="AD97" s="90"/>
      <c r="AE97" s="72"/>
      <c r="AF97" s="95"/>
      <c r="AG97" s="72"/>
      <c r="AH97" s="72" t="str">
        <f>VLOOKUP(E97,' Data Lists'!$Z$3:$AA$31,2,)</f>
        <v>IN SERVICE</v>
      </c>
      <c r="AI97" s="63"/>
    </row>
    <row r="98" spans="1:35" x14ac:dyDescent="0.25">
      <c r="A98" s="6" t="s">
        <v>250</v>
      </c>
      <c r="B98" s="16" t="s">
        <v>7</v>
      </c>
      <c r="C98" s="7" t="s">
        <v>21</v>
      </c>
      <c r="D98" s="561" t="s">
        <v>370</v>
      </c>
      <c r="E98" s="63" t="s">
        <v>113</v>
      </c>
      <c r="F98" s="9" t="str">
        <f>VLOOKUP(E98,' Data Lists'!$T$3:$U$31,2,)</f>
        <v>PP2</v>
      </c>
      <c r="G98" s="244" t="s">
        <v>93</v>
      </c>
      <c r="H98" s="240">
        <v>0</v>
      </c>
      <c r="I98" s="44">
        <v>100</v>
      </c>
      <c r="J98" s="82">
        <f>Database[[#This Row],[RATE , M3/D]]*(1-I98/100)</f>
        <v>0</v>
      </c>
      <c r="K98" s="76">
        <v>0</v>
      </c>
      <c r="L98" s="77">
        <v>100</v>
      </c>
      <c r="M98" s="87">
        <f>Database[[#This Row],[ACT , M3/D2]]*(1-L98/100)</f>
        <v>0</v>
      </c>
      <c r="N98" s="53">
        <v>0</v>
      </c>
      <c r="O98" s="54">
        <v>0</v>
      </c>
      <c r="P98" s="54">
        <v>0</v>
      </c>
      <c r="Q98" s="54">
        <v>30</v>
      </c>
      <c r="R98" s="54"/>
      <c r="S98" s="55">
        <v>104</v>
      </c>
      <c r="T98" s="55">
        <v>39</v>
      </c>
      <c r="U98" s="11" t="s">
        <v>148</v>
      </c>
      <c r="V98" s="55">
        <v>357</v>
      </c>
      <c r="W98" s="67"/>
      <c r="X98" s="63"/>
      <c r="Y98" s="63"/>
      <c r="Z98" s="406">
        <v>43044</v>
      </c>
      <c r="AA98" s="63"/>
      <c r="AB98" s="89" t="s">
        <v>179</v>
      </c>
      <c r="AC98" s="111"/>
      <c r="AD98" s="90"/>
      <c r="AE98" s="72"/>
      <c r="AF98" s="95"/>
      <c r="AG98" s="72"/>
      <c r="AH98" s="72" t="str">
        <f>VLOOKUP(E98,' Data Lists'!$Z$3:$AA$31,2,)</f>
        <v>IN SERVICE</v>
      </c>
      <c r="AI98" s="63"/>
    </row>
    <row r="99" spans="1:35" x14ac:dyDescent="0.25">
      <c r="A99" s="6" t="s">
        <v>251</v>
      </c>
      <c r="B99" s="16" t="s">
        <v>4</v>
      </c>
      <c r="C99" s="7" t="s">
        <v>22</v>
      </c>
      <c r="D99" s="561" t="s">
        <v>370</v>
      </c>
      <c r="E99" s="63" t="s">
        <v>96</v>
      </c>
      <c r="F99" s="9" t="str">
        <f>VLOOKUP(E99,' Data Lists'!$T$3:$U$31,2,)</f>
        <v>D10</v>
      </c>
      <c r="G99" s="244" t="s">
        <v>96</v>
      </c>
      <c r="H99" s="240">
        <v>0</v>
      </c>
      <c r="I99" s="44">
        <v>0</v>
      </c>
      <c r="J99" s="82">
        <f>Database[[#This Row],[RATE , M3/D]]*(1-I99/100)</f>
        <v>0</v>
      </c>
      <c r="K99" s="76">
        <v>0</v>
      </c>
      <c r="L99" s="77">
        <v>93.8</v>
      </c>
      <c r="M99" s="87">
        <f>Database[[#This Row],[ACT , M3/D2]]*(1-L99/100)</f>
        <v>0</v>
      </c>
      <c r="N99" s="53">
        <v>0</v>
      </c>
      <c r="O99" s="54">
        <v>0</v>
      </c>
      <c r="P99" s="54">
        <v>400</v>
      </c>
      <c r="Q99" s="54">
        <v>23</v>
      </c>
      <c r="R99" s="54"/>
      <c r="S99" s="55">
        <v>83</v>
      </c>
      <c r="T99" s="55">
        <v>27</v>
      </c>
      <c r="U99" s="11" t="s">
        <v>286</v>
      </c>
      <c r="V99" s="55">
        <v>260</v>
      </c>
      <c r="W99" s="67"/>
      <c r="X99" s="63"/>
      <c r="Y99" s="63"/>
      <c r="Z99" s="406">
        <v>43189</v>
      </c>
      <c r="AA99" s="63"/>
      <c r="AB99" s="89" t="s">
        <v>179</v>
      </c>
      <c r="AC99" s="111"/>
      <c r="AD99" s="90"/>
      <c r="AE99" s="72"/>
      <c r="AF99" s="95"/>
      <c r="AG99" s="72"/>
      <c r="AH99" s="72" t="str">
        <f>VLOOKUP(E99,' Data Lists'!$Z$3:$AA$31,2,)</f>
        <v>IN SERVICE</v>
      </c>
      <c r="AI99" s="63"/>
    </row>
    <row r="100" spans="1:35" x14ac:dyDescent="0.25">
      <c r="A100" s="6" t="s">
        <v>399</v>
      </c>
      <c r="B100" s="16" t="s">
        <v>4</v>
      </c>
      <c r="C100" s="7" t="s">
        <v>22</v>
      </c>
      <c r="D100" s="561" t="s">
        <v>370</v>
      </c>
      <c r="E100" s="63"/>
      <c r="F100" s="622"/>
      <c r="G100" s="63"/>
      <c r="H100" s="64"/>
      <c r="I100" s="65"/>
      <c r="J100" s="84">
        <f>Database[[#This Row],[RATE , M3/D]]*(1-I100/100)</f>
        <v>0</v>
      </c>
      <c r="K100" s="624"/>
      <c r="L100" s="629"/>
      <c r="M100" s="626">
        <f>Database[[#This Row],[ACT , M3/D2]]*(1-L100/100)</f>
        <v>0</v>
      </c>
      <c r="N100" s="627"/>
      <c r="O100" s="66"/>
      <c r="P100" s="66"/>
      <c r="Q100" s="66"/>
      <c r="R100" s="66"/>
      <c r="S100" s="67"/>
      <c r="T100" s="67"/>
      <c r="U100" s="68"/>
      <c r="V100" s="69"/>
      <c r="W100" s="67"/>
      <c r="X100" s="63"/>
      <c r="Y100" s="63"/>
      <c r="Z100" s="628"/>
      <c r="AA100" s="63"/>
      <c r="AB100" s="89"/>
      <c r="AC100" s="70"/>
      <c r="AD100" s="90"/>
      <c r="AE100" s="72"/>
      <c r="AF100" s="73"/>
      <c r="AG100" s="72"/>
      <c r="AH100" s="68" t="e">
        <f>VLOOKUP(E100,' Data Lists'!$Z$3:$AA$31,2,)</f>
        <v>#N/A</v>
      </c>
      <c r="AI100" s="63"/>
    </row>
    <row r="101" spans="1:35" x14ac:dyDescent="0.25">
      <c r="A101" s="6" t="s">
        <v>214</v>
      </c>
      <c r="B101" s="16" t="s">
        <v>7</v>
      </c>
      <c r="C101" s="7" t="s">
        <v>21</v>
      </c>
      <c r="D101" s="561" t="s">
        <v>370</v>
      </c>
      <c r="E101" s="63" t="s">
        <v>121</v>
      </c>
      <c r="F101" s="9" t="str">
        <f>VLOOKUP(E101,' Data Lists'!$T$3:$U$31,2,)</f>
        <v>D10</v>
      </c>
      <c r="G101" s="244" t="s">
        <v>123</v>
      </c>
      <c r="H101" s="240">
        <v>70</v>
      </c>
      <c r="I101" s="44">
        <v>85.7</v>
      </c>
      <c r="J101" s="82">
        <f>Database[[#This Row],[RATE , M3/D]]*(1-I101/100)</f>
        <v>10.010000000000002</v>
      </c>
      <c r="K101" s="76">
        <v>70</v>
      </c>
      <c r="L101" s="77">
        <v>85.7</v>
      </c>
      <c r="M101" s="87">
        <f>Database[[#This Row],[ACT , M3/D2]]*(1-L101/100)</f>
        <v>10.010000000000002</v>
      </c>
      <c r="N101" s="53">
        <v>43</v>
      </c>
      <c r="O101" s="54">
        <v>0.05</v>
      </c>
      <c r="P101" s="54">
        <v>180</v>
      </c>
      <c r="Q101" s="54">
        <v>20</v>
      </c>
      <c r="R101" s="54"/>
      <c r="S101" s="55">
        <v>83.3</v>
      </c>
      <c r="T101" s="55">
        <v>29.5</v>
      </c>
      <c r="U101" s="11" t="s">
        <v>185</v>
      </c>
      <c r="V101" s="55">
        <v>303</v>
      </c>
      <c r="W101" s="67"/>
      <c r="X101" s="63"/>
      <c r="Y101" s="63"/>
      <c r="Z101" s="406">
        <v>43771</v>
      </c>
      <c r="AA101" s="63"/>
      <c r="AB101" s="89" t="s">
        <v>179</v>
      </c>
      <c r="AC101" s="111"/>
      <c r="AD101" s="90"/>
      <c r="AE101" s="72"/>
      <c r="AF101" s="95"/>
      <c r="AG101" s="72"/>
      <c r="AH101" s="72" t="str">
        <f>VLOOKUP(E101,' Data Lists'!$Z$3:$AA$31,2,)</f>
        <v>IN SERVICE</v>
      </c>
      <c r="AI101" s="63"/>
    </row>
    <row r="102" spans="1:35" x14ac:dyDescent="0.25">
      <c r="A102" s="6" t="s">
        <v>215</v>
      </c>
      <c r="B102" s="16" t="s">
        <v>4</v>
      </c>
      <c r="C102" s="7" t="s">
        <v>21</v>
      </c>
      <c r="D102" s="561" t="s">
        <v>370</v>
      </c>
      <c r="E102" s="63" t="s">
        <v>117</v>
      </c>
      <c r="F102" s="9" t="str">
        <f>VLOOKUP(E102,' Data Lists'!$T$3:$U$31,2,)</f>
        <v>D10</v>
      </c>
      <c r="G102" s="244" t="s">
        <v>96</v>
      </c>
      <c r="H102" s="240">
        <v>40</v>
      </c>
      <c r="I102" s="44">
        <v>37</v>
      </c>
      <c r="J102" s="82">
        <f>Database[[#This Row],[RATE , M3/D]]*(1-I102/100)</f>
        <v>25.2</v>
      </c>
      <c r="K102" s="76">
        <v>40</v>
      </c>
      <c r="L102" s="77">
        <v>33</v>
      </c>
      <c r="M102" s="87">
        <f>Database[[#This Row],[ACT , M3/D2]]*(1-L102/100)</f>
        <v>26.799999999999997</v>
      </c>
      <c r="N102" s="53">
        <v>0</v>
      </c>
      <c r="O102" s="54">
        <v>0</v>
      </c>
      <c r="P102" s="54">
        <v>0</v>
      </c>
      <c r="Q102" s="54">
        <v>16</v>
      </c>
      <c r="R102" s="54"/>
      <c r="S102" s="55">
        <v>64</v>
      </c>
      <c r="T102" s="55">
        <v>24</v>
      </c>
      <c r="U102" s="11" t="s">
        <v>160</v>
      </c>
      <c r="V102" s="55">
        <v>547</v>
      </c>
      <c r="W102" s="67"/>
      <c r="X102" s="63"/>
      <c r="Y102" s="63"/>
      <c r="Z102" s="406">
        <v>43559</v>
      </c>
      <c r="AA102" s="63"/>
      <c r="AB102" s="89" t="s">
        <v>179</v>
      </c>
      <c r="AC102" s="111"/>
      <c r="AD102" s="90"/>
      <c r="AE102" s="72"/>
      <c r="AF102" s="95"/>
      <c r="AG102" s="72"/>
      <c r="AH102" s="72" t="str">
        <f>VLOOKUP(E102,' Data Lists'!$Z$3:$AA$31,2,)</f>
        <v>IN SERVICE</v>
      </c>
      <c r="AI102" s="63"/>
    </row>
    <row r="103" spans="1:35" x14ac:dyDescent="0.25">
      <c r="A103" s="6" t="s">
        <v>216</v>
      </c>
      <c r="B103" s="16" t="s">
        <v>7</v>
      </c>
      <c r="C103" s="7" t="s">
        <v>21</v>
      </c>
      <c r="D103" s="561" t="s">
        <v>370</v>
      </c>
      <c r="E103" s="63" t="s">
        <v>121</v>
      </c>
      <c r="F103" s="9" t="str">
        <f>VLOOKUP(E103,' Data Lists'!$T$3:$U$31,2,)</f>
        <v>D10</v>
      </c>
      <c r="G103" s="244" t="s">
        <v>123</v>
      </c>
      <c r="H103" s="240">
        <v>0</v>
      </c>
      <c r="I103" s="44">
        <v>67.7</v>
      </c>
      <c r="J103" s="82">
        <f>Database[[#This Row],[RATE , M3/D]]*(1-I103/100)</f>
        <v>0</v>
      </c>
      <c r="K103" s="76">
        <v>0</v>
      </c>
      <c r="L103" s="77">
        <v>89.3</v>
      </c>
      <c r="M103" s="87">
        <f>Database[[#This Row],[ACT , M3/D2]]*(1-L103/100)</f>
        <v>0</v>
      </c>
      <c r="N103" s="53">
        <v>28</v>
      </c>
      <c r="O103" s="54">
        <v>0.03</v>
      </c>
      <c r="P103" s="54">
        <v>0</v>
      </c>
      <c r="Q103" s="54">
        <v>0</v>
      </c>
      <c r="R103" s="54"/>
      <c r="S103" s="55">
        <v>75</v>
      </c>
      <c r="T103" s="55">
        <v>27.2</v>
      </c>
      <c r="U103" s="11" t="s">
        <v>287</v>
      </c>
      <c r="V103" s="55">
        <v>276</v>
      </c>
      <c r="W103" s="67"/>
      <c r="X103" s="63"/>
      <c r="Y103" s="63"/>
      <c r="Z103" s="406">
        <v>42123</v>
      </c>
      <c r="AA103" s="63"/>
      <c r="AB103" s="89" t="s">
        <v>179</v>
      </c>
      <c r="AC103" s="111"/>
      <c r="AD103" s="90"/>
      <c r="AE103" s="72"/>
      <c r="AF103" s="95"/>
      <c r="AG103" s="72"/>
      <c r="AH103" s="72" t="str">
        <f>VLOOKUP(E103,' Data Lists'!$Z$3:$AA$31,2,)</f>
        <v>IN SERVICE</v>
      </c>
      <c r="AI103" s="63"/>
    </row>
    <row r="104" spans="1:35" x14ac:dyDescent="0.25">
      <c r="A104" s="6" t="s">
        <v>217</v>
      </c>
      <c r="B104" s="16" t="s">
        <v>7</v>
      </c>
      <c r="C104" s="7" t="s">
        <v>21</v>
      </c>
      <c r="D104" s="561" t="s">
        <v>370</v>
      </c>
      <c r="E104" s="63" t="s">
        <v>96</v>
      </c>
      <c r="F104" s="9" t="str">
        <f>VLOOKUP(E104,' Data Lists'!$T$3:$U$31,2,)</f>
        <v>D10</v>
      </c>
      <c r="G104" s="244" t="s">
        <v>96</v>
      </c>
      <c r="H104" s="240">
        <v>80</v>
      </c>
      <c r="I104" s="44">
        <v>1.2</v>
      </c>
      <c r="J104" s="82">
        <f>Database[[#This Row],[RATE , M3/D]]*(1-I104/100)</f>
        <v>79.039999999999992</v>
      </c>
      <c r="K104" s="76">
        <v>40</v>
      </c>
      <c r="L104" s="77">
        <v>8.1</v>
      </c>
      <c r="M104" s="87">
        <f>Database[[#This Row],[ACT , M3/D2]]*(1-L104/100)</f>
        <v>36.760000000000005</v>
      </c>
      <c r="N104" s="53">
        <v>77</v>
      </c>
      <c r="O104" s="54">
        <v>0.3</v>
      </c>
      <c r="P104" s="54">
        <v>500</v>
      </c>
      <c r="Q104" s="54">
        <v>14</v>
      </c>
      <c r="R104" s="54"/>
      <c r="S104" s="55">
        <v>75</v>
      </c>
      <c r="T104" s="55">
        <v>27.2</v>
      </c>
      <c r="U104" s="11" t="s">
        <v>287</v>
      </c>
      <c r="V104" s="55">
        <v>260</v>
      </c>
      <c r="W104" s="67"/>
      <c r="X104" s="63"/>
      <c r="Y104" s="63"/>
      <c r="Z104" s="406">
        <v>42547</v>
      </c>
      <c r="AA104" s="63"/>
      <c r="AB104" s="89" t="s">
        <v>179</v>
      </c>
      <c r="AC104" s="111"/>
      <c r="AD104" s="90"/>
      <c r="AE104" s="72"/>
      <c r="AF104" s="95"/>
      <c r="AG104" s="72"/>
      <c r="AH104" s="72" t="str">
        <f>VLOOKUP(E104,' Data Lists'!$Z$3:$AA$31,2,)</f>
        <v>IN SERVICE</v>
      </c>
      <c r="AI104" s="63"/>
    </row>
    <row r="105" spans="1:35" x14ac:dyDescent="0.25">
      <c r="A105" s="6" t="s">
        <v>400</v>
      </c>
      <c r="B105" s="16" t="s">
        <v>7</v>
      </c>
      <c r="C105" s="7" t="s">
        <v>21</v>
      </c>
      <c r="D105" s="561" t="s">
        <v>370</v>
      </c>
      <c r="E105" s="63"/>
      <c r="F105" s="622"/>
      <c r="G105" s="63"/>
      <c r="H105" s="64"/>
      <c r="I105" s="65"/>
      <c r="J105" s="84">
        <f>Database[[#This Row],[RATE , M3/D]]*(1-I105/100)</f>
        <v>0</v>
      </c>
      <c r="K105" s="624"/>
      <c r="L105" s="629"/>
      <c r="M105" s="626">
        <f>Database[[#This Row],[ACT , M3/D2]]*(1-L105/100)</f>
        <v>0</v>
      </c>
      <c r="N105" s="627"/>
      <c r="O105" s="66"/>
      <c r="P105" s="66"/>
      <c r="Q105" s="66"/>
      <c r="R105" s="66"/>
      <c r="S105" s="67"/>
      <c r="T105" s="67"/>
      <c r="U105" s="68"/>
      <c r="V105" s="69"/>
      <c r="W105" s="67"/>
      <c r="X105" s="63"/>
      <c r="Y105" s="63"/>
      <c r="Z105" s="628"/>
      <c r="AA105" s="63"/>
      <c r="AB105" s="89"/>
      <c r="AC105" s="70"/>
      <c r="AD105" s="90"/>
      <c r="AE105" s="72"/>
      <c r="AF105" s="73"/>
      <c r="AG105" s="72"/>
      <c r="AH105" s="68" t="e">
        <f>VLOOKUP(E105,' Data Lists'!$Z$3:$AA$31,2,)</f>
        <v>#N/A</v>
      </c>
      <c r="AI105" s="63"/>
    </row>
    <row r="106" spans="1:35" x14ac:dyDescent="0.25">
      <c r="A106" s="6" t="s">
        <v>218</v>
      </c>
      <c r="B106" s="16" t="s">
        <v>7</v>
      </c>
      <c r="C106" s="7" t="s">
        <v>21</v>
      </c>
      <c r="D106" s="561" t="s">
        <v>370</v>
      </c>
      <c r="E106" s="63" t="s">
        <v>121</v>
      </c>
      <c r="F106" s="9" t="str">
        <f>VLOOKUP(E106,' Data Lists'!$T$3:$U$31,2,)</f>
        <v>D10</v>
      </c>
      <c r="G106" s="244" t="s">
        <v>121</v>
      </c>
      <c r="H106" s="240">
        <v>100</v>
      </c>
      <c r="I106" s="44">
        <v>88</v>
      </c>
      <c r="J106" s="82">
        <f>Database[[#This Row],[RATE , M3/D]]*(1-I106/100)</f>
        <v>12</v>
      </c>
      <c r="K106" s="76">
        <v>100</v>
      </c>
      <c r="L106" s="77">
        <v>75.400000000000006</v>
      </c>
      <c r="M106" s="87">
        <f>Database[[#This Row],[ACT , M3/D2]]*(1-L106/100)</f>
        <v>24.6</v>
      </c>
      <c r="N106" s="53">
        <v>317</v>
      </c>
      <c r="O106" s="54">
        <v>0.37</v>
      </c>
      <c r="P106" s="54">
        <v>400</v>
      </c>
      <c r="Q106" s="54">
        <v>29</v>
      </c>
      <c r="R106" s="54"/>
      <c r="S106" s="55">
        <v>125</v>
      </c>
      <c r="T106" s="55">
        <v>40</v>
      </c>
      <c r="U106" s="11" t="s">
        <v>288</v>
      </c>
      <c r="V106" s="55">
        <v>253</v>
      </c>
      <c r="W106" s="67"/>
      <c r="X106" s="63"/>
      <c r="Y106" s="63"/>
      <c r="Z106" s="406">
        <v>43095</v>
      </c>
      <c r="AA106" s="63"/>
      <c r="AB106" s="89" t="s">
        <v>179</v>
      </c>
      <c r="AC106" s="111"/>
      <c r="AD106" s="90"/>
      <c r="AE106" s="72"/>
      <c r="AF106" s="95"/>
      <c r="AG106" s="72"/>
      <c r="AH106" s="72" t="str">
        <f>VLOOKUP(E106,' Data Lists'!$Z$3:$AA$31,2,)</f>
        <v>IN SERVICE</v>
      </c>
      <c r="AI106" s="63"/>
    </row>
    <row r="107" spans="1:35" x14ac:dyDescent="0.25">
      <c r="A107" s="6" t="s">
        <v>253</v>
      </c>
      <c r="B107" s="16" t="s">
        <v>5</v>
      </c>
      <c r="C107" s="7" t="s">
        <v>21</v>
      </c>
      <c r="D107" s="561" t="s">
        <v>370</v>
      </c>
      <c r="E107" s="7" t="s">
        <v>122</v>
      </c>
      <c r="F107" s="9" t="str">
        <f>VLOOKUP(E107,' Data Lists'!$T$3:$U$31,2,)</f>
        <v>D10</v>
      </c>
      <c r="G107" s="3" t="s">
        <v>123</v>
      </c>
      <c r="H107" s="240">
        <v>0</v>
      </c>
      <c r="I107" s="44">
        <v>95</v>
      </c>
      <c r="J107" s="82">
        <f>Database[[#This Row],[RATE , M3/D]]*(1-I107/100)</f>
        <v>0</v>
      </c>
      <c r="K107" s="76">
        <v>0</v>
      </c>
      <c r="L107" s="77">
        <v>96</v>
      </c>
      <c r="M107" s="87">
        <f>Database[[#This Row],[ACT , M3/D2]]*(1-L107/100)</f>
        <v>0</v>
      </c>
      <c r="N107" s="53">
        <v>0</v>
      </c>
      <c r="O107" s="54">
        <v>0</v>
      </c>
      <c r="P107" s="54">
        <v>0</v>
      </c>
      <c r="Q107" s="54">
        <v>0</v>
      </c>
      <c r="R107" s="54"/>
      <c r="S107" s="55">
        <v>150</v>
      </c>
      <c r="T107" s="55">
        <v>120</v>
      </c>
      <c r="U107" s="11" t="s">
        <v>289</v>
      </c>
      <c r="V107" s="55">
        <v>236</v>
      </c>
      <c r="W107" s="67"/>
      <c r="X107" s="63"/>
      <c r="Y107" s="63"/>
      <c r="Z107" s="406">
        <v>43480</v>
      </c>
      <c r="AA107" s="63"/>
      <c r="AB107" s="89" t="s">
        <v>179</v>
      </c>
      <c r="AC107" s="111"/>
      <c r="AD107" s="90"/>
      <c r="AE107" s="72"/>
      <c r="AF107" s="95"/>
      <c r="AG107" s="72"/>
      <c r="AH107" s="72" t="str">
        <f>VLOOKUP(E107,' Data Lists'!$Z$3:$AA$31,2,)</f>
        <v>IN SERVICE</v>
      </c>
      <c r="AI107" s="63"/>
    </row>
    <row r="108" spans="1:35" x14ac:dyDescent="0.25">
      <c r="A108" s="6" t="s">
        <v>219</v>
      </c>
      <c r="B108" s="16" t="s">
        <v>7</v>
      </c>
      <c r="C108" s="7" t="s">
        <v>21</v>
      </c>
      <c r="D108" s="561" t="s">
        <v>370</v>
      </c>
      <c r="E108" s="63" t="s">
        <v>116</v>
      </c>
      <c r="F108" s="9" t="str">
        <f>VLOOKUP(E108,' Data Lists'!$T$3:$U$31,2,)</f>
        <v>PP2</v>
      </c>
      <c r="G108" s="244" t="s">
        <v>93</v>
      </c>
      <c r="H108" s="240">
        <v>100</v>
      </c>
      <c r="I108" s="44">
        <v>98</v>
      </c>
      <c r="J108" s="82">
        <f>Database[[#This Row],[RATE , M3/D]]*(1-I108/100)</f>
        <v>2.0000000000000018</v>
      </c>
      <c r="K108" s="76">
        <v>100</v>
      </c>
      <c r="L108" s="77">
        <v>97.6</v>
      </c>
      <c r="M108" s="87">
        <f>Database[[#This Row],[ACT , M3/D2]]*(1-L108/100)</f>
        <v>2.4000000000000021</v>
      </c>
      <c r="N108" s="53">
        <v>24</v>
      </c>
      <c r="O108" s="54">
        <v>0.03</v>
      </c>
      <c r="P108" s="54">
        <v>500</v>
      </c>
      <c r="Q108" s="54">
        <v>28</v>
      </c>
      <c r="R108" s="54"/>
      <c r="S108" s="55">
        <v>125</v>
      </c>
      <c r="T108" s="55">
        <v>44</v>
      </c>
      <c r="U108" s="11" t="s">
        <v>290</v>
      </c>
      <c r="V108" s="55">
        <v>324</v>
      </c>
      <c r="W108" s="67"/>
      <c r="X108" s="63"/>
      <c r="Y108" s="63"/>
      <c r="Z108" s="402" t="s">
        <v>336</v>
      </c>
      <c r="AA108" s="63"/>
      <c r="AB108" s="89" t="s">
        <v>178</v>
      </c>
      <c r="AC108" s="111"/>
      <c r="AD108" s="90"/>
      <c r="AE108" s="72"/>
      <c r="AF108" s="95"/>
      <c r="AG108" s="72"/>
      <c r="AH108" s="72" t="str">
        <f>VLOOKUP(E108,' Data Lists'!$Z$3:$AA$31,2,)</f>
        <v>IN SERVICE</v>
      </c>
      <c r="AI108" s="63"/>
    </row>
    <row r="109" spans="1:35" x14ac:dyDescent="0.25">
      <c r="A109" s="6" t="s">
        <v>220</v>
      </c>
      <c r="B109" s="16" t="s">
        <v>7</v>
      </c>
      <c r="C109" s="7" t="s">
        <v>21</v>
      </c>
      <c r="D109" s="561" t="s">
        <v>370</v>
      </c>
      <c r="E109" s="7" t="s">
        <v>122</v>
      </c>
      <c r="F109" s="9" t="str">
        <f>VLOOKUP(E109,' Data Lists'!$T$3:$U$31,2,)</f>
        <v>D10</v>
      </c>
      <c r="G109" s="244" t="s">
        <v>121</v>
      </c>
      <c r="H109" s="240">
        <v>80</v>
      </c>
      <c r="I109" s="44">
        <v>22.1</v>
      </c>
      <c r="J109" s="82">
        <f>Database[[#This Row],[RATE , M3/D]]*(1-I109/100)</f>
        <v>62.32</v>
      </c>
      <c r="K109" s="76">
        <v>80</v>
      </c>
      <c r="L109" s="77">
        <v>42.6</v>
      </c>
      <c r="M109" s="87">
        <f>Database[[#This Row],[ACT , M3/D2]]*(1-L109/100)</f>
        <v>45.92</v>
      </c>
      <c r="N109" s="53">
        <v>32</v>
      </c>
      <c r="O109" s="54">
        <v>0.03</v>
      </c>
      <c r="P109" s="54">
        <v>400</v>
      </c>
      <c r="Q109" s="54">
        <v>19</v>
      </c>
      <c r="R109" s="54"/>
      <c r="S109" s="55">
        <v>67</v>
      </c>
      <c r="T109" s="55">
        <v>24</v>
      </c>
      <c r="U109" s="11" t="s">
        <v>183</v>
      </c>
      <c r="V109" s="55">
        <v>352</v>
      </c>
      <c r="W109" s="67"/>
      <c r="X109" s="63"/>
      <c r="Y109" s="63"/>
      <c r="Z109" s="406">
        <v>43236</v>
      </c>
      <c r="AA109" s="63"/>
      <c r="AB109" s="89" t="s">
        <v>179</v>
      </c>
      <c r="AC109" s="111"/>
      <c r="AD109" s="90"/>
      <c r="AE109" s="72"/>
      <c r="AF109" s="95"/>
      <c r="AG109" s="72"/>
      <c r="AH109" s="72" t="str">
        <f>VLOOKUP(E109,' Data Lists'!$Z$3:$AA$31,2,)</f>
        <v>IN SERVICE</v>
      </c>
      <c r="AI109" s="63"/>
    </row>
    <row r="110" spans="1:35" x14ac:dyDescent="0.25">
      <c r="A110" s="6" t="s">
        <v>221</v>
      </c>
      <c r="B110" s="16" t="s">
        <v>7</v>
      </c>
      <c r="C110" s="7" t="s">
        <v>21</v>
      </c>
      <c r="D110" s="561" t="s">
        <v>370</v>
      </c>
      <c r="E110" s="7" t="s">
        <v>122</v>
      </c>
      <c r="F110" s="9" t="str">
        <f>VLOOKUP(E110,' Data Lists'!$T$3:$U$31,2,)</f>
        <v>D10</v>
      </c>
      <c r="G110" s="244" t="s">
        <v>121</v>
      </c>
      <c r="H110" s="240">
        <v>60</v>
      </c>
      <c r="I110" s="44">
        <v>80</v>
      </c>
      <c r="J110" s="82">
        <f>Database[[#This Row],[RATE , M3/D]]*(1-I110/100)</f>
        <v>11.999999999999996</v>
      </c>
      <c r="K110" s="76">
        <v>60</v>
      </c>
      <c r="L110" s="77">
        <v>67.8</v>
      </c>
      <c r="M110" s="87">
        <f>Database[[#This Row],[ACT , M3/D2]]*(1-L110/100)</f>
        <v>19.320000000000004</v>
      </c>
      <c r="N110" s="53">
        <v>392</v>
      </c>
      <c r="O110" s="54">
        <v>0.21</v>
      </c>
      <c r="P110" s="54">
        <v>400</v>
      </c>
      <c r="Q110" s="54">
        <v>24</v>
      </c>
      <c r="R110" s="54"/>
      <c r="S110" s="55">
        <v>100</v>
      </c>
      <c r="T110" s="55">
        <v>35</v>
      </c>
      <c r="U110" s="11" t="s">
        <v>183</v>
      </c>
      <c r="V110" s="55">
        <v>400</v>
      </c>
      <c r="W110" s="67"/>
      <c r="X110" s="63"/>
      <c r="Y110" s="63"/>
      <c r="Z110" s="406">
        <v>44005</v>
      </c>
      <c r="AA110" s="63"/>
      <c r="AB110" s="89" t="s">
        <v>179</v>
      </c>
      <c r="AC110" s="111"/>
      <c r="AD110" s="90"/>
      <c r="AE110" s="72"/>
      <c r="AF110" s="95"/>
      <c r="AG110" s="72"/>
      <c r="AH110" s="72" t="str">
        <f>VLOOKUP(E110,' Data Lists'!$Z$3:$AA$31,2,)</f>
        <v>IN SERVICE</v>
      </c>
      <c r="AI110" s="63"/>
    </row>
    <row r="111" spans="1:35" x14ac:dyDescent="0.25">
      <c r="A111" s="6" t="s">
        <v>222</v>
      </c>
      <c r="B111" s="16" t="s">
        <v>4</v>
      </c>
      <c r="C111" s="7" t="s">
        <v>21</v>
      </c>
      <c r="D111" s="561" t="s">
        <v>370</v>
      </c>
      <c r="E111" s="63" t="s">
        <v>120</v>
      </c>
      <c r="F111" s="9" t="str">
        <f>VLOOKUP(E111,' Data Lists'!$T$3:$U$31,2,)</f>
        <v>PP2</v>
      </c>
      <c r="G111" s="244" t="s">
        <v>93</v>
      </c>
      <c r="H111" s="240">
        <v>30</v>
      </c>
      <c r="I111" s="44">
        <v>10</v>
      </c>
      <c r="J111" s="82">
        <f>Database[[#This Row],[RATE , M3/D]]*(1-I111/100)</f>
        <v>27</v>
      </c>
      <c r="K111" s="76">
        <v>30</v>
      </c>
      <c r="L111" s="77">
        <v>33.799999999999997</v>
      </c>
      <c r="M111" s="87">
        <f>Database[[#This Row],[ACT , M3/D2]]*(1-L111/100)</f>
        <v>19.86</v>
      </c>
      <c r="N111" s="53">
        <v>105</v>
      </c>
      <c r="O111" s="54">
        <v>0.1</v>
      </c>
      <c r="P111" s="54">
        <v>400</v>
      </c>
      <c r="Q111" s="54">
        <v>20</v>
      </c>
      <c r="R111" s="54"/>
      <c r="S111" s="55">
        <v>64</v>
      </c>
      <c r="T111" s="55">
        <v>24</v>
      </c>
      <c r="U111" s="11" t="s">
        <v>160</v>
      </c>
      <c r="V111" s="55">
        <v>512</v>
      </c>
      <c r="W111" s="67"/>
      <c r="X111" s="63"/>
      <c r="Y111" s="63"/>
      <c r="Z111" s="406">
        <v>43979</v>
      </c>
      <c r="AA111" s="63"/>
      <c r="AB111" s="89" t="s">
        <v>179</v>
      </c>
      <c r="AC111" s="111"/>
      <c r="AD111" s="90"/>
      <c r="AE111" s="72"/>
      <c r="AF111" s="95"/>
      <c r="AG111" s="72"/>
      <c r="AH111" s="72" t="str">
        <f>VLOOKUP(E111,' Data Lists'!$Z$3:$AA$31,2,)</f>
        <v>IN SERVICE</v>
      </c>
      <c r="AI111" s="63"/>
    </row>
    <row r="112" spans="1:35" x14ac:dyDescent="0.25">
      <c r="A112" s="6" t="s">
        <v>254</v>
      </c>
      <c r="B112" s="16" t="s">
        <v>7</v>
      </c>
      <c r="C112" s="7" t="s">
        <v>21</v>
      </c>
      <c r="D112" s="561" t="s">
        <v>370</v>
      </c>
      <c r="E112" s="3" t="s">
        <v>113</v>
      </c>
      <c r="F112" s="9" t="str">
        <f>VLOOKUP(E112,' Data Lists'!$T$3:$U$31,2,)</f>
        <v>PP2</v>
      </c>
      <c r="G112" s="244" t="s">
        <v>93</v>
      </c>
      <c r="H112" s="240">
        <v>0</v>
      </c>
      <c r="I112" s="44">
        <v>76.400000000000006</v>
      </c>
      <c r="J112" s="82">
        <f>Database[[#This Row],[RATE , M3/D]]*(1-I112/100)</f>
        <v>0</v>
      </c>
      <c r="K112" s="76">
        <v>0</v>
      </c>
      <c r="L112" s="77">
        <v>82.1</v>
      </c>
      <c r="M112" s="87">
        <f>Database[[#This Row],[ACT , M3/D2]]*(1-L112/100)</f>
        <v>0</v>
      </c>
      <c r="N112" s="53">
        <v>0</v>
      </c>
      <c r="O112" s="54">
        <v>0</v>
      </c>
      <c r="P112" s="54">
        <v>300</v>
      </c>
      <c r="Q112" s="54">
        <v>16</v>
      </c>
      <c r="R112" s="54"/>
      <c r="S112" s="55">
        <v>60</v>
      </c>
      <c r="T112" s="55">
        <v>20</v>
      </c>
      <c r="U112" s="11" t="s">
        <v>291</v>
      </c>
      <c r="V112" s="55">
        <v>409</v>
      </c>
      <c r="W112" s="67"/>
      <c r="X112" s="63"/>
      <c r="Y112" s="63"/>
      <c r="Z112" s="406">
        <v>41350</v>
      </c>
      <c r="AA112" s="63"/>
      <c r="AB112" s="89" t="s">
        <v>178</v>
      </c>
      <c r="AC112" s="111"/>
      <c r="AD112" s="90"/>
      <c r="AE112" s="72"/>
      <c r="AF112" s="95"/>
      <c r="AG112" s="72"/>
      <c r="AH112" s="72" t="str">
        <f>VLOOKUP(E112,' Data Lists'!$Z$3:$AA$31,2,)</f>
        <v>IN SERVICE</v>
      </c>
      <c r="AI112" s="63"/>
    </row>
    <row r="113" spans="1:35" x14ac:dyDescent="0.25">
      <c r="A113" s="6" t="s">
        <v>255</v>
      </c>
      <c r="B113" s="16" t="s">
        <v>7</v>
      </c>
      <c r="C113" s="7" t="s">
        <v>21</v>
      </c>
      <c r="D113" s="561" t="s">
        <v>370</v>
      </c>
      <c r="E113" s="63" t="s">
        <v>116</v>
      </c>
      <c r="F113" s="9" t="str">
        <f>VLOOKUP(E113,' Data Lists'!$T$3:$U$31,2,)</f>
        <v>PP2</v>
      </c>
      <c r="G113" s="244" t="s">
        <v>176</v>
      </c>
      <c r="H113" s="240">
        <v>0</v>
      </c>
      <c r="I113" s="44">
        <v>92.6</v>
      </c>
      <c r="J113" s="82">
        <f>Database[[#This Row],[RATE , M3/D]]*(1-I113/100)</f>
        <v>0</v>
      </c>
      <c r="K113" s="76">
        <v>0</v>
      </c>
      <c r="L113" s="77">
        <v>92.6</v>
      </c>
      <c r="M113" s="87">
        <f>Database[[#This Row],[ACT , M3/D2]]*(1-L113/100)</f>
        <v>0</v>
      </c>
      <c r="N113" s="53">
        <v>0</v>
      </c>
      <c r="O113" s="54">
        <v>0</v>
      </c>
      <c r="P113" s="54">
        <v>0</v>
      </c>
      <c r="Q113" s="54">
        <v>0</v>
      </c>
      <c r="R113" s="54"/>
      <c r="S113" s="55">
        <v>167</v>
      </c>
      <c r="T113" s="55">
        <v>54</v>
      </c>
      <c r="U113" s="11" t="s">
        <v>292</v>
      </c>
      <c r="V113" s="55">
        <v>218</v>
      </c>
      <c r="W113" s="67"/>
      <c r="X113" s="63"/>
      <c r="Y113" s="63"/>
      <c r="Z113" s="406">
        <v>43616</v>
      </c>
      <c r="AA113" s="63"/>
      <c r="AB113" s="89" t="s">
        <v>179</v>
      </c>
      <c r="AC113" s="111"/>
      <c r="AD113" s="90"/>
      <c r="AE113" s="72"/>
      <c r="AF113" s="95"/>
      <c r="AG113" s="72"/>
      <c r="AH113" s="72" t="str">
        <f>VLOOKUP(E113,' Data Lists'!$Z$3:$AA$31,2,)</f>
        <v>IN SERVICE</v>
      </c>
      <c r="AI113" s="63"/>
    </row>
    <row r="114" spans="1:35" x14ac:dyDescent="0.25">
      <c r="A114" s="6" t="s">
        <v>223</v>
      </c>
      <c r="B114" s="16" t="s">
        <v>7</v>
      </c>
      <c r="C114" s="7" t="s">
        <v>21</v>
      </c>
      <c r="D114" s="561" t="s">
        <v>370</v>
      </c>
      <c r="E114" s="7" t="s">
        <v>122</v>
      </c>
      <c r="F114" s="9" t="str">
        <f>VLOOKUP(E114,' Data Lists'!$T$3:$U$31,2,)</f>
        <v>D10</v>
      </c>
      <c r="G114" s="3" t="s">
        <v>96</v>
      </c>
      <c r="H114" s="240">
        <v>80</v>
      </c>
      <c r="I114" s="44">
        <v>73.599999999999994</v>
      </c>
      <c r="J114" s="82">
        <f>Database[[#This Row],[RATE , M3/D]]*(1-I114/100)</f>
        <v>21.12</v>
      </c>
      <c r="K114" s="76">
        <v>80</v>
      </c>
      <c r="L114" s="77">
        <v>79.599999999999994</v>
      </c>
      <c r="M114" s="87">
        <f>Database[[#This Row],[ACT , M3/D2]]*(1-L114/100)</f>
        <v>16.320000000000007</v>
      </c>
      <c r="N114" s="53">
        <v>71</v>
      </c>
      <c r="O114" s="54">
        <v>0.2</v>
      </c>
      <c r="P114" s="54">
        <v>400</v>
      </c>
      <c r="Q114" s="54">
        <v>29</v>
      </c>
      <c r="R114" s="54"/>
      <c r="S114" s="55">
        <v>88</v>
      </c>
      <c r="T114" s="55">
        <v>36</v>
      </c>
      <c r="U114" s="11" t="s">
        <v>148</v>
      </c>
      <c r="V114" s="55">
        <v>237</v>
      </c>
      <c r="W114" s="67"/>
      <c r="X114" s="63"/>
      <c r="Y114" s="63"/>
      <c r="Z114" s="406">
        <v>43753</v>
      </c>
      <c r="AA114" s="63"/>
      <c r="AB114" s="89" t="s">
        <v>179</v>
      </c>
      <c r="AC114" s="111"/>
      <c r="AD114" s="90"/>
      <c r="AE114" s="72"/>
      <c r="AF114" s="95"/>
      <c r="AG114" s="72"/>
      <c r="AH114" s="72" t="str">
        <f>VLOOKUP(E114,' Data Lists'!$Z$3:$AA$31,2,)</f>
        <v>IN SERVICE</v>
      </c>
      <c r="AI114" s="63"/>
    </row>
    <row r="115" spans="1:35" x14ac:dyDescent="0.25">
      <c r="A115" s="6" t="s">
        <v>224</v>
      </c>
      <c r="B115" s="16" t="s">
        <v>7</v>
      </c>
      <c r="C115" s="7" t="s">
        <v>21</v>
      </c>
      <c r="D115" s="561" t="s">
        <v>370</v>
      </c>
      <c r="E115" s="3" t="s">
        <v>113</v>
      </c>
      <c r="F115" s="9" t="str">
        <f>VLOOKUP(E115,' Data Lists'!$T$3:$U$31,2,)</f>
        <v>PP2</v>
      </c>
      <c r="G115" s="244" t="s">
        <v>93</v>
      </c>
      <c r="H115" s="240">
        <v>0</v>
      </c>
      <c r="I115" s="44">
        <v>48</v>
      </c>
      <c r="J115" s="82">
        <f>Database[[#This Row],[RATE , M3/D]]*(1-I115/100)</f>
        <v>0</v>
      </c>
      <c r="K115" s="76">
        <v>0</v>
      </c>
      <c r="L115" s="77">
        <v>33.799999999999997</v>
      </c>
      <c r="M115" s="87">
        <f>Database[[#This Row],[ACT , M3/D2]]*(1-L115/100)</f>
        <v>0</v>
      </c>
      <c r="N115" s="53">
        <v>0</v>
      </c>
      <c r="O115" s="54">
        <v>0</v>
      </c>
      <c r="P115" s="54">
        <v>400</v>
      </c>
      <c r="Q115" s="54">
        <v>44</v>
      </c>
      <c r="R115" s="54"/>
      <c r="S115" s="55">
        <v>167</v>
      </c>
      <c r="T115" s="55">
        <v>54</v>
      </c>
      <c r="U115" s="10" t="s">
        <v>292</v>
      </c>
      <c r="V115" s="55">
        <v>218</v>
      </c>
      <c r="W115" s="67"/>
      <c r="X115" s="63"/>
      <c r="Y115" s="63"/>
      <c r="Z115" s="406">
        <v>43250</v>
      </c>
      <c r="AA115" s="63"/>
      <c r="AB115" s="89" t="s">
        <v>178</v>
      </c>
      <c r="AC115" s="111"/>
      <c r="AD115" s="90"/>
      <c r="AE115" s="72"/>
      <c r="AF115" s="95"/>
      <c r="AG115" s="72"/>
      <c r="AH115" s="72" t="str">
        <f>VLOOKUP(E115,' Data Lists'!$Z$3:$AA$31,2,)</f>
        <v>IN SERVICE</v>
      </c>
      <c r="AI115" s="63"/>
    </row>
    <row r="116" spans="1:35" x14ac:dyDescent="0.25">
      <c r="A116" s="6" t="s">
        <v>225</v>
      </c>
      <c r="B116" s="16" t="s">
        <v>7</v>
      </c>
      <c r="C116" s="7" t="s">
        <v>21</v>
      </c>
      <c r="D116" s="561" t="s">
        <v>370</v>
      </c>
      <c r="E116" s="7" t="s">
        <v>122</v>
      </c>
      <c r="F116" s="9" t="str">
        <f>VLOOKUP(E116,' Data Lists'!$T$3:$U$31,2,)</f>
        <v>D10</v>
      </c>
      <c r="G116" s="244" t="s">
        <v>121</v>
      </c>
      <c r="H116" s="240">
        <v>70</v>
      </c>
      <c r="I116" s="44">
        <v>12</v>
      </c>
      <c r="J116" s="82">
        <f>Database[[#This Row],[RATE , M3/D]]*(1-I116/100)</f>
        <v>61.6</v>
      </c>
      <c r="K116" s="76">
        <v>75</v>
      </c>
      <c r="L116" s="77">
        <v>12</v>
      </c>
      <c r="M116" s="87">
        <f>Database[[#This Row],[ACT , M3/D2]]*(1-L116/100)</f>
        <v>66</v>
      </c>
      <c r="N116" s="53">
        <v>15</v>
      </c>
      <c r="O116" s="54">
        <v>0.02</v>
      </c>
      <c r="P116" s="54">
        <v>500</v>
      </c>
      <c r="Q116" s="54">
        <v>25</v>
      </c>
      <c r="R116" s="54"/>
      <c r="S116" s="55">
        <v>99</v>
      </c>
      <c r="T116" s="55">
        <v>36</v>
      </c>
      <c r="U116" s="11" t="s">
        <v>148</v>
      </c>
      <c r="V116" s="55"/>
      <c r="W116" s="67"/>
      <c r="X116" s="63"/>
      <c r="Y116" s="63"/>
      <c r="Z116" s="406">
        <v>43280</v>
      </c>
      <c r="AA116" s="63"/>
      <c r="AB116" s="89" t="s">
        <v>179</v>
      </c>
      <c r="AC116" s="111"/>
      <c r="AD116" s="90"/>
      <c r="AE116" s="72"/>
      <c r="AF116" s="95"/>
      <c r="AG116" s="72"/>
      <c r="AH116" s="72" t="str">
        <f>VLOOKUP(E116,' Data Lists'!$Z$3:$AA$31,2,)</f>
        <v>IN SERVICE</v>
      </c>
      <c r="AI116" s="63"/>
    </row>
    <row r="117" spans="1:35" x14ac:dyDescent="0.25">
      <c r="A117" s="6" t="s">
        <v>226</v>
      </c>
      <c r="B117" s="16" t="s">
        <v>4</v>
      </c>
      <c r="C117" s="7" t="s">
        <v>21</v>
      </c>
      <c r="D117" s="561" t="s">
        <v>370</v>
      </c>
      <c r="E117" s="7" t="s">
        <v>122</v>
      </c>
      <c r="F117" s="9" t="str">
        <f>VLOOKUP(E117,' Data Lists'!$T$3:$U$31,2,)</f>
        <v>D10</v>
      </c>
      <c r="G117" s="3" t="s">
        <v>176</v>
      </c>
      <c r="H117" s="240">
        <v>50</v>
      </c>
      <c r="I117" s="44">
        <v>70</v>
      </c>
      <c r="J117" s="82">
        <f>Database[[#This Row],[RATE , M3/D]]*(1-I117/100)</f>
        <v>15.000000000000002</v>
      </c>
      <c r="K117" s="76">
        <v>40</v>
      </c>
      <c r="L117" s="77">
        <v>71.7</v>
      </c>
      <c r="M117" s="87">
        <f>Database[[#This Row],[ACT , M3/D2]]*(1-L117/100)</f>
        <v>11.319999999999997</v>
      </c>
      <c r="N117" s="53">
        <v>16</v>
      </c>
      <c r="O117" s="54">
        <v>0.01</v>
      </c>
      <c r="P117" s="54">
        <v>250</v>
      </c>
      <c r="Q117" s="54">
        <v>21</v>
      </c>
      <c r="R117" s="54">
        <v>54</v>
      </c>
      <c r="S117" s="55">
        <v>83.4</v>
      </c>
      <c r="T117" s="55">
        <v>30.5</v>
      </c>
      <c r="U117" s="11" t="s">
        <v>161</v>
      </c>
      <c r="V117" s="55">
        <v>551</v>
      </c>
      <c r="W117" s="67"/>
      <c r="X117" s="63"/>
      <c r="Y117" s="63"/>
      <c r="Z117" s="402" t="s">
        <v>337</v>
      </c>
      <c r="AA117" s="63"/>
      <c r="AB117" s="89" t="s">
        <v>179</v>
      </c>
      <c r="AC117" s="111"/>
      <c r="AD117" s="90" t="s">
        <v>16</v>
      </c>
      <c r="AE117" s="72"/>
      <c r="AF117" s="95"/>
      <c r="AG117" s="72"/>
      <c r="AH117" s="72" t="str">
        <f>VLOOKUP(E117,' Data Lists'!$Z$3:$AA$31,2,)</f>
        <v>IN SERVICE</v>
      </c>
      <c r="AI117" s="63"/>
    </row>
    <row r="118" spans="1:35" x14ac:dyDescent="0.25">
      <c r="A118" s="6" t="s">
        <v>227</v>
      </c>
      <c r="B118" s="16" t="s">
        <v>4</v>
      </c>
      <c r="C118" s="7" t="s">
        <v>21</v>
      </c>
      <c r="D118" s="561" t="s">
        <v>370</v>
      </c>
      <c r="E118" s="63" t="s">
        <v>115</v>
      </c>
      <c r="F118" s="9" t="str">
        <f>VLOOKUP(E118,' Data Lists'!$T$3:$U$31,2,)</f>
        <v>PP2</v>
      </c>
      <c r="G118" s="244" t="s">
        <v>93</v>
      </c>
      <c r="H118" s="240">
        <v>40</v>
      </c>
      <c r="I118" s="44">
        <v>18</v>
      </c>
      <c r="J118" s="82">
        <f>Database[[#This Row],[RATE , M3/D]]*(1-I118/100)</f>
        <v>32.800000000000004</v>
      </c>
      <c r="K118" s="76">
        <v>40</v>
      </c>
      <c r="L118" s="77">
        <v>71.7</v>
      </c>
      <c r="M118" s="87">
        <f>Database[[#This Row],[ACT , M3/D2]]*(1-L118/100)</f>
        <v>11.319999999999997</v>
      </c>
      <c r="N118" s="53">
        <v>36</v>
      </c>
      <c r="O118" s="54">
        <v>0.1</v>
      </c>
      <c r="P118" s="54">
        <v>400</v>
      </c>
      <c r="Q118" s="54">
        <v>20</v>
      </c>
      <c r="R118" s="54"/>
      <c r="S118" s="55">
        <v>64</v>
      </c>
      <c r="T118" s="55">
        <v>24</v>
      </c>
      <c r="U118" s="11" t="s">
        <v>160</v>
      </c>
      <c r="V118" s="55">
        <v>493</v>
      </c>
      <c r="W118" s="67"/>
      <c r="X118" s="63"/>
      <c r="Y118" s="63"/>
      <c r="Z118" s="402" t="s">
        <v>338</v>
      </c>
      <c r="AA118" s="63"/>
      <c r="AB118" s="89" t="s">
        <v>179</v>
      </c>
      <c r="AC118" s="111"/>
      <c r="AD118" s="90"/>
      <c r="AE118" s="72"/>
      <c r="AF118" s="95"/>
      <c r="AG118" s="72"/>
      <c r="AH118" s="72" t="str">
        <f>VLOOKUP(E118,' Data Lists'!$Z$3:$AA$31,2,)</f>
        <v xml:space="preserve">OUT OF SERVICE </v>
      </c>
      <c r="AI118" s="63"/>
    </row>
    <row r="119" spans="1:35" x14ac:dyDescent="0.25">
      <c r="A119" s="6" t="s">
        <v>228</v>
      </c>
      <c r="B119" s="16" t="s">
        <v>7</v>
      </c>
      <c r="C119" s="7" t="s">
        <v>21</v>
      </c>
      <c r="D119" s="561" t="s">
        <v>370</v>
      </c>
      <c r="E119" s="63" t="s">
        <v>116</v>
      </c>
      <c r="F119" s="9" t="str">
        <f>VLOOKUP(E119,' Data Lists'!$T$3:$U$31,2,)</f>
        <v>PP2</v>
      </c>
      <c r="G119" s="244" t="s">
        <v>176</v>
      </c>
      <c r="H119" s="240">
        <v>35</v>
      </c>
      <c r="I119" s="44">
        <v>10</v>
      </c>
      <c r="J119" s="82">
        <f>Database[[#This Row],[RATE , M3/D]]*(1-I119/100)</f>
        <v>31.5</v>
      </c>
      <c r="K119" s="76">
        <v>30</v>
      </c>
      <c r="L119" s="77">
        <v>0.8</v>
      </c>
      <c r="M119" s="87">
        <f>Database[[#This Row],[ACT , M3/D2]]*(1-L119/100)</f>
        <v>29.759999999999998</v>
      </c>
      <c r="N119" s="53">
        <v>19</v>
      </c>
      <c r="O119" s="54">
        <v>0.02</v>
      </c>
      <c r="P119" s="54">
        <v>400</v>
      </c>
      <c r="Q119" s="54">
        <v>15</v>
      </c>
      <c r="R119" s="54"/>
      <c r="S119" s="55">
        <v>64</v>
      </c>
      <c r="T119" s="55">
        <v>24</v>
      </c>
      <c r="U119" s="11" t="s">
        <v>293</v>
      </c>
      <c r="V119" s="55">
        <v>444</v>
      </c>
      <c r="W119" s="67"/>
      <c r="X119" s="63"/>
      <c r="Y119" s="63"/>
      <c r="Z119" s="406">
        <v>43232</v>
      </c>
      <c r="AA119" s="63"/>
      <c r="AB119" s="89" t="s">
        <v>179</v>
      </c>
      <c r="AC119" s="111"/>
      <c r="AD119" s="90" t="s">
        <v>165</v>
      </c>
      <c r="AE119" s="72"/>
      <c r="AF119" s="95"/>
      <c r="AG119" s="72"/>
      <c r="AH119" s="72" t="str">
        <f>VLOOKUP(E119,' Data Lists'!$Z$3:$AA$31,2,)</f>
        <v>IN SERVICE</v>
      </c>
      <c r="AI119" s="63"/>
    </row>
    <row r="120" spans="1:35" x14ac:dyDescent="0.25">
      <c r="A120" s="6" t="s">
        <v>229</v>
      </c>
      <c r="B120" s="16" t="s">
        <v>7</v>
      </c>
      <c r="C120" s="7" t="s">
        <v>21</v>
      </c>
      <c r="D120" s="561" t="s">
        <v>370</v>
      </c>
      <c r="E120" s="7" t="s">
        <v>122</v>
      </c>
      <c r="F120" s="9" t="str">
        <f>VLOOKUP(E120,' Data Lists'!$T$3:$U$31,2,)</f>
        <v>D10</v>
      </c>
      <c r="G120" s="244" t="s">
        <v>121</v>
      </c>
      <c r="H120" s="240">
        <v>100</v>
      </c>
      <c r="I120" s="44">
        <v>58.5</v>
      </c>
      <c r="J120" s="82">
        <f>Database[[#This Row],[RATE , M3/D]]*(1-I120/100)</f>
        <v>41.5</v>
      </c>
      <c r="K120" s="76">
        <v>100</v>
      </c>
      <c r="L120" s="77">
        <v>58.5</v>
      </c>
      <c r="M120" s="87">
        <f>Database[[#This Row],[ACT , M3/D2]]*(1-L120/100)</f>
        <v>41.5</v>
      </c>
      <c r="N120" s="53">
        <v>169</v>
      </c>
      <c r="O120" s="54">
        <v>0.27</v>
      </c>
      <c r="P120" s="54">
        <v>400</v>
      </c>
      <c r="Q120" s="54">
        <v>29</v>
      </c>
      <c r="R120" s="54"/>
      <c r="S120" s="55">
        <v>125</v>
      </c>
      <c r="T120" s="55">
        <v>45</v>
      </c>
      <c r="U120" s="11" t="s">
        <v>185</v>
      </c>
      <c r="V120" s="55">
        <v>401</v>
      </c>
      <c r="W120" s="67"/>
      <c r="X120" s="63"/>
      <c r="Y120" s="63"/>
      <c r="Z120" s="406">
        <v>43906</v>
      </c>
      <c r="AA120" s="63"/>
      <c r="AB120" s="89"/>
      <c r="AC120" s="111"/>
      <c r="AD120" s="90"/>
      <c r="AE120" s="72"/>
      <c r="AF120" s="95"/>
      <c r="AG120" s="72"/>
      <c r="AH120" s="72" t="str">
        <f>VLOOKUP(E120,' Data Lists'!$Z$3:$AA$31,2,)</f>
        <v>IN SERVICE</v>
      </c>
      <c r="AI120" s="63"/>
    </row>
    <row r="121" spans="1:35" x14ac:dyDescent="0.25">
      <c r="A121" s="6" t="s">
        <v>256</v>
      </c>
      <c r="B121" s="16" t="s">
        <v>7</v>
      </c>
      <c r="C121" s="7" t="s">
        <v>22</v>
      </c>
      <c r="D121" s="561" t="s">
        <v>370</v>
      </c>
      <c r="E121" s="63" t="s">
        <v>106</v>
      </c>
      <c r="F121" s="9" t="str">
        <f>VLOOKUP(E121,' Data Lists'!$T$3:$U$31,2,)</f>
        <v>PP2</v>
      </c>
      <c r="G121" s="244" t="s">
        <v>176</v>
      </c>
      <c r="H121" s="240">
        <v>0</v>
      </c>
      <c r="I121" s="44">
        <v>74.3</v>
      </c>
      <c r="J121" s="82">
        <f>Database[[#This Row],[RATE , M3/D]]*(1-I121/100)</f>
        <v>0</v>
      </c>
      <c r="K121" s="76">
        <v>120</v>
      </c>
      <c r="L121" s="77">
        <v>42.9</v>
      </c>
      <c r="M121" s="87">
        <f>Database[[#This Row],[ACT , M3/D2]]*(1-L121/100)</f>
        <v>68.52</v>
      </c>
      <c r="N121" s="53">
        <v>0</v>
      </c>
      <c r="O121" s="54">
        <v>0</v>
      </c>
      <c r="P121" s="54">
        <v>400</v>
      </c>
      <c r="Q121" s="54">
        <v>26</v>
      </c>
      <c r="R121" s="54"/>
      <c r="S121" s="55">
        <v>104</v>
      </c>
      <c r="T121" s="55">
        <v>39</v>
      </c>
      <c r="U121" s="11" t="s">
        <v>148</v>
      </c>
      <c r="V121" s="55">
        <v>237</v>
      </c>
      <c r="W121" s="67"/>
      <c r="X121" s="63"/>
      <c r="Y121" s="63"/>
      <c r="Z121" s="406">
        <v>43307</v>
      </c>
      <c r="AA121" s="63"/>
      <c r="AB121" s="89" t="s">
        <v>178</v>
      </c>
      <c r="AC121" s="111"/>
      <c r="AD121" s="90"/>
      <c r="AE121" s="72"/>
      <c r="AF121" s="95"/>
      <c r="AG121" s="72"/>
      <c r="AH121" s="72" t="str">
        <f>VLOOKUP(E121,' Data Lists'!$Z$3:$AA$31,2,)</f>
        <v xml:space="preserve">OUT OF SERVICE </v>
      </c>
      <c r="AI121" s="63"/>
    </row>
    <row r="122" spans="1:35" x14ac:dyDescent="0.25">
      <c r="A122" s="6" t="s">
        <v>230</v>
      </c>
      <c r="B122" s="16" t="s">
        <v>7</v>
      </c>
      <c r="C122" s="7" t="s">
        <v>21</v>
      </c>
      <c r="D122" s="561" t="s">
        <v>370</v>
      </c>
      <c r="E122" s="63" t="s">
        <v>115</v>
      </c>
      <c r="F122" s="9" t="str">
        <f>VLOOKUP(E122,' Data Lists'!$T$3:$U$31,2,)</f>
        <v>PP2</v>
      </c>
      <c r="G122" s="244" t="s">
        <v>93</v>
      </c>
      <c r="H122" s="240">
        <v>50</v>
      </c>
      <c r="I122" s="44">
        <v>85.2</v>
      </c>
      <c r="J122" s="82">
        <f>Database[[#This Row],[RATE , M3/D]]*(1-I122/100)</f>
        <v>7.4000000000000012</v>
      </c>
      <c r="K122" s="76">
        <v>60</v>
      </c>
      <c r="L122" s="77">
        <v>76.400000000000006</v>
      </c>
      <c r="M122" s="87">
        <f>Database[[#This Row],[ACT , M3/D2]]*(1-L122/100)</f>
        <v>14.16</v>
      </c>
      <c r="N122" s="53">
        <v>617</v>
      </c>
      <c r="O122" s="54">
        <v>0.3</v>
      </c>
      <c r="P122" s="54">
        <v>300</v>
      </c>
      <c r="Q122" s="54">
        <v>15</v>
      </c>
      <c r="R122" s="54"/>
      <c r="S122" s="55">
        <v>60</v>
      </c>
      <c r="T122" s="55">
        <v>20</v>
      </c>
      <c r="U122" s="11" t="s">
        <v>188</v>
      </c>
      <c r="V122" s="55">
        <v>216</v>
      </c>
      <c r="W122" s="67"/>
      <c r="X122" s="63"/>
      <c r="Y122" s="63"/>
      <c r="Z122" s="406">
        <v>43556</v>
      </c>
      <c r="AA122" s="63"/>
      <c r="AB122" s="89" t="s">
        <v>179</v>
      </c>
      <c r="AC122" s="111"/>
      <c r="AD122" s="90"/>
      <c r="AE122" s="72"/>
      <c r="AF122" s="95"/>
      <c r="AG122" s="72"/>
      <c r="AH122" s="72" t="str">
        <f>VLOOKUP(E122,' Data Lists'!$Z$3:$AA$31,2,)</f>
        <v xml:space="preserve">OUT OF SERVICE </v>
      </c>
      <c r="AI122" s="63"/>
    </row>
    <row r="123" spans="1:35" x14ac:dyDescent="0.25">
      <c r="A123" s="6" t="s">
        <v>401</v>
      </c>
      <c r="B123" s="16" t="s">
        <v>7</v>
      </c>
      <c r="C123" s="7" t="s">
        <v>21</v>
      </c>
      <c r="D123" s="561" t="s">
        <v>370</v>
      </c>
      <c r="E123" s="63"/>
      <c r="F123" s="622"/>
      <c r="G123" s="63"/>
      <c r="H123" s="64"/>
      <c r="I123" s="65"/>
      <c r="J123" s="84">
        <f>Database[[#This Row],[RATE , M3/D]]*(1-I123/100)</f>
        <v>0</v>
      </c>
      <c r="K123" s="624"/>
      <c r="L123" s="629"/>
      <c r="M123" s="626">
        <f>Database[[#This Row],[ACT , M3/D2]]*(1-L123/100)</f>
        <v>0</v>
      </c>
      <c r="N123" s="627"/>
      <c r="O123" s="66"/>
      <c r="P123" s="66"/>
      <c r="Q123" s="66"/>
      <c r="R123" s="66"/>
      <c r="S123" s="67"/>
      <c r="T123" s="67"/>
      <c r="U123" s="68"/>
      <c r="V123" s="69"/>
      <c r="W123" s="67"/>
      <c r="X123" s="63"/>
      <c r="Y123" s="63"/>
      <c r="Z123" s="628"/>
      <c r="AA123" s="63"/>
      <c r="AB123" s="89"/>
      <c r="AC123" s="70"/>
      <c r="AD123" s="90"/>
      <c r="AE123" s="72"/>
      <c r="AF123" s="73"/>
      <c r="AG123" s="72"/>
      <c r="AH123" s="68" t="e">
        <f>VLOOKUP(E123,' Data Lists'!$Z$3:$AA$31,2,)</f>
        <v>#N/A</v>
      </c>
      <c r="AI123" s="63"/>
    </row>
    <row r="124" spans="1:35" x14ac:dyDescent="0.25">
      <c r="A124" s="6" t="s">
        <v>257</v>
      </c>
      <c r="B124" s="16" t="s">
        <v>7</v>
      </c>
      <c r="C124" s="7" t="s">
        <v>22</v>
      </c>
      <c r="D124" s="561" t="s">
        <v>370</v>
      </c>
      <c r="E124" s="63" t="s">
        <v>106</v>
      </c>
      <c r="F124" s="9" t="str">
        <f>VLOOKUP(E124,' Data Lists'!$T$3:$U$31,2,)</f>
        <v>PP2</v>
      </c>
      <c r="G124" s="244" t="s">
        <v>176</v>
      </c>
      <c r="H124" s="240">
        <v>0</v>
      </c>
      <c r="I124" s="44">
        <v>20</v>
      </c>
      <c r="J124" s="82">
        <f>Database[[#This Row],[RATE , M3/D]]*(1-I124/100)</f>
        <v>0</v>
      </c>
      <c r="K124" s="76">
        <v>120</v>
      </c>
      <c r="L124" s="77">
        <v>66.900000000000006</v>
      </c>
      <c r="M124" s="87">
        <f>Database[[#This Row],[ACT , M3/D2]]*(1-L124/100)</f>
        <v>39.72</v>
      </c>
      <c r="N124" s="53">
        <v>0</v>
      </c>
      <c r="O124" s="54">
        <v>0</v>
      </c>
      <c r="P124" s="54">
        <v>500</v>
      </c>
      <c r="Q124" s="54">
        <v>26</v>
      </c>
      <c r="R124" s="54"/>
      <c r="S124" s="55">
        <v>78</v>
      </c>
      <c r="T124" s="55">
        <v>27</v>
      </c>
      <c r="U124" s="11" t="s">
        <v>298</v>
      </c>
      <c r="V124" s="55">
        <v>261</v>
      </c>
      <c r="W124" s="67"/>
      <c r="X124" s="63"/>
      <c r="Y124" s="63"/>
      <c r="Z124" s="406">
        <v>42691</v>
      </c>
      <c r="AA124" s="63"/>
      <c r="AB124" s="89" t="s">
        <v>179</v>
      </c>
      <c r="AC124" s="111"/>
      <c r="AD124" s="90"/>
      <c r="AE124" s="72"/>
      <c r="AF124" s="95"/>
      <c r="AG124" s="72"/>
      <c r="AH124" s="72" t="str">
        <f>VLOOKUP(E124,' Data Lists'!$Z$3:$AA$31,2,)</f>
        <v xml:space="preserve">OUT OF SERVICE </v>
      </c>
      <c r="AI124" s="63"/>
    </row>
    <row r="125" spans="1:35" x14ac:dyDescent="0.25">
      <c r="A125" s="6" t="s">
        <v>231</v>
      </c>
      <c r="B125" s="16" t="s">
        <v>7</v>
      </c>
      <c r="C125" s="7" t="s">
        <v>21</v>
      </c>
      <c r="D125" s="561" t="s">
        <v>370</v>
      </c>
      <c r="E125" s="7" t="s">
        <v>122</v>
      </c>
      <c r="F125" s="9" t="str">
        <f>VLOOKUP(E125,' Data Lists'!$T$3:$U$31,2,)</f>
        <v>D10</v>
      </c>
      <c r="G125" s="3" t="s">
        <v>121</v>
      </c>
      <c r="H125" s="240">
        <v>50</v>
      </c>
      <c r="I125" s="44">
        <v>10</v>
      </c>
      <c r="J125" s="82">
        <f>Database[[#This Row],[RATE , M3/D]]*(1-I125/100)</f>
        <v>45</v>
      </c>
      <c r="K125" s="76">
        <v>50</v>
      </c>
      <c r="L125" s="77">
        <v>22.9</v>
      </c>
      <c r="M125" s="87">
        <f>Database[[#This Row],[ACT , M3/D2]]*(1-L125/100)</f>
        <v>38.550000000000004</v>
      </c>
      <c r="N125" s="53">
        <v>83</v>
      </c>
      <c r="O125" s="54">
        <v>0.13</v>
      </c>
      <c r="P125" s="54">
        <v>400</v>
      </c>
      <c r="Q125" s="54">
        <v>15</v>
      </c>
      <c r="R125" s="54"/>
      <c r="S125" s="55">
        <v>75</v>
      </c>
      <c r="T125" s="55">
        <v>25</v>
      </c>
      <c r="U125" s="11" t="s">
        <v>284</v>
      </c>
      <c r="V125" s="55">
        <v>402</v>
      </c>
      <c r="W125" s="67"/>
      <c r="X125" s="63"/>
      <c r="Y125" s="63"/>
      <c r="Z125" s="406">
        <v>42944</v>
      </c>
      <c r="AA125" s="63"/>
      <c r="AB125" s="89" t="s">
        <v>179</v>
      </c>
      <c r="AC125" s="111"/>
      <c r="AD125" s="90"/>
      <c r="AE125" s="72"/>
      <c r="AF125" s="95"/>
      <c r="AG125" s="72"/>
      <c r="AH125" s="72" t="str">
        <f>VLOOKUP(E125,' Data Lists'!$Z$3:$AA$31,2,)</f>
        <v>IN SERVICE</v>
      </c>
      <c r="AI125" s="63"/>
    </row>
    <row r="126" spans="1:35" x14ac:dyDescent="0.25">
      <c r="A126" s="6" t="s">
        <v>258</v>
      </c>
      <c r="B126" s="16" t="s">
        <v>4</v>
      </c>
      <c r="C126" s="7" t="s">
        <v>21</v>
      </c>
      <c r="D126" s="561" t="s">
        <v>370</v>
      </c>
      <c r="E126" s="63" t="s">
        <v>96</v>
      </c>
      <c r="F126" s="9" t="str">
        <f>VLOOKUP(E126,' Data Lists'!$T$3:$U$31,2,)</f>
        <v>D10</v>
      </c>
      <c r="G126" s="244" t="s">
        <v>96</v>
      </c>
      <c r="H126" s="240">
        <v>0</v>
      </c>
      <c r="I126" s="44">
        <v>78.900000000000006</v>
      </c>
      <c r="J126" s="82">
        <f>Database[[#This Row],[RATE , M3/D]]*(1-I126/100)</f>
        <v>0</v>
      </c>
      <c r="K126" s="76">
        <v>0</v>
      </c>
      <c r="L126" s="77">
        <v>85.3</v>
      </c>
      <c r="M126" s="87">
        <f>Database[[#This Row],[ACT , M3/D2]]*(1-L126/100)</f>
        <v>0</v>
      </c>
      <c r="N126" s="53">
        <v>0</v>
      </c>
      <c r="O126" s="54">
        <v>0</v>
      </c>
      <c r="P126" s="54">
        <v>400</v>
      </c>
      <c r="Q126" s="54">
        <v>18</v>
      </c>
      <c r="R126" s="54"/>
      <c r="S126" s="55">
        <v>83</v>
      </c>
      <c r="T126" s="55">
        <v>29</v>
      </c>
      <c r="U126" s="11" t="s">
        <v>183</v>
      </c>
      <c r="V126" s="55">
        <v>333</v>
      </c>
      <c r="W126" s="67"/>
      <c r="X126" s="63"/>
      <c r="Y126" s="63"/>
      <c r="Z126" s="406">
        <v>43767</v>
      </c>
      <c r="AA126" s="63"/>
      <c r="AB126" s="89" t="s">
        <v>179</v>
      </c>
      <c r="AC126" s="111"/>
      <c r="AD126" s="90"/>
      <c r="AE126" s="72"/>
      <c r="AF126" s="95"/>
      <c r="AG126" s="72"/>
      <c r="AH126" s="72" t="str">
        <f>VLOOKUP(E126,' Data Lists'!$Z$3:$AA$31,2,)</f>
        <v>IN SERVICE</v>
      </c>
      <c r="AI126" s="63"/>
    </row>
    <row r="127" spans="1:35" x14ac:dyDescent="0.25">
      <c r="A127" s="6" t="s">
        <v>232</v>
      </c>
      <c r="B127" s="16" t="s">
        <v>7</v>
      </c>
      <c r="C127" s="7" t="s">
        <v>21</v>
      </c>
      <c r="D127" s="561" t="s">
        <v>370</v>
      </c>
      <c r="E127" s="63" t="s">
        <v>107</v>
      </c>
      <c r="F127" s="9" t="str">
        <f>VLOOKUP(E127,' Data Lists'!$T$3:$U$31,2,)</f>
        <v>PP2</v>
      </c>
      <c r="G127" s="244" t="s">
        <v>93</v>
      </c>
      <c r="H127" s="240">
        <v>70</v>
      </c>
      <c r="I127" s="44">
        <v>50</v>
      </c>
      <c r="J127" s="82">
        <f>Database[[#This Row],[RATE , M3/D]]*(1-I127/100)</f>
        <v>35</v>
      </c>
      <c r="K127" s="76">
        <v>60</v>
      </c>
      <c r="L127" s="77">
        <v>39</v>
      </c>
      <c r="M127" s="87">
        <f>Database[[#This Row],[ACT , M3/D2]]*(1-L127/100)</f>
        <v>36.6</v>
      </c>
      <c r="N127" s="53">
        <v>71</v>
      </c>
      <c r="O127" s="54">
        <v>0.14000000000000001</v>
      </c>
      <c r="P127" s="54">
        <v>400</v>
      </c>
      <c r="Q127" s="54">
        <v>20</v>
      </c>
      <c r="R127" s="54"/>
      <c r="S127" s="55">
        <v>75</v>
      </c>
      <c r="T127" s="55">
        <v>25</v>
      </c>
      <c r="U127" s="11" t="s">
        <v>186</v>
      </c>
      <c r="V127" s="55">
        <v>359</v>
      </c>
      <c r="W127" s="67"/>
      <c r="X127" s="63"/>
      <c r="Y127" s="63"/>
      <c r="Z127" s="406">
        <v>43005</v>
      </c>
      <c r="AA127" s="63"/>
      <c r="AB127" s="89" t="s">
        <v>178</v>
      </c>
      <c r="AC127" s="111"/>
      <c r="AD127" s="90" t="s">
        <v>163</v>
      </c>
      <c r="AE127" s="72"/>
      <c r="AF127" s="95"/>
      <c r="AG127" s="72"/>
      <c r="AH127" s="72" t="str">
        <f>VLOOKUP(E127,' Data Lists'!$Z$3:$AA$31,2,)</f>
        <v>IN SERVICE</v>
      </c>
      <c r="AI127" s="63"/>
    </row>
    <row r="128" spans="1:35" x14ac:dyDescent="0.25">
      <c r="A128" s="6" t="s">
        <v>233</v>
      </c>
      <c r="B128" s="16" t="s">
        <v>7</v>
      </c>
      <c r="C128" s="7" t="s">
        <v>21</v>
      </c>
      <c r="D128" s="561" t="s">
        <v>370</v>
      </c>
      <c r="E128" s="63" t="s">
        <v>115</v>
      </c>
      <c r="F128" s="9" t="str">
        <f>VLOOKUP(E128,' Data Lists'!$T$3:$U$31,2,)</f>
        <v>PP2</v>
      </c>
      <c r="G128" s="244" t="s">
        <v>93</v>
      </c>
      <c r="H128" s="240">
        <v>50</v>
      </c>
      <c r="I128" s="44">
        <v>9.6999999999999993</v>
      </c>
      <c r="J128" s="82">
        <f>Database[[#This Row],[RATE , M3/D]]*(1-I128/100)</f>
        <v>45.15</v>
      </c>
      <c r="K128" s="76">
        <v>50</v>
      </c>
      <c r="L128" s="77">
        <v>8.1999999999999993</v>
      </c>
      <c r="M128" s="87">
        <f>Database[[#This Row],[ACT , M3/D2]]*(1-L128/100)</f>
        <v>45.9</v>
      </c>
      <c r="N128" s="53">
        <v>239</v>
      </c>
      <c r="O128" s="54">
        <v>0.56999999999999995</v>
      </c>
      <c r="P128" s="54">
        <v>400</v>
      </c>
      <c r="Q128" s="54">
        <v>20</v>
      </c>
      <c r="R128" s="54"/>
      <c r="S128" s="55">
        <v>76</v>
      </c>
      <c r="T128" s="55">
        <v>25.6</v>
      </c>
      <c r="U128" s="11" t="s">
        <v>294</v>
      </c>
      <c r="V128" s="55">
        <v>566</v>
      </c>
      <c r="W128" s="67"/>
      <c r="X128" s="63"/>
      <c r="Y128" s="63"/>
      <c r="Z128" s="406">
        <v>43967</v>
      </c>
      <c r="AA128" s="63"/>
      <c r="AB128" s="89" t="s">
        <v>178</v>
      </c>
      <c r="AC128" s="111"/>
      <c r="AD128" s="90" t="s">
        <v>163</v>
      </c>
      <c r="AE128" s="72"/>
      <c r="AF128" s="95"/>
      <c r="AG128" s="72"/>
      <c r="AH128" s="72" t="str">
        <f>VLOOKUP(E128,' Data Lists'!$Z$3:$AA$31,2,)</f>
        <v xml:space="preserve">OUT OF SERVICE </v>
      </c>
      <c r="AI128" s="63"/>
    </row>
    <row r="129" spans="1:35" x14ac:dyDescent="0.25">
      <c r="A129" s="6" t="s">
        <v>259</v>
      </c>
      <c r="B129" s="16" t="s">
        <v>7</v>
      </c>
      <c r="C129" s="7" t="s">
        <v>21</v>
      </c>
      <c r="D129" s="561" t="s">
        <v>370</v>
      </c>
      <c r="E129" s="63" t="s">
        <v>116</v>
      </c>
      <c r="F129" s="9" t="str">
        <f>VLOOKUP(E129,' Data Lists'!$T$3:$U$31,2,)</f>
        <v>PP2</v>
      </c>
      <c r="G129" s="244" t="s">
        <v>93</v>
      </c>
      <c r="H129" s="240">
        <v>50</v>
      </c>
      <c r="I129" s="44">
        <v>68.5</v>
      </c>
      <c r="J129" s="82">
        <f>Database[[#This Row],[RATE , M3/D]]*(1-I129/100)</f>
        <v>15.749999999999996</v>
      </c>
      <c r="K129" s="76">
        <v>100</v>
      </c>
      <c r="L129" s="77">
        <v>68.400000000000006</v>
      </c>
      <c r="M129" s="87">
        <f>Database[[#This Row],[ACT , M3/D2]]*(1-L129/100)</f>
        <v>31.599999999999994</v>
      </c>
      <c r="N129" s="53">
        <v>166</v>
      </c>
      <c r="O129" s="54">
        <v>0.31</v>
      </c>
      <c r="P129" s="54">
        <v>400</v>
      </c>
      <c r="Q129" s="54">
        <v>34</v>
      </c>
      <c r="R129" s="54"/>
      <c r="S129" s="55">
        <v>138</v>
      </c>
      <c r="T129" s="55">
        <v>46</v>
      </c>
      <c r="U129" s="11" t="s">
        <v>148</v>
      </c>
      <c r="V129" s="55">
        <v>309</v>
      </c>
      <c r="W129" s="67"/>
      <c r="X129" s="63"/>
      <c r="Y129" s="63"/>
      <c r="Z129" s="406">
        <v>44119</v>
      </c>
      <c r="AA129" s="63"/>
      <c r="AB129" s="89" t="s">
        <v>179</v>
      </c>
      <c r="AC129" s="111"/>
      <c r="AD129" s="90"/>
      <c r="AE129" s="72"/>
      <c r="AF129" s="95"/>
      <c r="AG129" s="72"/>
      <c r="AH129" s="72" t="str">
        <f>VLOOKUP(E129,' Data Lists'!$Z$3:$AA$31,2,)</f>
        <v>IN SERVICE</v>
      </c>
      <c r="AI129" s="63"/>
    </row>
    <row r="130" spans="1:35" x14ac:dyDescent="0.25">
      <c r="A130" s="6" t="s">
        <v>235</v>
      </c>
      <c r="B130" s="16" t="s">
        <v>7</v>
      </c>
      <c r="C130" s="7" t="s">
        <v>21</v>
      </c>
      <c r="D130" s="561" t="s">
        <v>370</v>
      </c>
      <c r="E130" s="7" t="s">
        <v>122</v>
      </c>
      <c r="F130" s="9" t="str">
        <f>VLOOKUP(E130,' Data Lists'!$T$3:$U$31,2,)</f>
        <v>D10</v>
      </c>
      <c r="G130" s="244" t="s">
        <v>123</v>
      </c>
      <c r="H130" s="241">
        <v>400</v>
      </c>
      <c r="I130" s="45">
        <v>96.8</v>
      </c>
      <c r="J130" s="83">
        <f>Database[[#This Row],[RATE , M3/D]]*(1-I130/100)</f>
        <v>12.800000000000011</v>
      </c>
      <c r="K130" s="78">
        <v>400</v>
      </c>
      <c r="L130" s="79">
        <v>96.3</v>
      </c>
      <c r="M130" s="87">
        <f>Database[[#This Row],[ACT , M3/D2]]*(1-L130/100)</f>
        <v>14.800000000000013</v>
      </c>
      <c r="N130" s="56">
        <v>80</v>
      </c>
      <c r="O130" s="57">
        <v>0.52</v>
      </c>
      <c r="P130" s="57">
        <v>600</v>
      </c>
      <c r="Q130" s="57">
        <v>93</v>
      </c>
      <c r="R130" s="57"/>
      <c r="S130" s="58">
        <v>300</v>
      </c>
      <c r="T130" s="58">
        <v>120</v>
      </c>
      <c r="U130" s="11" t="s">
        <v>295</v>
      </c>
      <c r="V130" s="39">
        <v>261</v>
      </c>
      <c r="W130" s="67"/>
      <c r="X130" s="63"/>
      <c r="Y130" s="63"/>
      <c r="Z130" s="406">
        <v>44019</v>
      </c>
      <c r="AA130" s="63"/>
      <c r="AB130" s="89" t="s">
        <v>179</v>
      </c>
      <c r="AC130" s="111"/>
      <c r="AD130" s="90"/>
      <c r="AE130" s="72"/>
      <c r="AF130" s="95"/>
      <c r="AG130" s="72"/>
      <c r="AH130" s="72" t="str">
        <f>VLOOKUP(E130,' Data Lists'!$Z$3:$AA$31,2,)</f>
        <v>IN SERVICE</v>
      </c>
      <c r="AI130" s="63"/>
    </row>
    <row r="131" spans="1:35" x14ac:dyDescent="0.25">
      <c r="A131" s="6" t="s">
        <v>236</v>
      </c>
      <c r="B131" s="16" t="s">
        <v>7</v>
      </c>
      <c r="C131" s="7" t="s">
        <v>21</v>
      </c>
      <c r="D131" s="561" t="s">
        <v>370</v>
      </c>
      <c r="E131" s="7" t="s">
        <v>122</v>
      </c>
      <c r="F131" s="9" t="str">
        <f>VLOOKUP(E131,' Data Lists'!$T$3:$U$31,2,)</f>
        <v>D10</v>
      </c>
      <c r="G131" s="244" t="s">
        <v>96</v>
      </c>
      <c r="H131" s="240">
        <v>50</v>
      </c>
      <c r="I131" s="44">
        <v>92.4</v>
      </c>
      <c r="J131" s="82">
        <f>Database[[#This Row],[RATE , M3/D]]*(1-I131/100)</f>
        <v>3.799999999999998</v>
      </c>
      <c r="K131" s="76">
        <v>50</v>
      </c>
      <c r="L131" s="77">
        <v>82.4</v>
      </c>
      <c r="M131" s="87">
        <f>Database[[#This Row],[ACT , M3/D2]]*(1-L131/100)</f>
        <v>8.7999999999999972</v>
      </c>
      <c r="N131" s="53">
        <v>145</v>
      </c>
      <c r="O131" s="54">
        <v>0.2</v>
      </c>
      <c r="P131" s="54">
        <v>400</v>
      </c>
      <c r="Q131" s="54">
        <v>22</v>
      </c>
      <c r="R131" s="54"/>
      <c r="S131" s="55">
        <v>83</v>
      </c>
      <c r="T131" s="55">
        <v>29</v>
      </c>
      <c r="U131" s="11" t="s">
        <v>154</v>
      </c>
      <c r="V131" s="55">
        <v>320</v>
      </c>
      <c r="W131" s="67"/>
      <c r="X131" s="63"/>
      <c r="Y131" s="63"/>
      <c r="Z131" s="406">
        <v>44012</v>
      </c>
      <c r="AA131" s="63"/>
      <c r="AB131" s="89" t="s">
        <v>179</v>
      </c>
      <c r="AC131" s="111"/>
      <c r="AD131" s="90"/>
      <c r="AE131" s="72"/>
      <c r="AF131" s="95"/>
      <c r="AG131" s="72"/>
      <c r="AH131" s="72" t="str">
        <f>VLOOKUP(E131,' Data Lists'!$Z$3:$AA$31,2,)</f>
        <v>IN SERVICE</v>
      </c>
      <c r="AI131" s="63"/>
    </row>
    <row r="132" spans="1:35" x14ac:dyDescent="0.25">
      <c r="A132" s="6" t="s">
        <v>237</v>
      </c>
      <c r="B132" s="16" t="s">
        <v>4</v>
      </c>
      <c r="C132" s="7" t="s">
        <v>21</v>
      </c>
      <c r="D132" s="561" t="s">
        <v>370</v>
      </c>
      <c r="E132" s="63" t="s">
        <v>114</v>
      </c>
      <c r="F132" s="9" t="str">
        <f>VLOOKUP(E132,' Data Lists'!$T$3:$U$31,2,)</f>
        <v>D10</v>
      </c>
      <c r="G132" s="244" t="s">
        <v>93</v>
      </c>
      <c r="H132" s="240">
        <v>80</v>
      </c>
      <c r="I132" s="44">
        <v>12</v>
      </c>
      <c r="J132" s="82">
        <f>Database[[#This Row],[RATE , M3/D]]*(1-I132/100)</f>
        <v>70.400000000000006</v>
      </c>
      <c r="K132" s="76">
        <v>80</v>
      </c>
      <c r="L132" s="77">
        <v>0.8</v>
      </c>
      <c r="M132" s="87">
        <f>Database[[#This Row],[ACT , M3/D2]]*(1-L132/100)</f>
        <v>79.36</v>
      </c>
      <c r="N132" s="53">
        <v>400</v>
      </c>
      <c r="O132" s="54">
        <v>0.6</v>
      </c>
      <c r="P132" s="54">
        <v>400</v>
      </c>
      <c r="Q132" s="54">
        <v>16</v>
      </c>
      <c r="R132" s="54"/>
      <c r="S132" s="55">
        <v>83</v>
      </c>
      <c r="T132" s="55">
        <v>29</v>
      </c>
      <c r="U132" s="11" t="s">
        <v>183</v>
      </c>
      <c r="V132" s="55">
        <v>353</v>
      </c>
      <c r="W132" s="67"/>
      <c r="X132" s="63"/>
      <c r="Y132" s="63"/>
      <c r="Z132" s="406">
        <v>43982</v>
      </c>
      <c r="AA132" s="63"/>
      <c r="AB132" s="89" t="s">
        <v>179</v>
      </c>
      <c r="AC132" s="111"/>
      <c r="AD132" s="90" t="s">
        <v>163</v>
      </c>
      <c r="AE132" s="72"/>
      <c r="AF132" s="95"/>
      <c r="AG132" s="72"/>
      <c r="AH132" s="72" t="str">
        <f>VLOOKUP(E132,' Data Lists'!$Z$3:$AA$31,2,)</f>
        <v>IN SERVICE</v>
      </c>
      <c r="AI132" s="63"/>
    </row>
    <row r="133" spans="1:35" x14ac:dyDescent="0.25">
      <c r="A133" s="6" t="s">
        <v>238</v>
      </c>
      <c r="B133" s="16" t="s">
        <v>7</v>
      </c>
      <c r="C133" s="7" t="s">
        <v>21</v>
      </c>
      <c r="D133" s="561" t="s">
        <v>370</v>
      </c>
      <c r="E133" s="63" t="s">
        <v>96</v>
      </c>
      <c r="F133" s="9" t="str">
        <f>VLOOKUP(E133,' Data Lists'!$T$3:$U$31,2,)</f>
        <v>D10</v>
      </c>
      <c r="G133" s="244" t="s">
        <v>96</v>
      </c>
      <c r="H133" s="240">
        <v>100</v>
      </c>
      <c r="I133" s="44">
        <v>12</v>
      </c>
      <c r="J133" s="82">
        <f>Database[[#This Row],[RATE , M3/D]]*(1-I133/100)</f>
        <v>88</v>
      </c>
      <c r="K133" s="76">
        <v>100</v>
      </c>
      <c r="L133" s="77">
        <v>0.4</v>
      </c>
      <c r="M133" s="87">
        <f>Database[[#This Row],[ACT , M3/D2]]*(1-L133/100)</f>
        <v>99.6</v>
      </c>
      <c r="N133" s="53">
        <v>414</v>
      </c>
      <c r="O133" s="54">
        <v>1.35</v>
      </c>
      <c r="P133" s="54">
        <v>400</v>
      </c>
      <c r="Q133" s="54">
        <v>24</v>
      </c>
      <c r="R133" s="54">
        <v>46</v>
      </c>
      <c r="S133" s="55">
        <v>83</v>
      </c>
      <c r="T133" s="55">
        <v>27</v>
      </c>
      <c r="U133" s="11" t="s">
        <v>148</v>
      </c>
      <c r="V133" s="55">
        <v>229</v>
      </c>
      <c r="W133" s="67"/>
      <c r="X133" s="63"/>
      <c r="Y133" s="63"/>
      <c r="Z133" s="406">
        <v>44008</v>
      </c>
      <c r="AA133" s="63"/>
      <c r="AB133" s="89" t="s">
        <v>179</v>
      </c>
      <c r="AC133" s="111"/>
      <c r="AD133" s="90" t="s">
        <v>16</v>
      </c>
      <c r="AE133" s="72"/>
      <c r="AF133" s="95"/>
      <c r="AG133" s="72"/>
      <c r="AH133" s="72" t="str">
        <f>VLOOKUP(E133,' Data Lists'!$Z$3:$AA$31,2,)</f>
        <v>IN SERVICE</v>
      </c>
      <c r="AI133" s="63"/>
    </row>
    <row r="134" spans="1:35" x14ac:dyDescent="0.25">
      <c r="A134" s="6" t="s">
        <v>239</v>
      </c>
      <c r="B134" s="16" t="s">
        <v>7</v>
      </c>
      <c r="C134" s="7" t="s">
        <v>21</v>
      </c>
      <c r="D134" s="561" t="s">
        <v>370</v>
      </c>
      <c r="E134" s="7" t="s">
        <v>122</v>
      </c>
      <c r="F134" s="9" t="str">
        <f>VLOOKUP(E134,' Data Lists'!$T$3:$U$31,2,)</f>
        <v>D10</v>
      </c>
      <c r="G134" s="244" t="s">
        <v>121</v>
      </c>
      <c r="H134" s="240">
        <v>150</v>
      </c>
      <c r="I134" s="44">
        <v>10</v>
      </c>
      <c r="J134" s="82">
        <f>Database[[#This Row],[RATE , M3/D]]*(1-I134/100)</f>
        <v>135</v>
      </c>
      <c r="K134" s="76">
        <v>220</v>
      </c>
      <c r="L134" s="77">
        <v>8.5</v>
      </c>
      <c r="M134" s="87">
        <f>Database[[#This Row],[ACT , M3/D2]]*(1-L134/100)</f>
        <v>201.3</v>
      </c>
      <c r="N134" s="53">
        <v>105</v>
      </c>
      <c r="O134" s="54">
        <v>0.8</v>
      </c>
      <c r="P134" s="54">
        <v>700</v>
      </c>
      <c r="Q134" s="54">
        <v>67</v>
      </c>
      <c r="R134" s="54"/>
      <c r="S134" s="55">
        <v>229</v>
      </c>
      <c r="T134" s="55">
        <v>75</v>
      </c>
      <c r="U134" s="11" t="s">
        <v>155</v>
      </c>
      <c r="V134" s="55">
        <v>246</v>
      </c>
      <c r="W134" s="67"/>
      <c r="X134" s="63"/>
      <c r="Y134" s="63"/>
      <c r="Z134" s="406">
        <v>43944</v>
      </c>
      <c r="AA134" s="63"/>
      <c r="AB134" s="89" t="s">
        <v>179</v>
      </c>
      <c r="AC134" s="111"/>
      <c r="AD134" s="90"/>
      <c r="AE134" s="72"/>
      <c r="AF134" s="95"/>
      <c r="AG134" s="72"/>
      <c r="AH134" s="72" t="str">
        <f>VLOOKUP(E134,' Data Lists'!$Z$3:$AA$31,2,)</f>
        <v>IN SERVICE</v>
      </c>
      <c r="AI134" s="63"/>
    </row>
    <row r="135" spans="1:35" x14ac:dyDescent="0.25">
      <c r="A135" s="6" t="s">
        <v>402</v>
      </c>
      <c r="B135" s="16" t="s">
        <v>7</v>
      </c>
      <c r="C135" s="7" t="s">
        <v>21</v>
      </c>
      <c r="D135" s="561" t="s">
        <v>370</v>
      </c>
      <c r="E135" s="63"/>
      <c r="F135" s="622"/>
      <c r="G135" s="63"/>
      <c r="H135" s="64">
        <v>100</v>
      </c>
      <c r="I135" s="65">
        <v>29.1</v>
      </c>
      <c r="J135" s="84">
        <f>Database[[#This Row],[RATE , M3/D]]*(1-I135/100)</f>
        <v>70.899999999999991</v>
      </c>
      <c r="K135" s="624">
        <v>120</v>
      </c>
      <c r="L135" s="629">
        <v>51.6</v>
      </c>
      <c r="M135" s="626">
        <f>Database[[#This Row],[ACT , M3/D2]]*(1-L135/100)</f>
        <v>58.08</v>
      </c>
      <c r="N135" s="627"/>
      <c r="O135" s="66"/>
      <c r="P135" s="66"/>
      <c r="Q135" s="66"/>
      <c r="R135" s="66"/>
      <c r="S135" s="67"/>
      <c r="T135" s="67"/>
      <c r="U135" s="68"/>
      <c r="V135" s="69"/>
      <c r="W135" s="67"/>
      <c r="X135" s="63"/>
      <c r="Y135" s="63"/>
      <c r="Z135" s="628"/>
      <c r="AA135" s="63"/>
      <c r="AB135" s="89"/>
      <c r="AC135" s="70"/>
      <c r="AD135" s="90"/>
      <c r="AE135" s="72"/>
      <c r="AF135" s="73"/>
      <c r="AG135" s="72"/>
      <c r="AH135" s="68" t="e">
        <f>VLOOKUP(E135,' Data Lists'!$Z$3:$AA$31,2,)</f>
        <v>#N/A</v>
      </c>
      <c r="AI135" s="63"/>
    </row>
    <row r="136" spans="1:35" x14ac:dyDescent="0.25">
      <c r="A136" s="6" t="s">
        <v>240</v>
      </c>
      <c r="B136" s="16" t="s">
        <v>7</v>
      </c>
      <c r="C136" s="7" t="s">
        <v>21</v>
      </c>
      <c r="D136" s="561" t="s">
        <v>370</v>
      </c>
      <c r="E136" s="7" t="s">
        <v>122</v>
      </c>
      <c r="F136" s="9" t="str">
        <f>VLOOKUP(E136,' Data Lists'!$T$3:$U$31,2,)</f>
        <v>D10</v>
      </c>
      <c r="G136" s="244" t="s">
        <v>123</v>
      </c>
      <c r="H136" s="240">
        <v>110</v>
      </c>
      <c r="I136" s="44">
        <v>3.2</v>
      </c>
      <c r="J136" s="82">
        <f>Database[[#This Row],[RATE , M3/D]]*(1-I136/100)</f>
        <v>106.47999999999999</v>
      </c>
      <c r="K136" s="76">
        <v>110</v>
      </c>
      <c r="L136" s="77">
        <v>9.3000000000000007</v>
      </c>
      <c r="M136" s="87">
        <f>Database[[#This Row],[ACT , M3/D2]]*(1-L136/100)</f>
        <v>99.77000000000001</v>
      </c>
      <c r="N136" s="53">
        <v>43</v>
      </c>
      <c r="O136" s="54">
        <v>0.43</v>
      </c>
      <c r="P136" s="54">
        <v>700</v>
      </c>
      <c r="Q136" s="54">
        <v>28</v>
      </c>
      <c r="R136" s="54"/>
      <c r="S136" s="55">
        <v>55</v>
      </c>
      <c r="T136" s="55">
        <v>46</v>
      </c>
      <c r="U136" s="11" t="s">
        <v>157</v>
      </c>
      <c r="V136" s="55">
        <v>358</v>
      </c>
      <c r="W136" s="67"/>
      <c r="X136" s="63"/>
      <c r="Y136" s="63"/>
      <c r="Z136" s="406">
        <v>44052</v>
      </c>
      <c r="AA136" s="63"/>
      <c r="AB136" s="89" t="s">
        <v>179</v>
      </c>
      <c r="AC136" s="111"/>
      <c r="AD136" s="90"/>
      <c r="AE136" s="72"/>
      <c r="AF136" s="95"/>
      <c r="AG136" s="72"/>
      <c r="AH136" s="72" t="str">
        <f>VLOOKUP(E136,' Data Lists'!$Z$3:$AA$31,2,)</f>
        <v>IN SERVICE</v>
      </c>
      <c r="AI136" s="63"/>
    </row>
    <row r="137" spans="1:35" x14ac:dyDescent="0.25">
      <c r="A137" s="6" t="s">
        <v>260</v>
      </c>
      <c r="B137" s="16" t="s">
        <v>7</v>
      </c>
      <c r="C137" s="7" t="s">
        <v>21</v>
      </c>
      <c r="D137" s="561" t="s">
        <v>370</v>
      </c>
      <c r="E137" s="63" t="s">
        <v>96</v>
      </c>
      <c r="F137" s="9" t="str">
        <f>VLOOKUP(E137,' Data Lists'!$T$3:$U$31,2,)</f>
        <v>D10</v>
      </c>
      <c r="G137" s="244" t="s">
        <v>96</v>
      </c>
      <c r="H137" s="240">
        <v>0</v>
      </c>
      <c r="I137" s="44">
        <v>0.4</v>
      </c>
      <c r="J137" s="82">
        <f>Database[[#This Row],[RATE , M3/D]]*(1-I137/100)</f>
        <v>0</v>
      </c>
      <c r="K137" s="76">
        <v>0</v>
      </c>
      <c r="L137" s="77">
        <v>0.4</v>
      </c>
      <c r="M137" s="87">
        <f>Database[[#This Row],[ACT , M3/D2]]*(1-L137/100)</f>
        <v>0</v>
      </c>
      <c r="N137" s="53">
        <v>0</v>
      </c>
      <c r="O137" s="54">
        <v>0</v>
      </c>
      <c r="P137" s="54">
        <v>170</v>
      </c>
      <c r="Q137" s="54">
        <v>21</v>
      </c>
      <c r="R137" s="54"/>
      <c r="S137" s="55">
        <v>75</v>
      </c>
      <c r="T137" s="55">
        <v>25</v>
      </c>
      <c r="U137" s="11" t="s">
        <v>284</v>
      </c>
      <c r="V137" s="55">
        <v>347</v>
      </c>
      <c r="W137" s="67"/>
      <c r="X137" s="63"/>
      <c r="Y137" s="63"/>
      <c r="Z137" s="406">
        <v>44019</v>
      </c>
      <c r="AA137" s="63"/>
      <c r="AB137" s="89" t="s">
        <v>179</v>
      </c>
      <c r="AC137" s="111"/>
      <c r="AD137" s="90" t="s">
        <v>16</v>
      </c>
      <c r="AE137" s="72"/>
      <c r="AF137" s="95"/>
      <c r="AG137" s="72"/>
      <c r="AH137" s="72" t="str">
        <f>VLOOKUP(E137,' Data Lists'!$Z$3:$AA$31,2,)</f>
        <v>IN SERVICE</v>
      </c>
      <c r="AI137" s="63"/>
    </row>
    <row r="138" spans="1:35" x14ac:dyDescent="0.25">
      <c r="A138" s="6" t="s">
        <v>391</v>
      </c>
      <c r="B138" s="16" t="s">
        <v>7</v>
      </c>
      <c r="C138" s="7" t="s">
        <v>21</v>
      </c>
      <c r="D138" s="561" t="s">
        <v>370</v>
      </c>
      <c r="E138" s="63" t="s">
        <v>122</v>
      </c>
      <c r="F138" s="622"/>
      <c r="G138" s="63"/>
      <c r="H138" s="64"/>
      <c r="I138" s="65"/>
      <c r="J138" s="84">
        <f>Database[[#This Row],[RATE , M3/D]]*(1-I138/100)</f>
        <v>0</v>
      </c>
      <c r="K138" s="624"/>
      <c r="L138" s="629"/>
      <c r="M138" s="626">
        <f>Database[[#This Row],[ACT , M3/D2]]*(1-L138/100)</f>
        <v>0</v>
      </c>
      <c r="N138" s="627"/>
      <c r="O138" s="66"/>
      <c r="P138" s="66"/>
      <c r="Q138" s="66"/>
      <c r="R138" s="66"/>
      <c r="S138" s="67"/>
      <c r="T138" s="67"/>
      <c r="U138" s="68"/>
      <c r="V138" s="69"/>
      <c r="W138" s="67"/>
      <c r="X138" s="63"/>
      <c r="Y138" s="63"/>
      <c r="Z138" s="628"/>
      <c r="AA138" s="63"/>
      <c r="AB138" s="89"/>
      <c r="AC138" s="70"/>
      <c r="AD138" s="90"/>
      <c r="AE138" s="72"/>
      <c r="AF138" s="73"/>
      <c r="AG138" s="72"/>
      <c r="AH138" s="68" t="str">
        <f>VLOOKUP(E138,' Data Lists'!$Z$3:$AA$31,2,)</f>
        <v>IN SERVICE</v>
      </c>
      <c r="AI138" s="63"/>
    </row>
    <row r="139" spans="1:35" x14ac:dyDescent="0.25">
      <c r="A139" s="21" t="s">
        <v>392</v>
      </c>
      <c r="B139" s="16" t="s">
        <v>7</v>
      </c>
      <c r="C139" s="7" t="s">
        <v>21</v>
      </c>
      <c r="D139" s="561" t="s">
        <v>370</v>
      </c>
      <c r="E139" s="63" t="s">
        <v>122</v>
      </c>
      <c r="F139" s="622"/>
      <c r="G139" s="63"/>
      <c r="H139" s="64"/>
      <c r="I139" s="65"/>
      <c r="J139" s="84">
        <f>Database[[#This Row],[RATE , M3/D]]*(1-I139/100)</f>
        <v>0</v>
      </c>
      <c r="K139" s="624"/>
      <c r="L139" s="629"/>
      <c r="M139" s="626">
        <f>Database[[#This Row],[ACT , M3/D2]]*(1-L139/100)</f>
        <v>0</v>
      </c>
      <c r="N139" s="627"/>
      <c r="O139" s="66"/>
      <c r="P139" s="66"/>
      <c r="Q139" s="66"/>
      <c r="R139" s="66"/>
      <c r="S139" s="67"/>
      <c r="T139" s="67"/>
      <c r="U139" s="68"/>
      <c r="V139" s="69"/>
      <c r="W139" s="67"/>
      <c r="X139" s="63"/>
      <c r="Y139" s="63"/>
      <c r="Z139" s="628"/>
      <c r="AA139" s="63"/>
      <c r="AB139" s="89"/>
      <c r="AC139" s="70"/>
      <c r="AD139" s="90"/>
      <c r="AE139" s="72"/>
      <c r="AF139" s="73"/>
      <c r="AG139" s="72"/>
      <c r="AH139" s="68" t="str">
        <f>VLOOKUP(E139,' Data Lists'!$Z$3:$AA$31,2,)</f>
        <v>IN SERVICE</v>
      </c>
      <c r="AI139" s="63"/>
    </row>
    <row r="140" spans="1:35" x14ac:dyDescent="0.25">
      <c r="A140" s="21" t="s">
        <v>393</v>
      </c>
      <c r="B140" s="16" t="s">
        <v>7</v>
      </c>
      <c r="C140" s="7" t="s">
        <v>21</v>
      </c>
      <c r="D140" s="561" t="s">
        <v>370</v>
      </c>
      <c r="E140" s="63" t="s">
        <v>116</v>
      </c>
      <c r="F140" s="622"/>
      <c r="G140" s="63"/>
      <c r="H140" s="64">
        <v>120</v>
      </c>
      <c r="I140" s="65">
        <v>58</v>
      </c>
      <c r="J140" s="84">
        <f>Database[[#This Row],[RATE , M3/D]]*(1-I140/100)</f>
        <v>50.400000000000006</v>
      </c>
      <c r="K140" s="624">
        <v>110</v>
      </c>
      <c r="L140" s="629">
        <v>49.9</v>
      </c>
      <c r="M140" s="626">
        <f>Database[[#This Row],[ACT , M3/D2]]*(1-L140/100)</f>
        <v>55.11</v>
      </c>
      <c r="N140" s="627"/>
      <c r="O140" s="66"/>
      <c r="P140" s="66"/>
      <c r="Q140" s="66"/>
      <c r="R140" s="66"/>
      <c r="S140" s="67"/>
      <c r="T140" s="67"/>
      <c r="U140" s="68"/>
      <c r="V140" s="69"/>
      <c r="W140" s="67"/>
      <c r="X140" s="63"/>
      <c r="Y140" s="63"/>
      <c r="Z140" s="628"/>
      <c r="AA140" s="63"/>
      <c r="AB140" s="89"/>
      <c r="AC140" s="70"/>
      <c r="AD140" s="90"/>
      <c r="AE140" s="72"/>
      <c r="AF140" s="73"/>
      <c r="AG140" s="72"/>
      <c r="AH140" s="68" t="str">
        <f>VLOOKUP(E140,' Data Lists'!$Z$3:$AA$31,2,)</f>
        <v>IN SERVICE</v>
      </c>
      <c r="AI140" s="63"/>
    </row>
    <row r="141" spans="1:35" x14ac:dyDescent="0.25">
      <c r="A141" s="21" t="s">
        <v>394</v>
      </c>
      <c r="B141" s="16" t="s">
        <v>7</v>
      </c>
      <c r="C141" s="7" t="s">
        <v>21</v>
      </c>
      <c r="D141" s="561" t="s">
        <v>370</v>
      </c>
      <c r="E141" s="63" t="s">
        <v>113</v>
      </c>
      <c r="F141" s="622" t="s">
        <v>175</v>
      </c>
      <c r="G141" s="63"/>
      <c r="H141" s="64">
        <v>250</v>
      </c>
      <c r="I141" s="65">
        <v>0.4</v>
      </c>
      <c r="J141" s="84">
        <f>Database[[#This Row],[RATE , M3/D]]*(1-I141/100)</f>
        <v>249</v>
      </c>
      <c r="K141" s="624">
        <v>260</v>
      </c>
      <c r="L141" s="629">
        <v>0.4</v>
      </c>
      <c r="M141" s="626">
        <f>Database[[#This Row],[ACT , M3/D2]]*(1-L141/100)</f>
        <v>258.95999999999998</v>
      </c>
      <c r="N141" s="627"/>
      <c r="O141" s="66"/>
      <c r="P141" s="66"/>
      <c r="Q141" s="66"/>
      <c r="R141" s="66"/>
      <c r="S141" s="67"/>
      <c r="T141" s="67"/>
      <c r="U141" s="68"/>
      <c r="V141" s="69"/>
      <c r="W141" s="67"/>
      <c r="X141" s="63"/>
      <c r="Y141" s="63"/>
      <c r="Z141" s="628"/>
      <c r="AA141" s="63"/>
      <c r="AB141" s="89"/>
      <c r="AC141" s="70"/>
      <c r="AD141" s="90"/>
      <c r="AE141" s="72"/>
      <c r="AF141" s="73"/>
      <c r="AG141" s="72"/>
      <c r="AH141" s="68" t="str">
        <f>VLOOKUP(E141,' Data Lists'!$Z$3:$AA$31,2,)</f>
        <v>IN SERVICE</v>
      </c>
      <c r="AI141" s="63"/>
    </row>
    <row r="142" spans="1:35" x14ac:dyDescent="0.25">
      <c r="A142" s="6" t="s">
        <v>261</v>
      </c>
      <c r="B142" s="16" t="s">
        <v>4</v>
      </c>
      <c r="C142" s="7" t="s">
        <v>21</v>
      </c>
      <c r="D142" s="561" t="s">
        <v>370</v>
      </c>
      <c r="E142" s="63" t="s">
        <v>117</v>
      </c>
      <c r="F142" s="9" t="str">
        <f>VLOOKUP(E142,' Data Lists'!$T$3:$U$31,2,)</f>
        <v>D10</v>
      </c>
      <c r="G142" s="244" t="s">
        <v>96</v>
      </c>
      <c r="H142" s="240"/>
      <c r="I142" s="44"/>
      <c r="J142" s="82">
        <f>Database[[#This Row],[RATE , M3/D]]*(1-I142/100)</f>
        <v>0</v>
      </c>
      <c r="K142" s="76">
        <v>0</v>
      </c>
      <c r="L142" s="77">
        <v>27</v>
      </c>
      <c r="M142" s="87">
        <f>Database[[#This Row],[ACT , M3/D2]]*(1-L142/100)</f>
        <v>0</v>
      </c>
      <c r="N142" s="53"/>
      <c r="O142" s="54">
        <v>0</v>
      </c>
      <c r="P142" s="54">
        <v>400</v>
      </c>
      <c r="Q142" s="54">
        <v>18</v>
      </c>
      <c r="R142" s="54"/>
      <c r="S142" s="55">
        <v>92</v>
      </c>
      <c r="T142" s="55">
        <v>23.5</v>
      </c>
      <c r="U142" s="11" t="s">
        <v>284</v>
      </c>
      <c r="V142" s="55">
        <v>214</v>
      </c>
      <c r="W142" s="67"/>
      <c r="X142" s="63"/>
      <c r="Y142" s="63"/>
      <c r="Z142" s="406">
        <v>44028</v>
      </c>
      <c r="AA142" s="63"/>
      <c r="AB142" s="89" t="s">
        <v>179</v>
      </c>
      <c r="AC142" s="111"/>
      <c r="AD142" s="90"/>
      <c r="AE142" s="72"/>
      <c r="AF142" s="95"/>
      <c r="AG142" s="72"/>
      <c r="AH142" s="72" t="str">
        <f>VLOOKUP(E142,' Data Lists'!$Z$3:$AA$31,2,)</f>
        <v>IN SERVICE</v>
      </c>
      <c r="AI142" s="63"/>
    </row>
    <row r="143" spans="1:35" x14ac:dyDescent="0.25">
      <c r="A143" s="6" t="s">
        <v>241</v>
      </c>
      <c r="B143" s="16" t="s">
        <v>4</v>
      </c>
      <c r="C143" s="7" t="s">
        <v>21</v>
      </c>
      <c r="D143" s="561" t="s">
        <v>370</v>
      </c>
      <c r="E143" s="7" t="s">
        <v>117</v>
      </c>
      <c r="F143" s="9" t="str">
        <f>VLOOKUP(E143,' Data Lists'!$T$3:$U$31,2,)</f>
        <v>D10</v>
      </c>
      <c r="G143" s="245" t="s">
        <v>96</v>
      </c>
      <c r="H143" s="240"/>
      <c r="I143" s="44"/>
      <c r="J143" s="82">
        <f>Database[[#This Row],[RATE , M3/D]]*(1-I143/100)</f>
        <v>0</v>
      </c>
      <c r="K143" s="76">
        <v>80</v>
      </c>
      <c r="L143" s="77">
        <v>90</v>
      </c>
      <c r="M143" s="87">
        <f>Database[[#This Row],[ACT , M3/D2]]*(1-L143/100)</f>
        <v>7.9999999999999982</v>
      </c>
      <c r="N143" s="53"/>
      <c r="O143" s="54"/>
      <c r="P143" s="54"/>
      <c r="Q143" s="54">
        <v>33</v>
      </c>
      <c r="R143" s="54"/>
      <c r="S143" s="55">
        <v>83</v>
      </c>
      <c r="T143" s="55">
        <v>30.5</v>
      </c>
      <c r="U143" s="11" t="s">
        <v>161</v>
      </c>
      <c r="V143" s="55">
        <v>682</v>
      </c>
      <c r="W143" s="67"/>
      <c r="X143" s="63"/>
      <c r="Y143" s="63"/>
      <c r="Z143" s="406">
        <v>43742</v>
      </c>
      <c r="AA143" s="63"/>
      <c r="AB143" s="89" t="s">
        <v>178</v>
      </c>
      <c r="AC143" s="111"/>
      <c r="AD143" s="90"/>
      <c r="AE143" s="72"/>
      <c r="AF143" s="95"/>
      <c r="AG143" s="72"/>
      <c r="AH143" s="72" t="str">
        <f>VLOOKUP(E143,' Data Lists'!$Z$3:$AA$31,2,)</f>
        <v>IN SERVICE</v>
      </c>
      <c r="AI143" s="63"/>
    </row>
    <row r="144" spans="1:35" x14ac:dyDescent="0.25">
      <c r="A144" s="6" t="s">
        <v>242</v>
      </c>
      <c r="B144" s="16" t="s">
        <v>7</v>
      </c>
      <c r="C144" s="7" t="s">
        <v>21</v>
      </c>
      <c r="D144" s="561" t="s">
        <v>370</v>
      </c>
      <c r="E144" s="63" t="s">
        <v>116</v>
      </c>
      <c r="F144" s="9" t="str">
        <f>VLOOKUP(E144,' Data Lists'!$T$3:$U$31,2,)</f>
        <v>PP2</v>
      </c>
      <c r="G144" s="244" t="s">
        <v>176</v>
      </c>
      <c r="H144" s="240">
        <v>90</v>
      </c>
      <c r="I144" s="44">
        <v>50</v>
      </c>
      <c r="J144" s="82">
        <f>Database[[#This Row],[RATE , M3/D]]*(1-I144/100)</f>
        <v>45</v>
      </c>
      <c r="K144" s="76">
        <v>90</v>
      </c>
      <c r="L144" s="77">
        <v>46.6</v>
      </c>
      <c r="M144" s="87">
        <f>Database[[#This Row],[ACT , M3/D2]]*(1-L144/100)</f>
        <v>48.06</v>
      </c>
      <c r="N144" s="53">
        <v>206</v>
      </c>
      <c r="O144" s="54">
        <v>0.68</v>
      </c>
      <c r="P144" s="54">
        <v>400</v>
      </c>
      <c r="Q144" s="54">
        <v>34</v>
      </c>
      <c r="R144" s="54"/>
      <c r="S144" s="55">
        <v>125</v>
      </c>
      <c r="T144" s="55">
        <v>40</v>
      </c>
      <c r="U144" s="11" t="s">
        <v>148</v>
      </c>
      <c r="V144" s="55">
        <v>205</v>
      </c>
      <c r="W144" s="67"/>
      <c r="X144" s="63"/>
      <c r="Y144" s="63"/>
      <c r="Z144" s="406">
        <v>43060</v>
      </c>
      <c r="AA144" s="63"/>
      <c r="AB144" s="89" t="s">
        <v>179</v>
      </c>
      <c r="AC144" s="111"/>
      <c r="AD144" s="90" t="s">
        <v>163</v>
      </c>
      <c r="AE144" s="72"/>
      <c r="AF144" s="95"/>
      <c r="AG144" s="72"/>
      <c r="AH144" s="72" t="str">
        <f>VLOOKUP(E144,' Data Lists'!$Z$3:$AA$31,2,)</f>
        <v>IN SERVICE</v>
      </c>
      <c r="AI144" s="63"/>
    </row>
    <row r="145" spans="1:35" x14ac:dyDescent="0.25">
      <c r="A145" s="6" t="s">
        <v>243</v>
      </c>
      <c r="B145" s="16" t="s">
        <v>7</v>
      </c>
      <c r="C145" s="7" t="s">
        <v>22</v>
      </c>
      <c r="D145" s="561" t="s">
        <v>370</v>
      </c>
      <c r="E145" s="63" t="s">
        <v>116</v>
      </c>
      <c r="F145" s="9" t="str">
        <f>VLOOKUP(E145,' Data Lists'!$T$3:$U$31,2,)</f>
        <v>PP2</v>
      </c>
      <c r="G145" s="244" t="s">
        <v>177</v>
      </c>
      <c r="H145" s="240"/>
      <c r="I145" s="44"/>
      <c r="J145" s="82">
        <f>Database[[#This Row],[RATE , M3/D]]*(1-I145/100)</f>
        <v>0</v>
      </c>
      <c r="K145" s="76">
        <v>40</v>
      </c>
      <c r="L145" s="77">
        <v>1.2</v>
      </c>
      <c r="M145" s="87">
        <f>Database[[#This Row],[ACT , M3/D2]]*(1-L145/100)</f>
        <v>39.519999999999996</v>
      </c>
      <c r="N145" s="53"/>
      <c r="O145" s="54"/>
      <c r="P145" s="54"/>
      <c r="Q145" s="54">
        <v>18</v>
      </c>
      <c r="R145" s="54"/>
      <c r="S145" s="55">
        <v>63</v>
      </c>
      <c r="T145" s="55">
        <v>29</v>
      </c>
      <c r="U145" s="11" t="s">
        <v>183</v>
      </c>
      <c r="V145" s="55">
        <v>333</v>
      </c>
      <c r="W145" s="67"/>
      <c r="X145" s="63"/>
      <c r="Y145" s="63"/>
      <c r="Z145" s="406">
        <v>43781</v>
      </c>
      <c r="AA145" s="63"/>
      <c r="AB145" s="89" t="s">
        <v>179</v>
      </c>
      <c r="AC145" s="111"/>
      <c r="AD145" s="90" t="s">
        <v>163</v>
      </c>
      <c r="AE145" s="72"/>
      <c r="AF145" s="95"/>
      <c r="AG145" s="72"/>
      <c r="AH145" s="72" t="str">
        <f>VLOOKUP(E145,' Data Lists'!$Z$3:$AA$31,2,)</f>
        <v>IN SERVICE</v>
      </c>
      <c r="AI145" s="63"/>
    </row>
    <row r="146" spans="1:35" x14ac:dyDescent="0.25">
      <c r="A146" s="21" t="s">
        <v>119</v>
      </c>
      <c r="B146" s="644" t="s">
        <v>4</v>
      </c>
      <c r="C146" s="13" t="s">
        <v>22</v>
      </c>
      <c r="D146" s="561" t="s">
        <v>370</v>
      </c>
      <c r="E146" s="7"/>
      <c r="F146" s="9"/>
      <c r="G146" s="7"/>
      <c r="H146" s="647"/>
      <c r="I146" s="645"/>
      <c r="J146" s="648">
        <f>Database[[#This Row],[RATE , M3/D]]*(1-I146/100)</f>
        <v>0</v>
      </c>
      <c r="K146" s="80"/>
      <c r="L146" s="646"/>
      <c r="M146" s="649">
        <f>Database[[#This Row],[ACT , M3/D2]]*(1-L146/100)</f>
        <v>0</v>
      </c>
      <c r="N146" s="650"/>
      <c r="O146" s="54"/>
      <c r="P146" s="54"/>
      <c r="Q146" s="54"/>
      <c r="R146" s="54"/>
      <c r="S146" s="55"/>
      <c r="T146" s="55"/>
      <c r="U146" s="631"/>
      <c r="V146" s="88"/>
      <c r="W146" s="55"/>
      <c r="X146" s="7"/>
      <c r="Y146" s="7"/>
      <c r="Z146" s="651"/>
      <c r="AA146" s="7"/>
      <c r="AB146" s="89"/>
      <c r="AC146" s="652"/>
      <c r="AD146" s="238"/>
      <c r="AE146" s="11"/>
      <c r="AF146" s="29"/>
      <c r="AG146" s="11"/>
      <c r="AH146" s="631" t="e">
        <f>VLOOKUP(E146,' Data Lists'!$Z$3:$AA$31,2,)</f>
        <v>#N/A</v>
      </c>
      <c r="AI146" s="7"/>
    </row>
    <row r="147" spans="1:35" ht="19.5" thickBot="1" x14ac:dyDescent="0.3">
      <c r="A147" s="223" t="s">
        <v>244</v>
      </c>
      <c r="B147" s="224" t="s">
        <v>4</v>
      </c>
      <c r="C147" s="13" t="s">
        <v>22</v>
      </c>
      <c r="D147" s="561" t="s">
        <v>370</v>
      </c>
      <c r="E147" s="225" t="s">
        <v>119</v>
      </c>
      <c r="F147" s="9" t="str">
        <f>VLOOKUP(E147,' Data Lists'!$T$3:$U$31,2,)</f>
        <v>PP2</v>
      </c>
      <c r="G147" s="401" t="s">
        <v>176</v>
      </c>
      <c r="H147" s="242"/>
      <c r="I147" s="101"/>
      <c r="J147" s="102">
        <f>Database[[#This Row],[RATE , M3/D]]*(1-I147/100)</f>
        <v>0</v>
      </c>
      <c r="K147" s="226">
        <v>80</v>
      </c>
      <c r="L147" s="227">
        <v>82.1</v>
      </c>
      <c r="M147" s="105">
        <f>Database[[#This Row],[ACT , M3/D2]]*(1-L147/100)</f>
        <v>14.320000000000004</v>
      </c>
      <c r="N147" s="228">
        <v>0</v>
      </c>
      <c r="O147" s="229">
        <v>0</v>
      </c>
      <c r="P147" s="229">
        <v>400</v>
      </c>
      <c r="Q147" s="229">
        <v>16</v>
      </c>
      <c r="R147" s="229"/>
      <c r="S147" s="230">
        <v>60</v>
      </c>
      <c r="T147" s="230">
        <v>20</v>
      </c>
      <c r="U147" s="109" t="s">
        <v>300</v>
      </c>
      <c r="V147" s="230">
        <v>301</v>
      </c>
      <c r="W147" s="265"/>
      <c r="X147" s="225"/>
      <c r="Y147" s="225"/>
      <c r="Z147" s="402" t="s">
        <v>339</v>
      </c>
      <c r="AA147" s="225"/>
      <c r="AB147" s="232" t="s">
        <v>178</v>
      </c>
      <c r="AC147" s="233"/>
      <c r="AD147" s="234" t="s">
        <v>16</v>
      </c>
      <c r="AE147" s="235"/>
      <c r="AF147" s="236"/>
      <c r="AG147" s="235"/>
      <c r="AH147" s="235" t="str">
        <f>VLOOKUP(E147,' Data Lists'!$Z$3:$AA$31,2,)</f>
        <v>IN SERVICE</v>
      </c>
      <c r="AI147" s="225"/>
    </row>
    <row r="148" spans="1:35" x14ac:dyDescent="0.25">
      <c r="A148" s="6" t="s">
        <v>304</v>
      </c>
      <c r="B148" s="12" t="s">
        <v>4</v>
      </c>
      <c r="C148" s="253" t="s">
        <v>21</v>
      </c>
      <c r="D148" s="561" t="s">
        <v>370</v>
      </c>
      <c r="E148" s="252" t="s">
        <v>125</v>
      </c>
      <c r="F148" s="9" t="str">
        <f>VLOOKUP(E148,' Data Lists'!$T$3:$U$31,2,)</f>
        <v>R/G</v>
      </c>
      <c r="G148" s="7" t="s">
        <v>125</v>
      </c>
      <c r="H148" s="254">
        <v>600</v>
      </c>
      <c r="I148" s="255">
        <v>94</v>
      </c>
      <c r="J148" s="256">
        <f>Database[[#This Row],[RATE , M3/D]]*(1-I148/100)</f>
        <v>36.000000000000028</v>
      </c>
      <c r="K148" s="257">
        <v>600</v>
      </c>
      <c r="L148" s="258">
        <v>94</v>
      </c>
      <c r="M148" s="259">
        <f>Database[[#This Row],[ACT , M3/D2]]*(1-L148/100)</f>
        <v>36.000000000000028</v>
      </c>
      <c r="N148" s="272">
        <v>289.51323618975687</v>
      </c>
      <c r="O148" s="262">
        <v>0.35</v>
      </c>
      <c r="P148" s="262">
        <v>500</v>
      </c>
      <c r="Q148" s="262">
        <v>52</v>
      </c>
      <c r="R148" s="262"/>
      <c r="S148" s="263">
        <v>125</v>
      </c>
      <c r="T148" s="263">
        <v>64</v>
      </c>
      <c r="U148" s="10" t="s">
        <v>194</v>
      </c>
      <c r="V148" s="88">
        <v>181</v>
      </c>
      <c r="W148" s="67"/>
      <c r="X148" s="7"/>
      <c r="Y148" s="7"/>
      <c r="Z148" s="406">
        <v>44097</v>
      </c>
      <c r="AA148" s="7"/>
      <c r="AB148" s="89"/>
      <c r="AC148" s="237"/>
      <c r="AD148" s="238"/>
      <c r="AE148" s="11"/>
      <c r="AF148" s="29"/>
      <c r="AG148" s="11"/>
      <c r="AH148" s="11" t="str">
        <f>VLOOKUP(E148,' Data Lists'!$Z$3:$AA$31,2,)</f>
        <v>IN SERVICE</v>
      </c>
      <c r="AI148" s="7"/>
    </row>
    <row r="149" spans="1:35" x14ac:dyDescent="0.25">
      <c r="A149" s="6" t="s">
        <v>313</v>
      </c>
      <c r="B149" s="12" t="s">
        <v>7</v>
      </c>
      <c r="C149" s="253" t="s">
        <v>21</v>
      </c>
      <c r="D149" s="561" t="s">
        <v>370</v>
      </c>
      <c r="E149" s="252" t="s">
        <v>125</v>
      </c>
      <c r="F149" s="9" t="str">
        <f>VLOOKUP(E149,' Data Lists'!$T$3:$U$31,2,)</f>
        <v>R/G</v>
      </c>
      <c r="G149" s="7" t="s">
        <v>125</v>
      </c>
      <c r="H149" s="51">
        <v>500</v>
      </c>
      <c r="I149" s="44">
        <v>93</v>
      </c>
      <c r="J149" s="82">
        <f>Database[[#This Row],[RATE , M3/D]]*(1-I149/100)</f>
        <v>34.999999999999979</v>
      </c>
      <c r="K149" s="260">
        <v>520</v>
      </c>
      <c r="L149" s="261">
        <v>95</v>
      </c>
      <c r="M149" s="87">
        <f>Database[[#This Row],[ACT , M3/D2]]*(1-L149/100)</f>
        <v>26.000000000000021</v>
      </c>
      <c r="N149" s="273">
        <v>210.26223678020716</v>
      </c>
      <c r="O149" s="264">
        <v>0.18</v>
      </c>
      <c r="P149" s="264">
        <v>500</v>
      </c>
      <c r="Q149" s="264">
        <v>31</v>
      </c>
      <c r="R149" s="264"/>
      <c r="S149" s="88">
        <v>267</v>
      </c>
      <c r="T149" s="88">
        <v>60</v>
      </c>
      <c r="U149" s="11" t="s">
        <v>309</v>
      </c>
      <c r="V149" s="88">
        <v>218</v>
      </c>
      <c r="W149" s="67"/>
      <c r="X149" s="7"/>
      <c r="Y149" s="7"/>
      <c r="Z149" s="406">
        <v>42820</v>
      </c>
      <c r="AA149" s="7"/>
      <c r="AB149" s="89"/>
      <c r="AC149" s="237"/>
      <c r="AD149" s="238"/>
      <c r="AE149" s="11"/>
      <c r="AF149" s="239"/>
      <c r="AG149" s="11"/>
      <c r="AH149" s="11" t="str">
        <f>VLOOKUP(E149,' Data Lists'!$Z$3:$AA$31,2,)</f>
        <v>IN SERVICE</v>
      </c>
      <c r="AI149" s="7"/>
    </row>
    <row r="150" spans="1:35" x14ac:dyDescent="0.25">
      <c r="A150" s="6" t="s">
        <v>305</v>
      </c>
      <c r="B150" s="12" t="s">
        <v>7</v>
      </c>
      <c r="C150" s="253" t="s">
        <v>21</v>
      </c>
      <c r="D150" s="561" t="s">
        <v>370</v>
      </c>
      <c r="E150" s="252" t="s">
        <v>125</v>
      </c>
      <c r="F150" s="9" t="str">
        <f>VLOOKUP(E150,' Data Lists'!$T$3:$U$31,2,)</f>
        <v>R/G</v>
      </c>
      <c r="G150" s="7" t="s">
        <v>125</v>
      </c>
      <c r="H150" s="51">
        <v>100</v>
      </c>
      <c r="I150" s="44">
        <v>90</v>
      </c>
      <c r="J150" s="82">
        <f>Database[[#This Row],[RATE , M3/D]]*(1-I150/100)</f>
        <v>9.9999999999999982</v>
      </c>
      <c r="K150" s="260">
        <v>130</v>
      </c>
      <c r="L150" s="261">
        <v>72.3</v>
      </c>
      <c r="M150" s="87">
        <f>Database[[#This Row],[ACT , M3/D2]]*(1-L150/100)</f>
        <v>36.010000000000005</v>
      </c>
      <c r="N150" s="273">
        <v>305.16163398426824</v>
      </c>
      <c r="O150" s="264">
        <v>0.37</v>
      </c>
      <c r="P150" s="264">
        <v>400</v>
      </c>
      <c r="Q150" s="264">
        <v>22</v>
      </c>
      <c r="R150" s="264"/>
      <c r="S150" s="88">
        <v>83</v>
      </c>
      <c r="T150" s="88">
        <v>28</v>
      </c>
      <c r="U150" s="11" t="s">
        <v>312</v>
      </c>
      <c r="V150" s="88">
        <v>193</v>
      </c>
      <c r="W150" s="67"/>
      <c r="X150" s="7"/>
      <c r="Y150" s="7"/>
      <c r="Z150" s="406">
        <v>43174</v>
      </c>
      <c r="AA150" s="7"/>
      <c r="AB150" s="89"/>
      <c r="AC150" s="237"/>
      <c r="AD150" s="238"/>
      <c r="AE150" s="11"/>
      <c r="AF150" s="239"/>
      <c r="AG150" s="11"/>
      <c r="AH150" s="11" t="str">
        <f>VLOOKUP(E150,' Data Lists'!$Z$3:$AA$31,2,)</f>
        <v>IN SERVICE</v>
      </c>
      <c r="AI150" s="7"/>
    </row>
    <row r="151" spans="1:35" x14ac:dyDescent="0.25">
      <c r="A151" s="6" t="s">
        <v>306</v>
      </c>
      <c r="B151" s="12" t="s">
        <v>7</v>
      </c>
      <c r="C151" s="253" t="s">
        <v>21</v>
      </c>
      <c r="D151" s="561" t="s">
        <v>370</v>
      </c>
      <c r="E151" s="252" t="s">
        <v>125</v>
      </c>
      <c r="F151" s="9" t="str">
        <f>VLOOKUP(E151,' Data Lists'!$T$3:$U$31,2,)</f>
        <v>R/G</v>
      </c>
      <c r="G151" s="7" t="s">
        <v>125</v>
      </c>
      <c r="H151" s="51">
        <v>300</v>
      </c>
      <c r="I151" s="44">
        <v>92.7</v>
      </c>
      <c r="J151" s="82">
        <f>Database[[#This Row],[RATE , M3/D]]*(1-I151/100)</f>
        <v>21.899999999999984</v>
      </c>
      <c r="K151" s="260">
        <v>350</v>
      </c>
      <c r="L151" s="261">
        <v>89.5</v>
      </c>
      <c r="M151" s="87">
        <f>Database[[#This Row],[ACT , M3/D2]]*(1-L151/100)</f>
        <v>36.749999999999993</v>
      </c>
      <c r="N151" s="273">
        <v>283.89566262201373</v>
      </c>
      <c r="O151" s="264">
        <v>0.35</v>
      </c>
      <c r="P151" s="264">
        <v>400</v>
      </c>
      <c r="Q151" s="264">
        <v>47</v>
      </c>
      <c r="R151" s="264"/>
      <c r="S151" s="88">
        <v>167</v>
      </c>
      <c r="T151" s="88">
        <v>54</v>
      </c>
      <c r="U151" s="11" t="s">
        <v>311</v>
      </c>
      <c r="V151" s="88">
        <v>322</v>
      </c>
      <c r="W151" s="67"/>
      <c r="X151" s="7"/>
      <c r="Y151" s="7"/>
      <c r="Z151" s="406">
        <v>43851</v>
      </c>
      <c r="AA151" s="7"/>
      <c r="AB151" s="89"/>
      <c r="AC151" s="237"/>
      <c r="AD151" s="238"/>
      <c r="AE151" s="11"/>
      <c r="AF151" s="239"/>
      <c r="AG151" s="11"/>
      <c r="AH151" s="11" t="str">
        <f>VLOOKUP(E151,' Data Lists'!$Z$3:$AA$31,2,)</f>
        <v>IN SERVICE</v>
      </c>
      <c r="AI151" s="7"/>
    </row>
    <row r="152" spans="1:35" x14ac:dyDescent="0.25">
      <c r="A152" s="6" t="s">
        <v>308</v>
      </c>
      <c r="B152" s="246" t="s">
        <v>4</v>
      </c>
      <c r="C152" s="253" t="s">
        <v>21</v>
      </c>
      <c r="D152" s="561" t="s">
        <v>370</v>
      </c>
      <c r="E152" s="252" t="s">
        <v>125</v>
      </c>
      <c r="F152" s="9" t="str">
        <f>VLOOKUP(E152,' Data Lists'!$T$3:$U$31,2,)</f>
        <v>R/G</v>
      </c>
      <c r="G152" s="7" t="s">
        <v>125</v>
      </c>
      <c r="H152" s="51">
        <v>0</v>
      </c>
      <c r="I152" s="44">
        <v>88</v>
      </c>
      <c r="J152" s="82">
        <f>Database[[#This Row],[RATE , M3/D]]*(1-I152/100)</f>
        <v>0</v>
      </c>
      <c r="K152" s="260">
        <v>0</v>
      </c>
      <c r="L152" s="261">
        <v>98</v>
      </c>
      <c r="M152" s="87">
        <f>Database[[#This Row],[ACT , M3/D2]]*(1-L152/100)</f>
        <v>0</v>
      </c>
      <c r="N152" s="273"/>
      <c r="O152" s="264"/>
      <c r="P152" s="264"/>
      <c r="Q152" s="264">
        <v>21</v>
      </c>
      <c r="R152" s="264"/>
      <c r="S152" s="88">
        <v>83</v>
      </c>
      <c r="T152" s="88">
        <v>31</v>
      </c>
      <c r="U152" s="11" t="s">
        <v>310</v>
      </c>
      <c r="V152" s="88">
        <v>251</v>
      </c>
      <c r="W152" s="67"/>
      <c r="X152" s="7"/>
      <c r="Y152" s="7"/>
      <c r="Z152" s="406">
        <v>42827</v>
      </c>
      <c r="AA152" s="7"/>
      <c r="AB152" s="89"/>
      <c r="AC152" s="237"/>
      <c r="AD152" s="238"/>
      <c r="AE152" s="11"/>
      <c r="AF152" s="239"/>
      <c r="AG152" s="11"/>
      <c r="AH152" s="11" t="str">
        <f>VLOOKUP(E152,' Data Lists'!$Z$3:$AA$31,2,)</f>
        <v>IN SERVICE</v>
      </c>
      <c r="AI152" s="7"/>
    </row>
    <row r="153" spans="1:35" ht="19.5" thickBot="1" x14ac:dyDescent="0.3">
      <c r="A153" s="223" t="s">
        <v>307</v>
      </c>
      <c r="B153" s="266" t="s">
        <v>7</v>
      </c>
      <c r="C153" s="267" t="s">
        <v>21</v>
      </c>
      <c r="D153" s="561" t="s">
        <v>370</v>
      </c>
      <c r="E153" s="97" t="s">
        <v>125</v>
      </c>
      <c r="F153" s="98" t="str">
        <f>VLOOKUP(E153,' Data Lists'!$T$3:$U$31,2,)</f>
        <v>R/G</v>
      </c>
      <c r="G153" s="97" t="s">
        <v>125</v>
      </c>
      <c r="H153" s="268">
        <v>100</v>
      </c>
      <c r="I153" s="101">
        <v>12</v>
      </c>
      <c r="J153" s="102">
        <f>Database[[#This Row],[RATE , M3/D]]*(1-I153/100)</f>
        <v>88</v>
      </c>
      <c r="K153" s="103">
        <v>100</v>
      </c>
      <c r="L153" s="104">
        <v>33.6</v>
      </c>
      <c r="M153" s="105">
        <f>Database[[#This Row],[ACT , M3/D2]]*(1-L153/100)</f>
        <v>66.399999999999991</v>
      </c>
      <c r="N153" s="274">
        <v>22.780014135818472</v>
      </c>
      <c r="O153" s="107">
        <v>0.02</v>
      </c>
      <c r="P153" s="107">
        <v>500</v>
      </c>
      <c r="Q153" s="107">
        <v>21</v>
      </c>
      <c r="R153" s="107"/>
      <c r="S153" s="108">
        <v>73</v>
      </c>
      <c r="T153" s="108">
        <v>27</v>
      </c>
      <c r="U153" s="109" t="s">
        <v>148</v>
      </c>
      <c r="V153" s="108">
        <v>158</v>
      </c>
      <c r="W153" s="231"/>
      <c r="X153" s="97"/>
      <c r="Y153" s="97"/>
      <c r="Z153" s="406">
        <v>43679</v>
      </c>
      <c r="AA153" s="97"/>
      <c r="AB153" s="232"/>
      <c r="AC153" s="269"/>
      <c r="AD153" s="270"/>
      <c r="AE153" s="109"/>
      <c r="AF153" s="271"/>
      <c r="AG153" s="109"/>
      <c r="AH153" s="109" t="str">
        <f>VLOOKUP(E153,' Data Lists'!$Z$3:$AA$31,2,)</f>
        <v>IN SERVICE</v>
      </c>
      <c r="AI153" s="97"/>
    </row>
    <row r="154" spans="1:35" x14ac:dyDescent="0.3">
      <c r="G154" s="62"/>
      <c r="H154" s="62"/>
      <c r="I154" s="62"/>
      <c r="J154" s="62"/>
      <c r="K154" s="62"/>
      <c r="L154"/>
      <c r="M154" s="62"/>
      <c r="N154" s="62"/>
    </row>
    <row r="155" spans="1:35" ht="19.5" thickBot="1" x14ac:dyDescent="0.35">
      <c r="G155" s="62"/>
      <c r="H155" s="62"/>
      <c r="I155" s="62"/>
      <c r="J155" s="62"/>
      <c r="K155" s="62"/>
      <c r="L155"/>
      <c r="M155" s="62"/>
      <c r="N155" s="62"/>
    </row>
    <row r="156" spans="1:35" ht="29.25" customHeight="1" thickTop="1" thickBot="1" x14ac:dyDescent="0.35">
      <c r="B156" s="682" t="s">
        <v>355</v>
      </c>
      <c r="C156" s="683"/>
      <c r="D156" s="683"/>
      <c r="E156" s="683"/>
      <c r="F156" s="683"/>
      <c r="G156" s="684"/>
      <c r="H156" s="685" t="s">
        <v>356</v>
      </c>
      <c r="I156" s="686"/>
      <c r="J156" s="686"/>
      <c r="K156" s="686"/>
      <c r="L156" s="686"/>
      <c r="M156" s="687"/>
      <c r="N156" s="62"/>
    </row>
    <row r="157" spans="1:35" ht="28.5" customHeight="1" thickTop="1" x14ac:dyDescent="0.3">
      <c r="B157" s="692" t="s">
        <v>357</v>
      </c>
      <c r="C157" s="693"/>
      <c r="D157" s="693"/>
      <c r="E157" s="694"/>
      <c r="F157" s="695">
        <f>COUNTIF(Database[Reporting Status],' Data Lists'!Q3)</f>
        <v>128</v>
      </c>
      <c r="G157" s="696">
        <f>COUNTIF(Database[Reporting Status],' Data Lists'!J15)</f>
        <v>0</v>
      </c>
      <c r="H157" s="697" t="s">
        <v>357</v>
      </c>
      <c r="I157" s="698"/>
      <c r="J157" s="698"/>
      <c r="K157" s="699"/>
      <c r="L157" s="700">
        <f>COUNTIF(Database[Reporting Status],' Data Lists'!Q4)</f>
        <v>18</v>
      </c>
      <c r="M157" s="701">
        <f>COUNTIF(Database[Reporting Status],' Data Lists'!P15)</f>
        <v>0</v>
      </c>
      <c r="N157" s="62"/>
    </row>
    <row r="158" spans="1:35" ht="27.75" customHeight="1" x14ac:dyDescent="0.3">
      <c r="B158" s="702" t="s">
        <v>358</v>
      </c>
      <c r="C158" s="703"/>
      <c r="D158" s="703"/>
      <c r="E158" s="704"/>
      <c r="F158" s="688">
        <f>COUNTIFS(Database[Reporting Status],' Data Lists'!Q3,Database[Status],' Data Lists'!C3)</f>
        <v>98</v>
      </c>
      <c r="G158" s="689"/>
      <c r="H158" s="705" t="s">
        <v>354</v>
      </c>
      <c r="I158" s="706"/>
      <c r="J158" s="706"/>
      <c r="K158" s="707"/>
      <c r="L158" s="708">
        <f>COUNTIFS(Database[Reporting Status],' Data Lists'!Q4,Database[Status],' Data Lists'!C3)</f>
        <v>12</v>
      </c>
      <c r="M158" s="709"/>
      <c r="N158" s="62"/>
    </row>
    <row r="159" spans="1:35" ht="28.5" customHeight="1" thickBot="1" x14ac:dyDescent="0.35">
      <c r="B159" s="666" t="s">
        <v>359</v>
      </c>
      <c r="C159" s="667"/>
      <c r="D159" s="667"/>
      <c r="E159" s="668"/>
      <c r="F159" s="688">
        <f>COUNTIFS(Database[Reporting Status],' Data Lists'!Q3,Database[Status],' Data Lists'!C4)</f>
        <v>29</v>
      </c>
      <c r="G159" s="689"/>
      <c r="H159" s="671" t="s">
        <v>359</v>
      </c>
      <c r="I159" s="672"/>
      <c r="J159" s="672"/>
      <c r="K159" s="673"/>
      <c r="L159" s="690">
        <f>COUNTIFS(Database[Reporting Status],' Data Lists'!Q4,Database[Status],' Data Lists'!C4)</f>
        <v>6</v>
      </c>
      <c r="M159" s="691"/>
      <c r="N159" s="62"/>
    </row>
    <row r="160" spans="1:35" ht="30" thickTop="1" thickBot="1" x14ac:dyDescent="0.35">
      <c r="B160" s="666" t="s">
        <v>360</v>
      </c>
      <c r="C160" s="667"/>
      <c r="D160" s="667"/>
      <c r="E160" s="668"/>
      <c r="F160" s="669">
        <f>COUNTIFS(Database[Status],' Data Lists'!C6,Database[Reporting Status],' Data Lists'!Q3)</f>
        <v>1</v>
      </c>
      <c r="G160" s="670"/>
      <c r="H160" s="671" t="s">
        <v>361</v>
      </c>
      <c r="I160" s="672"/>
      <c r="J160" s="672"/>
      <c r="K160" s="673"/>
      <c r="L160" s="674">
        <f>COUNTIFS(Database[Status],' Data Lists'!C6,Database[Reporting Status],' Data Lists'!Q4)</f>
        <v>0</v>
      </c>
      <c r="M160" s="675"/>
      <c r="N160" s="62"/>
    </row>
    <row r="161" spans="2:14" ht="30" thickTop="1" thickBot="1" x14ac:dyDescent="0.35">
      <c r="B161" s="666" t="s">
        <v>362</v>
      </c>
      <c r="C161" s="667"/>
      <c r="D161" s="667"/>
      <c r="E161" s="668"/>
      <c r="F161" s="669">
        <f>COUNTIFS(Database[Status],' Data Lists'!C7,Database[Reporting Status],' Data Lists'!Q3)</f>
        <v>0</v>
      </c>
      <c r="G161" s="670"/>
      <c r="H161" s="671" t="s">
        <v>363</v>
      </c>
      <c r="I161" s="672"/>
      <c r="J161" s="672"/>
      <c r="K161" s="673"/>
      <c r="L161" s="674">
        <f>COUNTIFS(Database[Status],' Data Lists'!C7,Database[Reporting Status],' Data Lists'!Q4)</f>
        <v>0</v>
      </c>
      <c r="M161" s="675"/>
      <c r="N161" s="62"/>
    </row>
    <row r="162" spans="2:14" ht="19.5" thickTop="1" x14ac:dyDescent="0.3">
      <c r="G162" s="62"/>
      <c r="H162" s="62"/>
      <c r="I162" s="62"/>
      <c r="J162" s="62"/>
      <c r="K162" s="62"/>
      <c r="L162"/>
      <c r="M162" s="62"/>
      <c r="N162" s="62"/>
    </row>
    <row r="163" spans="2:14" x14ac:dyDescent="0.3">
      <c r="G163" s="62"/>
      <c r="H163" s="62"/>
      <c r="I163" s="62"/>
      <c r="J163" s="62"/>
      <c r="K163" s="62"/>
      <c r="L163"/>
      <c r="M163" s="62"/>
      <c r="N163" s="62"/>
    </row>
    <row r="164" spans="2:14" x14ac:dyDescent="0.3">
      <c r="G164" s="62"/>
      <c r="H164" s="62"/>
      <c r="I164" s="62"/>
      <c r="J164" s="62"/>
      <c r="K164" s="62"/>
      <c r="L164"/>
      <c r="M164" s="62"/>
      <c r="N164" s="62"/>
    </row>
    <row r="165" spans="2:14" x14ac:dyDescent="0.3">
      <c r="G165" s="62"/>
      <c r="H165" s="62"/>
      <c r="I165" s="62"/>
      <c r="J165" s="62"/>
      <c r="K165" s="62"/>
      <c r="L165"/>
      <c r="M165" s="62"/>
      <c r="N165" s="62"/>
    </row>
    <row r="166" spans="2:14" x14ac:dyDescent="0.3">
      <c r="G166" s="62"/>
      <c r="H166" s="62"/>
      <c r="I166" s="62"/>
      <c r="J166" s="62"/>
      <c r="K166" s="62"/>
      <c r="L166"/>
      <c r="M166" s="62"/>
      <c r="N166" s="62"/>
    </row>
    <row r="167" spans="2:14" x14ac:dyDescent="0.3">
      <c r="G167" s="62"/>
      <c r="H167" s="62"/>
      <c r="I167" s="62"/>
      <c r="J167" s="62"/>
      <c r="K167" s="62"/>
      <c r="L167"/>
      <c r="M167" s="62"/>
      <c r="N167" s="62"/>
    </row>
    <row r="168" spans="2:14" x14ac:dyDescent="0.3">
      <c r="G168" s="62"/>
      <c r="H168" s="62"/>
      <c r="I168" s="62"/>
      <c r="J168" s="62"/>
      <c r="K168" s="62"/>
      <c r="L168"/>
      <c r="M168" s="62"/>
      <c r="N168" s="62"/>
    </row>
    <row r="169" spans="2:14" x14ac:dyDescent="0.3">
      <c r="G169" s="62"/>
      <c r="H169" s="62"/>
      <c r="I169" s="62"/>
      <c r="J169" s="62"/>
      <c r="K169" s="62"/>
      <c r="L169"/>
      <c r="M169" s="62"/>
      <c r="N169" s="62"/>
    </row>
    <row r="170" spans="2:14" x14ac:dyDescent="0.3">
      <c r="G170" s="62"/>
      <c r="H170" s="62"/>
      <c r="I170" s="62"/>
      <c r="J170" s="62"/>
      <c r="K170" s="62"/>
      <c r="L170"/>
      <c r="M170" s="62"/>
      <c r="N170" s="62"/>
    </row>
    <row r="171" spans="2:14" x14ac:dyDescent="0.3">
      <c r="G171" s="62"/>
      <c r="H171" s="62"/>
      <c r="I171" s="62"/>
      <c r="J171" s="62"/>
      <c r="K171" s="62"/>
      <c r="L171"/>
      <c r="M171" s="62"/>
      <c r="N171" s="62"/>
    </row>
    <row r="172" spans="2:14" x14ac:dyDescent="0.3">
      <c r="G172" s="62"/>
      <c r="H172" s="62"/>
      <c r="I172" s="62"/>
      <c r="J172" s="62"/>
      <c r="K172" s="62"/>
      <c r="L172"/>
      <c r="M172" s="62"/>
      <c r="N172" s="62"/>
    </row>
    <row r="173" spans="2:14" x14ac:dyDescent="0.3">
      <c r="G173" s="62"/>
      <c r="H173" s="62"/>
      <c r="I173" s="62"/>
      <c r="J173" s="62"/>
      <c r="K173" s="62"/>
      <c r="L173"/>
      <c r="M173" s="62"/>
      <c r="N173" s="62"/>
    </row>
    <row r="174" spans="2:14" x14ac:dyDescent="0.3">
      <c r="G174" s="62"/>
      <c r="H174" s="62"/>
      <c r="I174" s="62"/>
      <c r="J174" s="62"/>
      <c r="K174" s="62"/>
      <c r="L174"/>
      <c r="M174" s="62"/>
      <c r="N174" s="62"/>
    </row>
    <row r="175" spans="2:14" x14ac:dyDescent="0.3">
      <c r="G175" s="62"/>
      <c r="H175" s="62"/>
      <c r="I175" s="62"/>
      <c r="J175" s="62"/>
      <c r="K175" s="62"/>
      <c r="L175"/>
      <c r="M175" s="62"/>
      <c r="N175" s="62"/>
    </row>
    <row r="176" spans="2:14" x14ac:dyDescent="0.3">
      <c r="G176" s="62"/>
      <c r="H176" s="62"/>
      <c r="I176" s="62"/>
      <c r="J176" s="62"/>
      <c r="K176" s="62"/>
      <c r="L176"/>
      <c r="M176" s="62"/>
      <c r="N176" s="62"/>
    </row>
    <row r="177" spans="7:14" x14ac:dyDescent="0.3">
      <c r="G177" s="62"/>
      <c r="H177" s="62"/>
      <c r="I177" s="62"/>
      <c r="J177" s="62"/>
      <c r="K177" s="62"/>
      <c r="L177"/>
      <c r="M177" s="62"/>
      <c r="N177" s="62"/>
    </row>
    <row r="178" spans="7:14" x14ac:dyDescent="0.3">
      <c r="G178" s="62"/>
      <c r="H178" s="62"/>
      <c r="I178" s="62"/>
      <c r="J178" s="62"/>
      <c r="K178" s="62"/>
      <c r="L178"/>
      <c r="M178" s="62"/>
      <c r="N178" s="62"/>
    </row>
    <row r="179" spans="7:14" x14ac:dyDescent="0.3">
      <c r="G179" s="62"/>
      <c r="H179" s="62"/>
      <c r="I179" s="62"/>
      <c r="J179" s="62"/>
      <c r="K179" s="62"/>
      <c r="L179"/>
      <c r="M179" s="62"/>
      <c r="N179" s="62"/>
    </row>
    <row r="180" spans="7:14" x14ac:dyDescent="0.3">
      <c r="G180" s="62"/>
      <c r="H180" s="62"/>
      <c r="I180" s="62"/>
      <c r="J180" s="62"/>
      <c r="K180" s="62"/>
      <c r="L180"/>
      <c r="M180" s="62"/>
      <c r="N180" s="62"/>
    </row>
    <row r="181" spans="7:14" x14ac:dyDescent="0.3">
      <c r="G181" s="62"/>
      <c r="H181" s="62"/>
      <c r="I181" s="62"/>
      <c r="J181" s="62"/>
      <c r="K181" s="62"/>
      <c r="L181"/>
      <c r="M181" s="62"/>
      <c r="N181" s="62"/>
    </row>
    <row r="182" spans="7:14" x14ac:dyDescent="0.3">
      <c r="G182" s="62"/>
      <c r="H182" s="62"/>
      <c r="I182" s="62"/>
      <c r="J182" s="62"/>
      <c r="K182" s="62"/>
      <c r="L182"/>
      <c r="M182" s="62"/>
      <c r="N182" s="62"/>
    </row>
    <row r="183" spans="7:14" x14ac:dyDescent="0.3">
      <c r="G183" s="62"/>
      <c r="H183" s="62"/>
      <c r="I183" s="62"/>
      <c r="J183" s="62"/>
      <c r="K183" s="62"/>
      <c r="L183"/>
      <c r="M183" s="62"/>
      <c r="N183" s="62"/>
    </row>
    <row r="184" spans="7:14" x14ac:dyDescent="0.3">
      <c r="G184" s="62"/>
      <c r="H184" s="62"/>
      <c r="I184" s="62"/>
      <c r="J184" s="62"/>
      <c r="K184" s="62"/>
      <c r="L184"/>
      <c r="M184" s="62"/>
      <c r="N184" s="62"/>
    </row>
    <row r="185" spans="7:14" x14ac:dyDescent="0.3">
      <c r="G185" s="62"/>
      <c r="H185" s="62"/>
      <c r="I185" s="62"/>
      <c r="J185" s="62"/>
      <c r="K185" s="62"/>
      <c r="L185"/>
      <c r="M185" s="62"/>
      <c r="N185" s="62"/>
    </row>
    <row r="186" spans="7:14" x14ac:dyDescent="0.3">
      <c r="G186" s="62"/>
      <c r="H186" s="62"/>
      <c r="I186" s="62"/>
      <c r="J186" s="62"/>
      <c r="K186" s="62"/>
      <c r="L186"/>
      <c r="M186" s="62"/>
      <c r="N186" s="62"/>
    </row>
    <row r="187" spans="7:14" x14ac:dyDescent="0.3">
      <c r="G187" s="62"/>
      <c r="H187" s="62"/>
      <c r="I187" s="62"/>
      <c r="J187" s="62"/>
      <c r="K187" s="62"/>
      <c r="L187"/>
      <c r="M187" s="62"/>
      <c r="N187" s="62"/>
    </row>
    <row r="188" spans="7:14" x14ac:dyDescent="0.3">
      <c r="G188" s="62"/>
      <c r="H188" s="62"/>
      <c r="I188" s="62"/>
      <c r="J188" s="62"/>
      <c r="K188" s="62"/>
      <c r="L188"/>
      <c r="M188" s="62"/>
      <c r="N188" s="62"/>
    </row>
    <row r="189" spans="7:14" x14ac:dyDescent="0.3">
      <c r="G189" s="62"/>
      <c r="H189" s="62"/>
      <c r="I189" s="62"/>
      <c r="J189" s="62"/>
      <c r="K189" s="62"/>
      <c r="L189"/>
      <c r="M189" s="62"/>
      <c r="N189" s="62"/>
    </row>
    <row r="190" spans="7:14" x14ac:dyDescent="0.3">
      <c r="G190" s="62"/>
      <c r="H190" s="62"/>
      <c r="I190" s="62"/>
      <c r="J190" s="62"/>
      <c r="K190" s="62"/>
      <c r="L190"/>
      <c r="M190" s="62"/>
      <c r="N190" s="62"/>
    </row>
    <row r="191" spans="7:14" x14ac:dyDescent="0.3">
      <c r="G191" s="62"/>
      <c r="H191" s="62"/>
      <c r="I191" s="62"/>
      <c r="J191" s="62"/>
      <c r="K191" s="62"/>
      <c r="L191"/>
      <c r="M191" s="62"/>
      <c r="N191" s="62"/>
    </row>
    <row r="192" spans="7:14" x14ac:dyDescent="0.3">
      <c r="G192" s="62"/>
      <c r="H192" s="62"/>
      <c r="I192" s="62"/>
      <c r="J192" s="62"/>
      <c r="K192" s="62"/>
      <c r="L192"/>
      <c r="M192" s="62"/>
      <c r="N192" s="62"/>
    </row>
    <row r="193" spans="7:14" x14ac:dyDescent="0.3">
      <c r="G193" s="62"/>
      <c r="H193" s="62"/>
      <c r="I193" s="62"/>
      <c r="J193" s="62"/>
      <c r="K193" s="62"/>
      <c r="L193"/>
      <c r="M193" s="62"/>
      <c r="N193" s="62"/>
    </row>
    <row r="194" spans="7:14" x14ac:dyDescent="0.3">
      <c r="G194" s="62"/>
      <c r="H194" s="62"/>
      <c r="I194" s="62"/>
      <c r="J194" s="62"/>
      <c r="K194" s="62"/>
      <c r="L194"/>
      <c r="M194" s="62"/>
      <c r="N194" s="62"/>
    </row>
    <row r="195" spans="7:14" x14ac:dyDescent="0.3">
      <c r="G195" s="62"/>
      <c r="H195" s="62"/>
      <c r="I195" s="62"/>
      <c r="J195" s="62"/>
      <c r="K195" s="62"/>
      <c r="L195"/>
      <c r="M195" s="62"/>
      <c r="N195" s="62"/>
    </row>
    <row r="196" spans="7:14" x14ac:dyDescent="0.3">
      <c r="G196" s="62"/>
      <c r="H196" s="62"/>
      <c r="I196" s="62"/>
      <c r="J196" s="62"/>
      <c r="K196" s="62"/>
      <c r="L196"/>
      <c r="M196" s="62"/>
      <c r="N196" s="62"/>
    </row>
    <row r="197" spans="7:14" x14ac:dyDescent="0.3">
      <c r="G197" s="62"/>
      <c r="H197" s="62"/>
      <c r="I197" s="62"/>
      <c r="J197" s="62"/>
      <c r="K197" s="62"/>
      <c r="L197"/>
      <c r="M197" s="62"/>
      <c r="N197" s="62"/>
    </row>
    <row r="198" spans="7:14" x14ac:dyDescent="0.3">
      <c r="G198" s="62"/>
      <c r="H198" s="62"/>
      <c r="I198" s="62"/>
      <c r="J198" s="62"/>
      <c r="K198" s="62"/>
      <c r="L198"/>
      <c r="M198" s="62"/>
      <c r="N198" s="62"/>
    </row>
    <row r="199" spans="7:14" x14ac:dyDescent="0.3">
      <c r="G199" s="62"/>
      <c r="H199" s="62"/>
      <c r="I199" s="62"/>
      <c r="J199" s="62"/>
      <c r="K199" s="62"/>
      <c r="L199"/>
      <c r="M199" s="62"/>
      <c r="N199" s="62"/>
    </row>
    <row r="200" spans="7:14" x14ac:dyDescent="0.3">
      <c r="G200" s="62"/>
      <c r="H200" s="62"/>
      <c r="I200" s="62"/>
      <c r="J200" s="62"/>
      <c r="K200" s="62"/>
      <c r="L200"/>
      <c r="M200" s="62"/>
      <c r="N200" s="62"/>
    </row>
    <row r="201" spans="7:14" x14ac:dyDescent="0.3">
      <c r="G201" s="62"/>
      <c r="H201" s="62"/>
      <c r="I201" s="62"/>
      <c r="J201" s="62"/>
      <c r="K201" s="62"/>
      <c r="L201"/>
      <c r="M201" s="62"/>
      <c r="N201" s="62"/>
    </row>
    <row r="202" spans="7:14" x14ac:dyDescent="0.3">
      <c r="G202" s="62"/>
      <c r="H202" s="62"/>
      <c r="I202" s="62"/>
      <c r="J202" s="62"/>
      <c r="K202" s="62"/>
      <c r="L202"/>
      <c r="M202" s="62"/>
      <c r="N202" s="62"/>
    </row>
    <row r="203" spans="7:14" x14ac:dyDescent="0.3">
      <c r="G203" s="62"/>
      <c r="H203" s="62"/>
      <c r="I203" s="62"/>
      <c r="J203" s="62"/>
      <c r="K203" s="62"/>
      <c r="L203"/>
      <c r="M203" s="62"/>
      <c r="N203" s="62"/>
    </row>
    <row r="204" spans="7:14" x14ac:dyDescent="0.3">
      <c r="G204" s="62"/>
      <c r="H204" s="62"/>
      <c r="I204" s="62"/>
      <c r="J204" s="62"/>
      <c r="K204" s="62"/>
      <c r="L204"/>
      <c r="M204" s="62"/>
      <c r="N204" s="62"/>
    </row>
    <row r="205" spans="7:14" x14ac:dyDescent="0.3">
      <c r="G205" s="62"/>
      <c r="H205" s="62"/>
      <c r="I205" s="62"/>
      <c r="J205" s="62"/>
      <c r="K205" s="62"/>
      <c r="L205"/>
      <c r="M205" s="62"/>
      <c r="N205" s="62"/>
    </row>
    <row r="206" spans="7:14" x14ac:dyDescent="0.3">
      <c r="G206" s="62"/>
      <c r="H206" s="62"/>
      <c r="I206" s="62"/>
      <c r="J206" s="62"/>
      <c r="K206" s="62"/>
      <c r="L206"/>
      <c r="M206" s="62"/>
      <c r="N206" s="62"/>
    </row>
    <row r="207" spans="7:14" x14ac:dyDescent="0.3">
      <c r="G207" s="62"/>
      <c r="H207" s="62"/>
      <c r="I207" s="62"/>
      <c r="J207" s="62"/>
      <c r="K207" s="62"/>
      <c r="L207"/>
      <c r="M207" s="62"/>
      <c r="N207" s="62"/>
    </row>
    <row r="208" spans="7:14" x14ac:dyDescent="0.3">
      <c r="G208" s="62"/>
      <c r="H208" s="62"/>
      <c r="I208" s="62"/>
      <c r="J208" s="62"/>
      <c r="K208" s="62"/>
      <c r="L208"/>
      <c r="M208" s="62"/>
      <c r="N208" s="62"/>
    </row>
    <row r="209" spans="7:14" x14ac:dyDescent="0.3">
      <c r="G209" s="62"/>
      <c r="H209" s="62"/>
      <c r="I209" s="62"/>
      <c r="J209" s="62"/>
      <c r="K209" s="62"/>
      <c r="L209"/>
      <c r="M209" s="62"/>
      <c r="N209" s="62"/>
    </row>
    <row r="210" spans="7:14" x14ac:dyDescent="0.3">
      <c r="G210" s="62"/>
      <c r="H210" s="62"/>
      <c r="I210" s="62"/>
      <c r="J210" s="62"/>
      <c r="K210" s="62"/>
      <c r="L210"/>
      <c r="M210" s="62"/>
      <c r="N210" s="62"/>
    </row>
    <row r="211" spans="7:14" x14ac:dyDescent="0.3">
      <c r="G211" s="62"/>
      <c r="H211" s="62"/>
      <c r="I211" s="62"/>
      <c r="J211" s="62"/>
      <c r="K211" s="62"/>
      <c r="L211"/>
      <c r="M211" s="62"/>
      <c r="N211" s="62"/>
    </row>
    <row r="212" spans="7:14" x14ac:dyDescent="0.3">
      <c r="G212" s="62"/>
      <c r="H212" s="62"/>
      <c r="I212" s="62"/>
      <c r="J212" s="62"/>
      <c r="K212" s="62"/>
      <c r="L212"/>
      <c r="M212" s="62"/>
      <c r="N212" s="62"/>
    </row>
    <row r="213" spans="7:14" x14ac:dyDescent="0.3">
      <c r="G213" s="62"/>
      <c r="H213" s="62"/>
      <c r="I213" s="62"/>
      <c r="J213" s="62"/>
      <c r="K213" s="62"/>
      <c r="L213"/>
      <c r="M213" s="62"/>
      <c r="N213" s="62"/>
    </row>
    <row r="214" spans="7:14" x14ac:dyDescent="0.3">
      <c r="G214" s="62"/>
      <c r="H214" s="62"/>
      <c r="I214" s="62"/>
      <c r="J214" s="62"/>
      <c r="K214" s="62"/>
      <c r="L214"/>
      <c r="M214" s="62"/>
      <c r="N214" s="62"/>
    </row>
    <row r="215" spans="7:14" x14ac:dyDescent="0.3">
      <c r="G215" s="62"/>
      <c r="H215" s="62"/>
      <c r="I215" s="62"/>
      <c r="J215" s="62"/>
      <c r="K215" s="62"/>
      <c r="L215"/>
      <c r="M215" s="62"/>
      <c r="N215" s="62"/>
    </row>
    <row r="216" spans="7:14" x14ac:dyDescent="0.3">
      <c r="G216" s="62"/>
      <c r="H216" s="62"/>
      <c r="I216" s="62"/>
      <c r="J216" s="62"/>
      <c r="K216" s="62"/>
      <c r="L216"/>
      <c r="M216" s="62"/>
      <c r="N216" s="62"/>
    </row>
    <row r="217" spans="7:14" x14ac:dyDescent="0.3">
      <c r="G217" s="62"/>
      <c r="H217" s="62"/>
      <c r="I217" s="62"/>
      <c r="J217" s="62"/>
      <c r="K217" s="62"/>
      <c r="L217"/>
      <c r="M217" s="62"/>
      <c r="N217" s="62"/>
    </row>
    <row r="218" spans="7:14" x14ac:dyDescent="0.3">
      <c r="G218" s="62"/>
      <c r="H218" s="62"/>
      <c r="I218" s="62"/>
      <c r="J218" s="62"/>
      <c r="K218" s="62"/>
      <c r="L218"/>
      <c r="M218" s="62"/>
      <c r="N218" s="62"/>
    </row>
    <row r="219" spans="7:14" x14ac:dyDescent="0.3">
      <c r="G219" s="62"/>
      <c r="H219" s="62"/>
      <c r="I219" s="62"/>
      <c r="J219" s="62"/>
      <c r="K219" s="62"/>
      <c r="L219"/>
      <c r="M219" s="62"/>
      <c r="N219" s="62"/>
    </row>
    <row r="220" spans="7:14" x14ac:dyDescent="0.3">
      <c r="G220" s="62"/>
      <c r="H220" s="62"/>
      <c r="I220" s="62"/>
      <c r="J220" s="62"/>
      <c r="K220" s="62"/>
      <c r="L220"/>
      <c r="M220" s="62"/>
      <c r="N220" s="62"/>
    </row>
    <row r="221" spans="7:14" x14ac:dyDescent="0.3">
      <c r="G221" s="62"/>
      <c r="H221" s="62"/>
      <c r="I221" s="62"/>
      <c r="J221" s="62"/>
      <c r="K221" s="62"/>
      <c r="L221"/>
      <c r="M221" s="62"/>
      <c r="N221" s="62"/>
    </row>
    <row r="222" spans="7:14" x14ac:dyDescent="0.3">
      <c r="G222" s="62"/>
      <c r="H222" s="62"/>
      <c r="I222" s="62"/>
      <c r="J222" s="62"/>
      <c r="K222" s="62"/>
      <c r="L222"/>
      <c r="M222" s="62"/>
      <c r="N222" s="62"/>
    </row>
    <row r="223" spans="7:14" x14ac:dyDescent="0.3">
      <c r="G223" s="62"/>
      <c r="H223" s="62"/>
      <c r="I223" s="62"/>
      <c r="J223" s="62"/>
      <c r="K223" s="62"/>
      <c r="L223"/>
      <c r="M223" s="62"/>
      <c r="N223" s="62"/>
    </row>
    <row r="224" spans="7:14" x14ac:dyDescent="0.3">
      <c r="G224" s="62"/>
      <c r="H224" s="62"/>
      <c r="I224" s="62"/>
      <c r="J224" s="62"/>
      <c r="K224" s="62"/>
      <c r="L224"/>
      <c r="M224" s="62"/>
      <c r="N224" s="62"/>
    </row>
    <row r="225" spans="7:14" x14ac:dyDescent="0.3">
      <c r="G225" s="62"/>
      <c r="H225" s="62"/>
      <c r="I225" s="62"/>
      <c r="J225" s="62"/>
      <c r="K225" s="62"/>
      <c r="L225"/>
      <c r="M225" s="62"/>
      <c r="N225" s="62"/>
    </row>
    <row r="226" spans="7:14" x14ac:dyDescent="0.3">
      <c r="G226" s="62"/>
      <c r="H226" s="62"/>
      <c r="I226" s="62"/>
      <c r="J226" s="62"/>
      <c r="K226" s="62"/>
      <c r="L226"/>
      <c r="M226" s="62"/>
      <c r="N226" s="62"/>
    </row>
    <row r="227" spans="7:14" x14ac:dyDescent="0.3">
      <c r="G227" s="62"/>
      <c r="H227" s="62"/>
      <c r="I227" s="62"/>
      <c r="J227" s="62"/>
      <c r="K227" s="62"/>
      <c r="L227"/>
      <c r="M227" s="62"/>
      <c r="N227" s="62"/>
    </row>
    <row r="228" spans="7:14" x14ac:dyDescent="0.3">
      <c r="G228" s="62"/>
      <c r="H228" s="62"/>
      <c r="I228" s="62"/>
      <c r="J228" s="62"/>
      <c r="K228" s="62"/>
      <c r="L228"/>
      <c r="M228" s="62"/>
      <c r="N228" s="62"/>
    </row>
    <row r="229" spans="7:14" x14ac:dyDescent="0.3">
      <c r="G229" s="62"/>
      <c r="H229" s="62"/>
      <c r="I229" s="62"/>
      <c r="J229" s="62"/>
      <c r="K229" s="62"/>
      <c r="L229"/>
      <c r="M229" s="62"/>
      <c r="N229" s="62"/>
    </row>
    <row r="230" spans="7:14" x14ac:dyDescent="0.3">
      <c r="G230" s="62"/>
      <c r="H230" s="62"/>
      <c r="I230" s="62"/>
      <c r="J230" s="62"/>
      <c r="K230" s="62"/>
      <c r="L230"/>
      <c r="M230" s="62"/>
      <c r="N230" s="62"/>
    </row>
    <row r="231" spans="7:14" x14ac:dyDescent="0.3">
      <c r="G231" s="62"/>
      <c r="H231" s="62"/>
      <c r="I231" s="62"/>
      <c r="J231" s="62"/>
      <c r="K231" s="62"/>
      <c r="L231"/>
      <c r="M231" s="62"/>
      <c r="N231" s="62"/>
    </row>
    <row r="232" spans="7:14" x14ac:dyDescent="0.3">
      <c r="G232" s="62"/>
      <c r="H232" s="62"/>
      <c r="I232" s="62"/>
      <c r="J232" s="62"/>
      <c r="K232" s="62"/>
      <c r="L232"/>
      <c r="M232" s="62"/>
      <c r="N232" s="62"/>
    </row>
    <row r="233" spans="7:14" x14ac:dyDescent="0.3">
      <c r="G233" s="62"/>
      <c r="H233" s="62"/>
      <c r="I233" s="62"/>
      <c r="J233" s="62"/>
      <c r="K233" s="62"/>
      <c r="L233"/>
      <c r="M233" s="62"/>
      <c r="N233" s="62"/>
    </row>
    <row r="234" spans="7:14" x14ac:dyDescent="0.3">
      <c r="G234" s="62"/>
      <c r="H234" s="62"/>
      <c r="I234" s="62"/>
      <c r="J234" s="62"/>
      <c r="K234" s="62"/>
      <c r="L234"/>
      <c r="M234" s="62"/>
      <c r="N234" s="62"/>
    </row>
    <row r="235" spans="7:14" x14ac:dyDescent="0.3">
      <c r="G235" s="62"/>
      <c r="H235" s="62"/>
      <c r="I235" s="62"/>
      <c r="J235" s="62"/>
      <c r="K235" s="62"/>
      <c r="L235"/>
      <c r="M235" s="62"/>
      <c r="N235" s="62"/>
    </row>
    <row r="236" spans="7:14" x14ac:dyDescent="0.3">
      <c r="G236" s="62"/>
      <c r="H236" s="62"/>
      <c r="I236" s="62"/>
      <c r="J236" s="62"/>
      <c r="K236" s="62"/>
      <c r="L236"/>
      <c r="M236" s="62"/>
      <c r="N236" s="62"/>
    </row>
    <row r="237" spans="7:14" x14ac:dyDescent="0.3">
      <c r="G237" s="62"/>
      <c r="H237" s="62"/>
      <c r="I237" s="62"/>
      <c r="J237" s="62"/>
      <c r="K237" s="62"/>
      <c r="L237"/>
      <c r="M237" s="62"/>
      <c r="N237" s="62"/>
    </row>
    <row r="238" spans="7:14" x14ac:dyDescent="0.3">
      <c r="G238" s="62"/>
      <c r="H238" s="62"/>
      <c r="I238" s="62"/>
      <c r="J238" s="62"/>
      <c r="K238" s="62"/>
      <c r="L238"/>
      <c r="M238" s="62"/>
      <c r="N238" s="62"/>
    </row>
    <row r="239" spans="7:14" x14ac:dyDescent="0.3">
      <c r="G239" s="62"/>
      <c r="H239" s="62"/>
      <c r="I239" s="62"/>
      <c r="J239" s="62"/>
      <c r="K239" s="62"/>
      <c r="L239"/>
      <c r="M239" s="62"/>
      <c r="N239" s="62"/>
    </row>
    <row r="240" spans="7:14" x14ac:dyDescent="0.3">
      <c r="G240" s="62"/>
      <c r="H240" s="62"/>
      <c r="I240" s="62"/>
      <c r="J240" s="62"/>
      <c r="K240" s="62"/>
      <c r="L240"/>
      <c r="M240" s="62"/>
      <c r="N240" s="62"/>
    </row>
    <row r="241" spans="7:14" x14ac:dyDescent="0.3">
      <c r="G241" s="62"/>
      <c r="H241" s="62"/>
      <c r="I241" s="62"/>
      <c r="J241" s="62"/>
      <c r="K241" s="62"/>
      <c r="L241"/>
      <c r="M241" s="62"/>
      <c r="N241" s="62"/>
    </row>
    <row r="242" spans="7:14" x14ac:dyDescent="0.3">
      <c r="G242" s="62"/>
      <c r="H242" s="62"/>
      <c r="I242" s="62"/>
      <c r="J242" s="62"/>
      <c r="K242" s="62"/>
      <c r="L242"/>
      <c r="M242" s="62"/>
      <c r="N242" s="62"/>
    </row>
    <row r="243" spans="7:14" x14ac:dyDescent="0.3">
      <c r="G243" s="62"/>
      <c r="H243" s="62"/>
      <c r="I243" s="62"/>
      <c r="J243" s="62"/>
      <c r="K243" s="62"/>
      <c r="L243"/>
      <c r="M243" s="62"/>
      <c r="N243" s="62"/>
    </row>
    <row r="244" spans="7:14" x14ac:dyDescent="0.3">
      <c r="G244" s="62"/>
      <c r="H244" s="62"/>
      <c r="I244" s="62"/>
      <c r="J244" s="62"/>
      <c r="K244" s="62"/>
      <c r="L244"/>
      <c r="M244" s="62"/>
      <c r="N244" s="62"/>
    </row>
    <row r="245" spans="7:14" x14ac:dyDescent="0.3">
      <c r="G245" s="62"/>
      <c r="H245" s="62"/>
      <c r="I245" s="62"/>
      <c r="J245" s="62"/>
      <c r="K245" s="62"/>
      <c r="L245"/>
      <c r="M245" s="62"/>
      <c r="N245" s="62"/>
    </row>
    <row r="246" spans="7:14" x14ac:dyDescent="0.3">
      <c r="G246" s="62"/>
      <c r="H246" s="62"/>
      <c r="I246" s="62"/>
      <c r="J246" s="62"/>
      <c r="K246" s="62"/>
      <c r="L246"/>
      <c r="M246" s="62"/>
      <c r="N246" s="62"/>
    </row>
    <row r="247" spans="7:14" x14ac:dyDescent="0.3">
      <c r="G247" s="62"/>
      <c r="H247" s="62"/>
      <c r="I247" s="62"/>
      <c r="J247" s="62"/>
      <c r="K247" s="62"/>
      <c r="L247"/>
      <c r="M247" s="62"/>
      <c r="N247" s="62"/>
    </row>
    <row r="248" spans="7:14" x14ac:dyDescent="0.3">
      <c r="G248" s="62"/>
      <c r="H248" s="62"/>
      <c r="I248" s="62"/>
      <c r="J248" s="62"/>
      <c r="K248" s="62"/>
      <c r="L248"/>
      <c r="M248" s="62"/>
      <c r="N248" s="62"/>
    </row>
    <row r="249" spans="7:14" x14ac:dyDescent="0.3">
      <c r="G249" s="62"/>
      <c r="H249" s="62"/>
      <c r="I249" s="62"/>
      <c r="J249" s="62"/>
      <c r="K249" s="62"/>
      <c r="L249"/>
      <c r="M249" s="62"/>
      <c r="N249" s="62"/>
    </row>
    <row r="250" spans="7:14" x14ac:dyDescent="0.3">
      <c r="G250" s="62"/>
      <c r="H250" s="62"/>
      <c r="I250" s="62"/>
      <c r="J250" s="62"/>
      <c r="K250" s="62"/>
      <c r="L250"/>
      <c r="M250" s="62"/>
      <c r="N250" s="62"/>
    </row>
    <row r="251" spans="7:14" x14ac:dyDescent="0.3">
      <c r="G251" s="62"/>
      <c r="H251" s="62"/>
      <c r="I251" s="62"/>
      <c r="J251" s="62"/>
      <c r="K251" s="62"/>
      <c r="L251"/>
      <c r="M251" s="62"/>
      <c r="N251" s="62"/>
    </row>
    <row r="252" spans="7:14" x14ac:dyDescent="0.3">
      <c r="G252" s="62"/>
      <c r="H252" s="62"/>
      <c r="I252" s="62"/>
      <c r="J252" s="62"/>
      <c r="K252" s="62"/>
      <c r="L252"/>
      <c r="M252" s="62"/>
      <c r="N252" s="62"/>
    </row>
    <row r="253" spans="7:14" x14ac:dyDescent="0.3">
      <c r="G253" s="62"/>
      <c r="H253" s="62"/>
      <c r="I253" s="62"/>
      <c r="J253" s="62"/>
      <c r="K253" s="62"/>
      <c r="L253"/>
      <c r="M253" s="62"/>
      <c r="N253" s="62"/>
    </row>
    <row r="254" spans="7:14" x14ac:dyDescent="0.3">
      <c r="G254" s="62"/>
      <c r="H254" s="62"/>
      <c r="I254" s="62"/>
      <c r="J254" s="62"/>
      <c r="K254" s="62"/>
      <c r="L254"/>
      <c r="M254" s="62"/>
      <c r="N254" s="62"/>
    </row>
    <row r="255" spans="7:14" x14ac:dyDescent="0.3">
      <c r="G255" s="62"/>
      <c r="H255" s="62"/>
      <c r="I255" s="62"/>
      <c r="J255" s="62"/>
      <c r="K255" s="62"/>
      <c r="L255"/>
      <c r="M255" s="62"/>
      <c r="N255" s="62"/>
    </row>
    <row r="256" spans="7:14" x14ac:dyDescent="0.3">
      <c r="G256" s="62"/>
      <c r="H256" s="62"/>
      <c r="I256" s="62"/>
      <c r="J256" s="62"/>
      <c r="K256" s="62"/>
      <c r="L256"/>
      <c r="M256" s="62"/>
      <c r="N256" s="62"/>
    </row>
    <row r="257" spans="14:23" x14ac:dyDescent="0.3">
      <c r="N257" s="62"/>
      <c r="O257" s="62"/>
      <c r="P257" s="62"/>
      <c r="Q257" s="62"/>
      <c r="R257" s="62"/>
      <c r="S257" s="62"/>
      <c r="T257" s="62"/>
      <c r="V257" s="62"/>
      <c r="W257" s="62"/>
    </row>
    <row r="258" spans="14:23" x14ac:dyDescent="0.3">
      <c r="N258" s="62"/>
      <c r="O258" s="62"/>
      <c r="P258" s="62"/>
      <c r="Q258" s="62"/>
      <c r="R258" s="62"/>
      <c r="S258" s="62"/>
      <c r="T258" s="62"/>
      <c r="V258" s="62"/>
      <c r="W258" s="62"/>
    </row>
    <row r="259" spans="14:23" x14ac:dyDescent="0.3">
      <c r="N259" s="62"/>
      <c r="O259" s="62"/>
      <c r="P259" s="62"/>
      <c r="Q259" s="62"/>
      <c r="R259" s="62"/>
      <c r="S259" s="62"/>
      <c r="T259" s="62"/>
      <c r="V259" s="62"/>
      <c r="W259" s="62"/>
    </row>
    <row r="260" spans="14:23" x14ac:dyDescent="0.3">
      <c r="N260" s="62"/>
      <c r="O260" s="62"/>
      <c r="P260" s="62"/>
      <c r="Q260" s="62"/>
      <c r="R260" s="62"/>
      <c r="S260" s="62"/>
      <c r="T260" s="62"/>
      <c r="V260" s="62"/>
      <c r="W260" s="62"/>
    </row>
    <row r="261" spans="14:23" x14ac:dyDescent="0.3">
      <c r="N261" s="62"/>
      <c r="O261" s="62"/>
      <c r="P261" s="62"/>
      <c r="Q261" s="62"/>
      <c r="R261" s="62"/>
      <c r="S261" s="62"/>
      <c r="T261" s="62"/>
      <c r="V261" s="62"/>
      <c r="W261" s="62"/>
    </row>
    <row r="262" spans="14:23" x14ac:dyDescent="0.3">
      <c r="N262" s="62"/>
      <c r="O262" s="62"/>
      <c r="P262" s="62"/>
      <c r="Q262" s="62"/>
      <c r="R262" s="62"/>
      <c r="S262" s="62"/>
      <c r="T262" s="62"/>
      <c r="V262" s="62"/>
      <c r="W262" s="62"/>
    </row>
    <row r="263" spans="14:23" x14ac:dyDescent="0.3">
      <c r="N263" s="62"/>
      <c r="O263" s="62"/>
      <c r="P263" s="62"/>
      <c r="Q263" s="62"/>
      <c r="R263" s="62"/>
      <c r="S263" s="62"/>
      <c r="T263" s="62"/>
      <c r="V263" s="62"/>
      <c r="W263" s="62"/>
    </row>
    <row r="264" spans="14:23" x14ac:dyDescent="0.3">
      <c r="N264" s="62"/>
      <c r="O264" s="62"/>
      <c r="P264" s="62"/>
      <c r="Q264" s="62"/>
      <c r="R264" s="62"/>
      <c r="S264" s="62"/>
      <c r="T264" s="62"/>
      <c r="V264" s="62"/>
      <c r="W264" s="62"/>
    </row>
    <row r="265" spans="14:23" x14ac:dyDescent="0.3">
      <c r="N265" s="62"/>
      <c r="O265" s="62"/>
      <c r="P265" s="62"/>
      <c r="Q265" s="62"/>
      <c r="R265" s="62"/>
      <c r="S265" s="62"/>
      <c r="T265" s="62"/>
      <c r="V265" s="62"/>
      <c r="W265" s="62"/>
    </row>
    <row r="266" spans="14:23" x14ac:dyDescent="0.3">
      <c r="N266" s="62"/>
      <c r="O266" s="62"/>
      <c r="P266" s="62"/>
      <c r="Q266" s="62"/>
      <c r="R266" s="62"/>
      <c r="S266" s="62"/>
      <c r="T266" s="62"/>
      <c r="V266" s="62"/>
      <c r="W266" s="62"/>
    </row>
    <row r="267" spans="14:23" x14ac:dyDescent="0.3">
      <c r="N267" s="62"/>
      <c r="O267" s="62"/>
      <c r="P267" s="62"/>
      <c r="Q267" s="62"/>
      <c r="R267" s="62"/>
      <c r="S267" s="62"/>
      <c r="T267" s="62"/>
      <c r="V267" s="62"/>
      <c r="W267" s="62"/>
    </row>
    <row r="268" spans="14:23" x14ac:dyDescent="0.3">
      <c r="N268" s="62"/>
      <c r="O268" s="62"/>
      <c r="P268" s="62"/>
      <c r="Q268" s="62"/>
      <c r="R268" s="62"/>
      <c r="S268" s="62"/>
      <c r="T268" s="62"/>
      <c r="V268" s="62"/>
      <c r="W268" s="62"/>
    </row>
    <row r="269" spans="14:23" x14ac:dyDescent="0.3">
      <c r="N269" s="62"/>
      <c r="O269" s="62"/>
      <c r="P269" s="62"/>
      <c r="Q269" s="62"/>
      <c r="R269" s="62"/>
      <c r="S269" s="62"/>
      <c r="T269" s="62"/>
      <c r="V269" s="62"/>
      <c r="W269" s="62"/>
    </row>
    <row r="270" spans="14:23" x14ac:dyDescent="0.3">
      <c r="N270" s="62"/>
      <c r="O270" s="62"/>
      <c r="P270" s="62"/>
      <c r="Q270" s="62"/>
      <c r="R270" s="62"/>
      <c r="S270" s="62"/>
      <c r="T270" s="62"/>
      <c r="V270" s="62"/>
      <c r="W270" s="62"/>
    </row>
    <row r="271" spans="14:23" x14ac:dyDescent="0.3">
      <c r="N271" s="62"/>
      <c r="O271" s="62"/>
      <c r="P271" s="62"/>
      <c r="Q271" s="62"/>
      <c r="R271" s="62"/>
      <c r="S271" s="62"/>
      <c r="T271" s="62"/>
      <c r="V271" s="62"/>
      <c r="W271" s="62"/>
    </row>
    <row r="272" spans="14:23" x14ac:dyDescent="0.3">
      <c r="N272" s="62"/>
      <c r="O272" s="62"/>
      <c r="P272" s="62"/>
      <c r="Q272" s="62"/>
      <c r="R272" s="62"/>
      <c r="S272" s="62"/>
      <c r="T272" s="62"/>
      <c r="V272" s="62"/>
      <c r="W272" s="62"/>
    </row>
    <row r="273" spans="14:23" x14ac:dyDescent="0.3">
      <c r="N273" s="62"/>
      <c r="O273" s="62"/>
      <c r="P273" s="62"/>
      <c r="Q273" s="62"/>
      <c r="R273" s="62"/>
      <c r="S273" s="62"/>
      <c r="T273" s="62"/>
      <c r="V273" s="62"/>
      <c r="W273" s="62"/>
    </row>
    <row r="274" spans="14:23" x14ac:dyDescent="0.3">
      <c r="N274" s="62"/>
      <c r="O274" s="62"/>
      <c r="P274" s="62"/>
      <c r="Q274" s="62"/>
      <c r="R274" s="62"/>
      <c r="S274" s="62"/>
      <c r="T274" s="62"/>
      <c r="V274" s="62"/>
      <c r="W274" s="62"/>
    </row>
    <row r="275" spans="14:23" x14ac:dyDescent="0.3">
      <c r="N275" s="62"/>
      <c r="O275" s="62"/>
      <c r="P275" s="62"/>
      <c r="Q275" s="62"/>
      <c r="R275" s="62"/>
      <c r="S275" s="62"/>
      <c r="T275" s="62"/>
      <c r="V275" s="62"/>
      <c r="W275" s="62"/>
    </row>
    <row r="276" spans="14:23" x14ac:dyDescent="0.3">
      <c r="N276" s="62"/>
      <c r="O276" s="62"/>
      <c r="P276" s="62"/>
      <c r="Q276" s="62"/>
      <c r="R276" s="62"/>
      <c r="S276" s="62"/>
      <c r="T276" s="62"/>
      <c r="V276" s="62"/>
      <c r="W276" s="62"/>
    </row>
    <row r="277" spans="14:23" x14ac:dyDescent="0.3">
      <c r="N277" s="62"/>
      <c r="O277" s="62"/>
      <c r="P277" s="62"/>
      <c r="Q277" s="62"/>
      <c r="R277" s="62"/>
      <c r="S277" s="62"/>
      <c r="T277" s="62"/>
      <c r="V277" s="62"/>
      <c r="W277" s="62"/>
    </row>
    <row r="278" spans="14:23" x14ac:dyDescent="0.3">
      <c r="N278" s="62"/>
      <c r="O278" s="62"/>
      <c r="P278" s="62"/>
      <c r="Q278" s="62"/>
      <c r="R278" s="62"/>
      <c r="S278" s="62"/>
      <c r="T278" s="62"/>
      <c r="V278" s="62"/>
      <c r="W278" s="62"/>
    </row>
    <row r="279" spans="14:23" x14ac:dyDescent="0.3">
      <c r="N279" s="62"/>
      <c r="O279" s="62"/>
      <c r="P279" s="62"/>
      <c r="Q279" s="62"/>
      <c r="R279" s="62"/>
      <c r="S279" s="62"/>
      <c r="T279" s="62"/>
      <c r="V279" s="62"/>
      <c r="W279" s="62"/>
    </row>
    <row r="280" spans="14:23" x14ac:dyDescent="0.3">
      <c r="N280" s="62"/>
      <c r="O280" s="62"/>
      <c r="P280" s="62"/>
      <c r="Q280" s="62"/>
      <c r="R280" s="62"/>
      <c r="S280" s="62"/>
      <c r="T280" s="62"/>
      <c r="V280" s="62"/>
      <c r="W280" s="62"/>
    </row>
    <row r="281" spans="14:23" x14ac:dyDescent="0.3">
      <c r="N281" s="62"/>
      <c r="O281" s="62"/>
      <c r="P281" s="62"/>
      <c r="Q281" s="62"/>
      <c r="R281" s="62"/>
      <c r="S281" s="62"/>
      <c r="T281" s="62"/>
      <c r="V281" s="62"/>
      <c r="W281" s="62"/>
    </row>
    <row r="282" spans="14:23" x14ac:dyDescent="0.3">
      <c r="N282" s="62"/>
      <c r="O282" s="62"/>
      <c r="P282" s="62"/>
      <c r="Q282" s="62"/>
      <c r="R282" s="62"/>
      <c r="S282" s="62"/>
      <c r="T282" s="62"/>
      <c r="V282" s="62"/>
      <c r="W282" s="62"/>
    </row>
    <row r="283" spans="14:23" x14ac:dyDescent="0.3">
      <c r="N283" s="62"/>
      <c r="O283" s="62"/>
      <c r="P283" s="62"/>
      <c r="Q283" s="62"/>
      <c r="R283" s="62"/>
      <c r="S283" s="62"/>
      <c r="T283" s="62"/>
      <c r="V283" s="62"/>
      <c r="W283" s="62"/>
    </row>
    <row r="284" spans="14:23" x14ac:dyDescent="0.3">
      <c r="N284" s="62"/>
      <c r="O284" s="62"/>
      <c r="P284" s="62"/>
      <c r="Q284" s="62"/>
      <c r="R284" s="62"/>
      <c r="S284" s="62"/>
      <c r="T284" s="62"/>
      <c r="V284" s="62"/>
      <c r="W284" s="62"/>
    </row>
    <row r="285" spans="14:23" x14ac:dyDescent="0.3">
      <c r="N285" s="62"/>
      <c r="O285" s="62"/>
      <c r="P285" s="62"/>
      <c r="Q285" s="62"/>
      <c r="R285" s="62"/>
      <c r="S285" s="62"/>
      <c r="T285" s="62"/>
      <c r="V285" s="62"/>
      <c r="W285" s="62"/>
    </row>
    <row r="286" spans="14:23" x14ac:dyDescent="0.3">
      <c r="N286" s="62"/>
      <c r="O286" s="62"/>
      <c r="P286" s="62"/>
      <c r="Q286" s="62"/>
      <c r="R286" s="62"/>
      <c r="S286" s="62"/>
      <c r="T286" s="62"/>
      <c r="V286" s="62"/>
      <c r="W286" s="62"/>
    </row>
    <row r="287" spans="14:23" x14ac:dyDescent="0.3">
      <c r="N287" s="62"/>
      <c r="O287" s="62"/>
      <c r="P287" s="62"/>
      <c r="Q287" s="62"/>
      <c r="R287" s="62"/>
      <c r="S287" s="62"/>
      <c r="T287" s="62"/>
      <c r="V287" s="62"/>
      <c r="W287" s="62"/>
    </row>
    <row r="288" spans="14:23" x14ac:dyDescent="0.3">
      <c r="N288" s="62"/>
      <c r="O288" s="62"/>
      <c r="P288" s="62"/>
      <c r="Q288" s="62"/>
      <c r="R288" s="62"/>
      <c r="S288" s="62"/>
      <c r="T288" s="62"/>
      <c r="V288" s="62"/>
      <c r="W288" s="62"/>
    </row>
    <row r="289" spans="14:23" x14ac:dyDescent="0.3">
      <c r="N289" s="62"/>
      <c r="O289" s="62"/>
      <c r="P289" s="62"/>
      <c r="Q289" s="62"/>
      <c r="R289" s="62"/>
      <c r="S289" s="62"/>
      <c r="T289" s="62"/>
      <c r="V289" s="62"/>
      <c r="W289" s="62"/>
    </row>
    <row r="290" spans="14:23" x14ac:dyDescent="0.3">
      <c r="N290" s="62"/>
      <c r="O290" s="62"/>
      <c r="P290" s="62"/>
      <c r="Q290" s="62"/>
      <c r="R290" s="62"/>
      <c r="S290" s="62"/>
      <c r="T290" s="62"/>
      <c r="V290" s="62"/>
      <c r="W290" s="62"/>
    </row>
    <row r="291" spans="14:23" x14ac:dyDescent="0.3">
      <c r="N291" s="62"/>
      <c r="O291" s="62"/>
      <c r="P291" s="62"/>
      <c r="Q291" s="62"/>
      <c r="R291" s="62"/>
      <c r="S291" s="62"/>
      <c r="T291" s="62"/>
      <c r="V291" s="62"/>
      <c r="W291" s="62"/>
    </row>
    <row r="292" spans="14:23" x14ac:dyDescent="0.3">
      <c r="N292" s="62"/>
      <c r="O292" s="62"/>
      <c r="P292" s="62"/>
      <c r="Q292" s="62"/>
      <c r="R292" s="62"/>
      <c r="S292" s="62"/>
      <c r="T292" s="62"/>
      <c r="V292" s="62"/>
      <c r="W292" s="62"/>
    </row>
    <row r="293" spans="14:23" x14ac:dyDescent="0.3">
      <c r="N293" s="62"/>
      <c r="O293" s="62"/>
      <c r="P293" s="62"/>
      <c r="Q293" s="62"/>
      <c r="R293" s="62"/>
      <c r="S293" s="62"/>
      <c r="T293" s="62"/>
      <c r="V293" s="62"/>
      <c r="W293" s="62"/>
    </row>
    <row r="294" spans="14:23" x14ac:dyDescent="0.3">
      <c r="N294" s="62"/>
      <c r="O294" s="62"/>
      <c r="P294" s="62"/>
      <c r="Q294" s="62"/>
      <c r="R294" s="62"/>
      <c r="S294" s="62"/>
      <c r="T294" s="62"/>
      <c r="V294" s="62"/>
      <c r="W294" s="62"/>
    </row>
    <row r="295" spans="14:23" x14ac:dyDescent="0.3">
      <c r="N295" s="62"/>
      <c r="O295" s="62"/>
      <c r="P295" s="62"/>
      <c r="Q295" s="62"/>
      <c r="R295" s="62"/>
      <c r="S295" s="62"/>
      <c r="T295" s="62"/>
      <c r="V295" s="62"/>
      <c r="W295" s="62"/>
    </row>
    <row r="296" spans="14:23" x14ac:dyDescent="0.3">
      <c r="N296" s="62"/>
      <c r="O296" s="62"/>
      <c r="P296" s="62"/>
      <c r="Q296" s="62"/>
      <c r="R296" s="62"/>
      <c r="S296" s="62"/>
      <c r="T296" s="62"/>
      <c r="V296" s="62"/>
      <c r="W296" s="62"/>
    </row>
    <row r="297" spans="14:23" x14ac:dyDescent="0.3">
      <c r="N297" s="62"/>
      <c r="O297" s="62"/>
      <c r="P297" s="62"/>
      <c r="Q297" s="62"/>
      <c r="R297" s="62"/>
      <c r="S297" s="62"/>
      <c r="T297" s="62"/>
      <c r="V297" s="62"/>
      <c r="W297" s="62"/>
    </row>
    <row r="298" spans="14:23" x14ac:dyDescent="0.3">
      <c r="N298" s="62"/>
      <c r="O298" s="62"/>
      <c r="P298" s="62"/>
      <c r="Q298" s="62"/>
      <c r="R298" s="62"/>
      <c r="S298" s="62"/>
      <c r="T298" s="62"/>
      <c r="V298" s="62"/>
      <c r="W298" s="62"/>
    </row>
    <row r="299" spans="14:23" x14ac:dyDescent="0.3">
      <c r="N299" s="62"/>
      <c r="O299" s="62"/>
      <c r="P299" s="62"/>
      <c r="Q299" s="62"/>
      <c r="R299" s="62"/>
      <c r="S299" s="62"/>
      <c r="T299" s="62"/>
      <c r="V299" s="62"/>
      <c r="W299" s="62"/>
    </row>
    <row r="300" spans="14:23" x14ac:dyDescent="0.3">
      <c r="N300" s="62"/>
      <c r="O300" s="62"/>
      <c r="P300" s="62"/>
      <c r="Q300" s="62"/>
      <c r="R300" s="62"/>
      <c r="S300" s="62"/>
      <c r="T300" s="62"/>
      <c r="V300" s="62"/>
      <c r="W300" s="62"/>
    </row>
    <row r="301" spans="14:23" x14ac:dyDescent="0.3">
      <c r="N301" s="62"/>
      <c r="O301" s="62"/>
      <c r="P301" s="62"/>
      <c r="Q301" s="62"/>
      <c r="R301" s="62"/>
      <c r="S301" s="62"/>
      <c r="T301" s="62"/>
      <c r="V301" s="62"/>
      <c r="W301" s="62"/>
    </row>
    <row r="302" spans="14:23" x14ac:dyDescent="0.3">
      <c r="N302" s="62"/>
      <c r="O302" s="62"/>
      <c r="P302" s="62"/>
      <c r="Q302" s="62"/>
      <c r="R302" s="62"/>
      <c r="S302" s="62"/>
      <c r="T302" s="62"/>
      <c r="V302" s="62"/>
      <c r="W302" s="62"/>
    </row>
    <row r="303" spans="14:23" x14ac:dyDescent="0.3">
      <c r="N303" s="62"/>
      <c r="O303" s="62"/>
      <c r="P303" s="62"/>
      <c r="Q303" s="62"/>
      <c r="R303" s="62"/>
      <c r="S303" s="62"/>
      <c r="T303" s="62"/>
      <c r="V303" s="62"/>
      <c r="W303" s="62"/>
    </row>
    <row r="304" spans="14:23" x14ac:dyDescent="0.3">
      <c r="N304" s="62"/>
      <c r="O304" s="62"/>
      <c r="P304" s="62"/>
      <c r="Q304" s="62"/>
      <c r="R304" s="62"/>
      <c r="S304" s="62"/>
      <c r="T304" s="62"/>
      <c r="V304" s="62"/>
      <c r="W304" s="62"/>
    </row>
    <row r="305" spans="14:23" x14ac:dyDescent="0.3">
      <c r="N305" s="62"/>
      <c r="O305" s="62"/>
      <c r="P305" s="62"/>
      <c r="Q305" s="62"/>
      <c r="R305" s="62"/>
      <c r="S305" s="62"/>
      <c r="T305" s="62"/>
      <c r="V305" s="62"/>
      <c r="W305" s="62"/>
    </row>
    <row r="306" spans="14:23" x14ac:dyDescent="0.3">
      <c r="N306" s="62"/>
      <c r="O306" s="62"/>
      <c r="P306" s="62"/>
      <c r="Q306" s="62"/>
      <c r="R306" s="62"/>
      <c r="S306" s="62"/>
      <c r="T306" s="62"/>
      <c r="V306" s="62"/>
      <c r="W306" s="62"/>
    </row>
    <row r="307" spans="14:23" x14ac:dyDescent="0.3">
      <c r="N307" s="62"/>
      <c r="O307" s="62"/>
      <c r="P307" s="62"/>
      <c r="Q307" s="62"/>
      <c r="R307" s="62"/>
      <c r="S307" s="62"/>
      <c r="T307" s="62"/>
      <c r="V307" s="62"/>
      <c r="W307" s="62"/>
    </row>
    <row r="308" spans="14:23" x14ac:dyDescent="0.3">
      <c r="N308" s="62"/>
      <c r="O308" s="62"/>
      <c r="P308" s="62"/>
      <c r="Q308" s="62"/>
      <c r="R308" s="62"/>
      <c r="S308" s="62"/>
      <c r="T308" s="62"/>
      <c r="V308" s="62"/>
      <c r="W308" s="62"/>
    </row>
    <row r="309" spans="14:23" x14ac:dyDescent="0.3">
      <c r="N309" s="62"/>
      <c r="O309" s="62"/>
      <c r="P309" s="62"/>
      <c r="Q309" s="62"/>
      <c r="R309" s="62"/>
      <c r="S309" s="62"/>
      <c r="T309" s="62"/>
      <c r="V309" s="62"/>
      <c r="W309" s="62"/>
    </row>
    <row r="310" spans="14:23" x14ac:dyDescent="0.3">
      <c r="N310" s="62"/>
      <c r="O310" s="62"/>
      <c r="P310" s="62"/>
      <c r="Q310" s="62"/>
      <c r="R310" s="62"/>
      <c r="S310" s="62"/>
      <c r="T310" s="62"/>
      <c r="V310" s="62"/>
      <c r="W310" s="62"/>
    </row>
    <row r="311" spans="14:23" x14ac:dyDescent="0.3">
      <c r="N311" s="62"/>
      <c r="O311" s="62"/>
      <c r="P311" s="62"/>
      <c r="Q311" s="62"/>
      <c r="R311" s="62"/>
      <c r="S311" s="62"/>
      <c r="T311" s="62"/>
      <c r="V311" s="62"/>
      <c r="W311" s="62"/>
    </row>
    <row r="312" spans="14:23" x14ac:dyDescent="0.3">
      <c r="N312" s="62"/>
      <c r="O312" s="62"/>
      <c r="P312" s="62"/>
      <c r="Q312" s="62"/>
      <c r="R312" s="62"/>
      <c r="S312" s="62"/>
      <c r="T312" s="62"/>
      <c r="V312" s="62"/>
      <c r="W312" s="62"/>
    </row>
    <row r="313" spans="14:23" x14ac:dyDescent="0.3">
      <c r="N313" s="62"/>
      <c r="O313" s="62"/>
      <c r="P313" s="62"/>
      <c r="Q313" s="62"/>
      <c r="R313" s="62"/>
      <c r="S313" s="62"/>
      <c r="T313" s="62"/>
      <c r="V313" s="62"/>
      <c r="W313" s="62"/>
    </row>
    <row r="314" spans="14:23" x14ac:dyDescent="0.3">
      <c r="N314" s="62"/>
      <c r="O314" s="62"/>
      <c r="P314" s="62"/>
      <c r="Q314" s="62"/>
      <c r="R314" s="62"/>
      <c r="S314" s="62"/>
      <c r="T314" s="62"/>
      <c r="V314" s="62"/>
      <c r="W314" s="62"/>
    </row>
    <row r="315" spans="14:23" x14ac:dyDescent="0.3">
      <c r="N315" s="62"/>
      <c r="O315" s="62"/>
      <c r="P315" s="62"/>
      <c r="Q315" s="62"/>
      <c r="R315" s="62"/>
      <c r="S315" s="62"/>
      <c r="T315" s="62"/>
      <c r="V315" s="62"/>
      <c r="W315" s="62"/>
    </row>
    <row r="316" spans="14:23" x14ac:dyDescent="0.3">
      <c r="N316" s="62"/>
      <c r="O316" s="62"/>
      <c r="P316" s="62"/>
      <c r="Q316" s="62"/>
      <c r="R316" s="62"/>
      <c r="S316" s="62"/>
      <c r="T316" s="62"/>
      <c r="V316" s="62"/>
      <c r="W316" s="62"/>
    </row>
    <row r="317" spans="14:23" x14ac:dyDescent="0.3">
      <c r="N317" s="62"/>
      <c r="O317" s="62"/>
      <c r="P317" s="62"/>
      <c r="Q317" s="62"/>
      <c r="R317" s="62"/>
      <c r="S317" s="62"/>
      <c r="T317" s="62"/>
      <c r="V317" s="62"/>
      <c r="W317" s="62"/>
    </row>
    <row r="318" spans="14:23" x14ac:dyDescent="0.3">
      <c r="N318" s="62"/>
      <c r="O318" s="62"/>
      <c r="P318" s="62"/>
      <c r="Q318" s="62"/>
      <c r="R318" s="62"/>
      <c r="S318" s="62"/>
      <c r="T318" s="62"/>
      <c r="V318" s="62"/>
      <c r="W318" s="62"/>
    </row>
    <row r="319" spans="14:23" x14ac:dyDescent="0.3">
      <c r="N319" s="62"/>
      <c r="O319" s="62"/>
      <c r="P319" s="62"/>
      <c r="Q319" s="62"/>
      <c r="R319" s="62"/>
      <c r="S319" s="62"/>
      <c r="T319" s="62"/>
      <c r="V319" s="62"/>
      <c r="W319" s="62"/>
    </row>
    <row r="320" spans="14:23" x14ac:dyDescent="0.3">
      <c r="N320" s="62"/>
      <c r="O320" s="62"/>
      <c r="P320" s="62"/>
      <c r="Q320" s="62"/>
      <c r="R320" s="62"/>
      <c r="S320" s="62"/>
      <c r="T320" s="62"/>
      <c r="V320" s="62"/>
      <c r="W320" s="62"/>
    </row>
    <row r="321" spans="14:23" x14ac:dyDescent="0.3">
      <c r="N321" s="62"/>
      <c r="O321" s="62"/>
      <c r="P321" s="62"/>
      <c r="Q321" s="62"/>
      <c r="R321" s="62"/>
      <c r="S321" s="62"/>
      <c r="T321" s="62"/>
      <c r="V321" s="62"/>
      <c r="W321" s="62"/>
    </row>
    <row r="322" spans="14:23" x14ac:dyDescent="0.3">
      <c r="N322" s="62"/>
      <c r="O322" s="62"/>
      <c r="P322" s="62"/>
      <c r="Q322" s="62"/>
      <c r="R322" s="62"/>
      <c r="S322" s="62"/>
      <c r="T322" s="62"/>
      <c r="V322" s="62"/>
      <c r="W322" s="62"/>
    </row>
    <row r="323" spans="14:23" x14ac:dyDescent="0.3">
      <c r="N323" s="62"/>
      <c r="O323" s="62"/>
      <c r="P323" s="62"/>
      <c r="Q323" s="62"/>
      <c r="R323" s="62"/>
      <c r="S323" s="62"/>
      <c r="T323" s="62"/>
      <c r="V323" s="62"/>
      <c r="W323" s="62"/>
    </row>
    <row r="324" spans="14:23" x14ac:dyDescent="0.3">
      <c r="N324" s="62"/>
      <c r="O324" s="62"/>
      <c r="P324" s="62"/>
      <c r="Q324" s="62"/>
      <c r="R324" s="62"/>
      <c r="S324" s="62"/>
      <c r="T324" s="62"/>
      <c r="V324" s="62"/>
      <c r="W324" s="62"/>
    </row>
    <row r="325" spans="14:23" x14ac:dyDescent="0.3">
      <c r="N325" s="62"/>
      <c r="O325" s="62"/>
      <c r="P325" s="62"/>
      <c r="Q325" s="62"/>
      <c r="R325" s="62"/>
      <c r="S325" s="62"/>
      <c r="T325" s="62"/>
      <c r="V325" s="62"/>
      <c r="W325" s="62"/>
    </row>
    <row r="326" spans="14:23" x14ac:dyDescent="0.3">
      <c r="N326" s="62"/>
      <c r="O326" s="62"/>
      <c r="P326" s="62"/>
      <c r="Q326" s="62"/>
      <c r="R326" s="62"/>
      <c r="S326" s="62"/>
      <c r="T326" s="62"/>
      <c r="V326" s="62"/>
      <c r="W326" s="62"/>
    </row>
    <row r="327" spans="14:23" x14ac:dyDescent="0.3">
      <c r="N327" s="62"/>
      <c r="O327" s="62"/>
      <c r="P327" s="62"/>
      <c r="Q327" s="62"/>
      <c r="R327" s="62"/>
      <c r="S327" s="62"/>
      <c r="T327" s="62"/>
      <c r="V327" s="62"/>
      <c r="W327" s="62"/>
    </row>
    <row r="328" spans="14:23" x14ac:dyDescent="0.3">
      <c r="N328" s="62"/>
      <c r="O328" s="62"/>
      <c r="P328" s="62"/>
      <c r="Q328" s="62"/>
      <c r="R328" s="62"/>
      <c r="S328" s="62"/>
      <c r="T328" s="62"/>
      <c r="V328" s="62"/>
      <c r="W328" s="62"/>
    </row>
    <row r="329" spans="14:23" x14ac:dyDescent="0.3">
      <c r="N329" s="62"/>
      <c r="O329" s="62"/>
      <c r="P329" s="62"/>
      <c r="Q329" s="62"/>
      <c r="R329" s="62"/>
      <c r="S329" s="62"/>
      <c r="T329" s="62"/>
      <c r="V329" s="62"/>
      <c r="W329" s="62"/>
    </row>
    <row r="330" spans="14:23" x14ac:dyDescent="0.3">
      <c r="N330" s="62"/>
      <c r="O330" s="62"/>
      <c r="P330" s="62"/>
      <c r="Q330" s="62"/>
      <c r="R330" s="62"/>
      <c r="S330" s="62"/>
      <c r="T330" s="62"/>
      <c r="V330" s="62"/>
      <c r="W330" s="62"/>
    </row>
    <row r="331" spans="14:23" x14ac:dyDescent="0.3">
      <c r="N331" s="62"/>
      <c r="O331" s="62"/>
      <c r="P331" s="62"/>
      <c r="Q331" s="62"/>
      <c r="R331" s="62"/>
      <c r="S331" s="62"/>
      <c r="T331" s="62"/>
      <c r="V331" s="62"/>
      <c r="W331" s="62"/>
    </row>
    <row r="332" spans="14:23" x14ac:dyDescent="0.3">
      <c r="N332" s="62"/>
      <c r="O332" s="62"/>
      <c r="P332" s="62"/>
      <c r="Q332" s="62"/>
      <c r="R332" s="62"/>
      <c r="S332" s="62"/>
      <c r="T332" s="62"/>
      <c r="V332" s="62"/>
      <c r="W332" s="62"/>
    </row>
    <row r="333" spans="14:23" x14ac:dyDescent="0.3">
      <c r="N333" s="62"/>
      <c r="O333" s="62"/>
      <c r="P333" s="62"/>
      <c r="Q333" s="62"/>
      <c r="R333" s="62"/>
      <c r="S333" s="62"/>
      <c r="T333" s="62"/>
      <c r="V333" s="62"/>
      <c r="W333" s="62"/>
    </row>
    <row r="334" spans="14:23" x14ac:dyDescent="0.3">
      <c r="N334" s="62"/>
      <c r="O334" s="62"/>
      <c r="P334" s="62"/>
      <c r="Q334" s="62"/>
      <c r="R334" s="62"/>
      <c r="S334" s="62"/>
      <c r="T334" s="62"/>
      <c r="V334" s="62"/>
      <c r="W334" s="62"/>
    </row>
    <row r="335" spans="14:23" x14ac:dyDescent="0.3">
      <c r="N335" s="62"/>
      <c r="O335" s="62"/>
      <c r="P335" s="62"/>
      <c r="Q335" s="62"/>
      <c r="R335" s="62"/>
      <c r="S335" s="62"/>
      <c r="T335" s="62"/>
      <c r="V335" s="62"/>
      <c r="W335" s="62"/>
    </row>
    <row r="336" spans="14:23" x14ac:dyDescent="0.3">
      <c r="N336" s="62"/>
      <c r="O336" s="62"/>
      <c r="P336" s="62"/>
      <c r="Q336" s="62"/>
      <c r="R336" s="62"/>
      <c r="S336" s="62"/>
      <c r="T336" s="62"/>
      <c r="V336" s="62"/>
      <c r="W336" s="62"/>
    </row>
    <row r="337" spans="14:23" x14ac:dyDescent="0.3">
      <c r="N337" s="62"/>
      <c r="O337" s="62"/>
      <c r="P337" s="62"/>
      <c r="Q337" s="62"/>
      <c r="R337" s="62"/>
      <c r="S337" s="62"/>
      <c r="T337" s="62"/>
      <c r="V337" s="62"/>
      <c r="W337" s="62"/>
    </row>
    <row r="338" spans="14:23" x14ac:dyDescent="0.3">
      <c r="N338" s="62"/>
      <c r="O338" s="62"/>
      <c r="P338" s="62"/>
      <c r="Q338" s="62"/>
      <c r="R338" s="62"/>
      <c r="S338" s="62"/>
      <c r="T338" s="62"/>
      <c r="V338" s="62"/>
      <c r="W338" s="62"/>
    </row>
    <row r="339" spans="14:23" x14ac:dyDescent="0.3">
      <c r="N339" s="62"/>
      <c r="O339" s="62"/>
      <c r="P339" s="62"/>
      <c r="Q339" s="62"/>
      <c r="R339" s="62"/>
      <c r="S339" s="62"/>
      <c r="T339" s="62"/>
      <c r="V339" s="62"/>
      <c r="W339" s="62"/>
    </row>
    <row r="340" spans="14:23" x14ac:dyDescent="0.3">
      <c r="N340" s="62"/>
      <c r="O340" s="62"/>
      <c r="P340" s="62"/>
      <c r="Q340" s="62"/>
      <c r="R340" s="62"/>
      <c r="S340" s="62"/>
      <c r="T340" s="62"/>
      <c r="V340" s="62"/>
      <c r="W340" s="62"/>
    </row>
    <row r="341" spans="14:23" x14ac:dyDescent="0.3">
      <c r="N341" s="62"/>
      <c r="O341" s="62"/>
      <c r="P341" s="62"/>
      <c r="Q341" s="62"/>
      <c r="R341" s="62"/>
      <c r="S341" s="62"/>
      <c r="T341" s="62"/>
      <c r="V341" s="62"/>
      <c r="W341" s="62"/>
    </row>
    <row r="342" spans="14:23" x14ac:dyDescent="0.3">
      <c r="N342" s="62"/>
      <c r="O342" s="62"/>
      <c r="P342" s="62"/>
      <c r="Q342" s="62"/>
      <c r="R342" s="62"/>
      <c r="S342" s="62"/>
      <c r="T342" s="62"/>
      <c r="V342" s="62"/>
      <c r="W342" s="62"/>
    </row>
    <row r="343" spans="14:23" x14ac:dyDescent="0.3">
      <c r="N343" s="62"/>
      <c r="O343" s="62"/>
      <c r="P343" s="62"/>
      <c r="Q343" s="62"/>
      <c r="R343" s="62"/>
      <c r="S343" s="62"/>
      <c r="T343" s="62"/>
      <c r="V343" s="62"/>
      <c r="W343" s="62"/>
    </row>
    <row r="344" spans="14:23" x14ac:dyDescent="0.3">
      <c r="N344" s="62"/>
      <c r="O344" s="62"/>
      <c r="P344" s="62"/>
      <c r="Q344" s="62"/>
      <c r="R344" s="62"/>
      <c r="S344" s="62"/>
      <c r="T344" s="62"/>
      <c r="V344" s="62"/>
      <c r="W344" s="62"/>
    </row>
    <row r="345" spans="14:23" x14ac:dyDescent="0.3">
      <c r="N345" s="62"/>
      <c r="O345" s="62"/>
      <c r="P345" s="62"/>
      <c r="Q345" s="62"/>
      <c r="R345" s="62"/>
      <c r="S345" s="62"/>
      <c r="T345" s="62"/>
      <c r="V345" s="62"/>
      <c r="W345" s="62"/>
    </row>
    <row r="346" spans="14:23" x14ac:dyDescent="0.3">
      <c r="N346" s="62"/>
      <c r="O346" s="62"/>
      <c r="P346" s="62"/>
      <c r="Q346" s="62"/>
      <c r="R346" s="62"/>
      <c r="S346" s="62"/>
      <c r="T346" s="62"/>
      <c r="V346" s="62"/>
      <c r="W346" s="62"/>
    </row>
    <row r="347" spans="14:23" x14ac:dyDescent="0.3">
      <c r="N347" s="62"/>
      <c r="O347" s="62"/>
      <c r="P347" s="62"/>
      <c r="Q347" s="62"/>
      <c r="R347" s="62"/>
      <c r="S347" s="62"/>
      <c r="T347" s="62"/>
      <c r="V347" s="62"/>
      <c r="W347" s="62"/>
    </row>
    <row r="348" spans="14:23" x14ac:dyDescent="0.3">
      <c r="N348" s="62"/>
      <c r="O348" s="62"/>
      <c r="P348" s="62"/>
      <c r="Q348" s="62"/>
      <c r="R348" s="62"/>
      <c r="S348" s="62"/>
      <c r="T348" s="62"/>
      <c r="V348" s="62"/>
      <c r="W348" s="62"/>
    </row>
    <row r="349" spans="14:23" x14ac:dyDescent="0.3">
      <c r="N349" s="62"/>
      <c r="O349" s="62"/>
      <c r="P349" s="62"/>
      <c r="Q349" s="62"/>
      <c r="R349" s="62"/>
      <c r="S349" s="62"/>
      <c r="T349" s="62"/>
      <c r="V349" s="62"/>
      <c r="W349" s="62"/>
    </row>
    <row r="350" spans="14:23" x14ac:dyDescent="0.3">
      <c r="N350" s="62"/>
      <c r="O350" s="62"/>
      <c r="P350" s="62"/>
      <c r="Q350" s="62"/>
      <c r="R350" s="62"/>
      <c r="S350" s="62"/>
      <c r="T350" s="62"/>
      <c r="V350" s="62"/>
      <c r="W350" s="62"/>
    </row>
    <row r="351" spans="14:23" x14ac:dyDescent="0.3">
      <c r="N351" s="62"/>
      <c r="O351" s="62"/>
      <c r="P351" s="62"/>
      <c r="Q351" s="62"/>
      <c r="R351" s="62"/>
      <c r="S351" s="62"/>
      <c r="T351" s="62"/>
      <c r="V351" s="62"/>
      <c r="W351" s="62"/>
    </row>
    <row r="352" spans="14:23" x14ac:dyDescent="0.3">
      <c r="N352" s="62"/>
      <c r="O352" s="62"/>
      <c r="P352" s="62"/>
      <c r="Q352" s="62"/>
      <c r="R352" s="62"/>
      <c r="S352" s="62"/>
      <c r="T352" s="62"/>
      <c r="V352" s="62"/>
      <c r="W352" s="62"/>
    </row>
    <row r="353" spans="14:23" x14ac:dyDescent="0.3">
      <c r="N353" s="62"/>
      <c r="O353" s="62"/>
      <c r="P353" s="62"/>
      <c r="Q353" s="62"/>
      <c r="R353" s="62"/>
      <c r="S353" s="62"/>
      <c r="T353" s="62"/>
      <c r="V353" s="62"/>
      <c r="W353" s="62"/>
    </row>
    <row r="354" spans="14:23" x14ac:dyDescent="0.3">
      <c r="N354" s="62"/>
      <c r="O354" s="62"/>
      <c r="P354" s="62"/>
      <c r="Q354" s="62"/>
      <c r="R354" s="62"/>
      <c r="S354" s="62"/>
      <c r="T354" s="62"/>
      <c r="V354" s="62"/>
      <c r="W354" s="62"/>
    </row>
    <row r="355" spans="14:23" x14ac:dyDescent="0.3">
      <c r="N355" s="62"/>
      <c r="O355" s="62"/>
      <c r="P355" s="62"/>
      <c r="Q355" s="62"/>
      <c r="R355" s="62"/>
      <c r="S355" s="62"/>
      <c r="T355" s="62"/>
      <c r="V355" s="62"/>
      <c r="W355" s="62"/>
    </row>
    <row r="356" spans="14:23" x14ac:dyDescent="0.3">
      <c r="N356" s="62"/>
      <c r="O356" s="62"/>
      <c r="P356" s="62"/>
      <c r="Q356" s="62"/>
      <c r="R356" s="62"/>
      <c r="S356" s="62"/>
      <c r="T356" s="62"/>
      <c r="V356" s="62"/>
      <c r="W356" s="62"/>
    </row>
    <row r="357" spans="14:23" x14ac:dyDescent="0.3">
      <c r="N357" s="62"/>
      <c r="O357" s="62"/>
      <c r="P357" s="62"/>
      <c r="Q357" s="62"/>
      <c r="R357" s="62"/>
      <c r="S357" s="62"/>
      <c r="T357" s="62"/>
      <c r="V357" s="62"/>
      <c r="W357" s="62"/>
    </row>
    <row r="358" spans="14:23" x14ac:dyDescent="0.3">
      <c r="N358" s="62"/>
      <c r="O358" s="62"/>
      <c r="P358" s="62"/>
      <c r="Q358" s="62"/>
      <c r="R358" s="62"/>
      <c r="S358" s="62"/>
      <c r="T358" s="62"/>
      <c r="V358" s="62"/>
      <c r="W358" s="62"/>
    </row>
    <row r="359" spans="14:23" x14ac:dyDescent="0.3">
      <c r="N359" s="62"/>
      <c r="O359" s="62"/>
      <c r="P359" s="62"/>
      <c r="Q359" s="62"/>
      <c r="R359" s="62"/>
      <c r="S359" s="62"/>
      <c r="T359" s="62"/>
      <c r="V359" s="62"/>
      <c r="W359" s="62"/>
    </row>
    <row r="360" spans="14:23" x14ac:dyDescent="0.3">
      <c r="N360" s="62"/>
      <c r="O360" s="62"/>
      <c r="P360" s="62"/>
      <c r="Q360" s="62"/>
      <c r="R360" s="62"/>
      <c r="S360" s="62"/>
      <c r="T360" s="62"/>
      <c r="V360" s="62"/>
      <c r="W360" s="62"/>
    </row>
    <row r="361" spans="14:23" x14ac:dyDescent="0.3">
      <c r="N361" s="62"/>
      <c r="O361" s="62"/>
      <c r="P361" s="62"/>
      <c r="Q361" s="62"/>
      <c r="R361" s="62"/>
      <c r="S361" s="62"/>
      <c r="T361" s="62"/>
      <c r="V361" s="62"/>
      <c r="W361" s="62"/>
    </row>
    <row r="362" spans="14:23" x14ac:dyDescent="0.3">
      <c r="N362" s="62"/>
      <c r="O362" s="62"/>
      <c r="P362" s="62"/>
      <c r="Q362" s="62"/>
      <c r="R362" s="62"/>
      <c r="S362" s="62"/>
      <c r="T362" s="62"/>
      <c r="V362" s="62"/>
      <c r="W362" s="62"/>
    </row>
    <row r="363" spans="14:23" x14ac:dyDescent="0.3">
      <c r="N363" s="62"/>
      <c r="O363" s="62"/>
      <c r="P363" s="62"/>
      <c r="Q363" s="62"/>
      <c r="R363" s="62"/>
      <c r="S363" s="62"/>
      <c r="T363" s="62"/>
      <c r="V363" s="62"/>
      <c r="W363" s="62"/>
    </row>
    <row r="364" spans="14:23" x14ac:dyDescent="0.3">
      <c r="N364" s="62"/>
      <c r="O364" s="62"/>
      <c r="P364" s="62"/>
      <c r="Q364" s="62"/>
      <c r="R364" s="62"/>
      <c r="S364" s="62"/>
      <c r="T364" s="62"/>
      <c r="V364" s="62"/>
      <c r="W364" s="62"/>
    </row>
    <row r="365" spans="14:23" x14ac:dyDescent="0.3">
      <c r="N365" s="62"/>
      <c r="O365" s="62"/>
      <c r="P365" s="62"/>
      <c r="Q365" s="62"/>
      <c r="R365" s="62"/>
      <c r="S365" s="62"/>
      <c r="T365" s="62"/>
      <c r="V365" s="62"/>
      <c r="W365" s="62"/>
    </row>
    <row r="366" spans="14:23" x14ac:dyDescent="0.3">
      <c r="N366" s="62"/>
      <c r="O366" s="62"/>
      <c r="P366" s="62"/>
      <c r="Q366" s="62"/>
      <c r="R366" s="62"/>
      <c r="S366" s="62"/>
      <c r="T366" s="62"/>
      <c r="V366" s="62"/>
      <c r="W366" s="62"/>
    </row>
    <row r="367" spans="14:23" x14ac:dyDescent="0.3">
      <c r="N367" s="62"/>
      <c r="O367" s="62"/>
      <c r="P367" s="62"/>
      <c r="Q367" s="62"/>
      <c r="R367" s="62"/>
      <c r="S367" s="62"/>
      <c r="T367" s="62"/>
      <c r="V367" s="62"/>
      <c r="W367" s="62"/>
    </row>
    <row r="368" spans="14:23" x14ac:dyDescent="0.3">
      <c r="N368" s="62"/>
      <c r="O368" s="62"/>
      <c r="P368" s="62"/>
      <c r="Q368" s="62"/>
      <c r="R368" s="62"/>
      <c r="S368" s="62"/>
      <c r="T368" s="62"/>
      <c r="V368" s="62"/>
      <c r="W368" s="62"/>
    </row>
    <row r="369" spans="14:23" x14ac:dyDescent="0.3">
      <c r="N369" s="62"/>
      <c r="O369" s="62"/>
      <c r="P369" s="62"/>
      <c r="Q369" s="62"/>
      <c r="R369" s="62"/>
      <c r="S369" s="62"/>
      <c r="T369" s="62"/>
      <c r="V369" s="62"/>
      <c r="W369" s="62"/>
    </row>
    <row r="370" spans="14:23" x14ac:dyDescent="0.3">
      <c r="N370" s="62"/>
      <c r="O370" s="62"/>
      <c r="P370" s="62"/>
      <c r="Q370" s="62"/>
      <c r="R370" s="62"/>
      <c r="S370" s="62"/>
      <c r="T370" s="62"/>
      <c r="V370" s="62"/>
      <c r="W370" s="62"/>
    </row>
    <row r="371" spans="14:23" x14ac:dyDescent="0.3">
      <c r="N371" s="62"/>
      <c r="O371" s="62"/>
      <c r="P371" s="62"/>
      <c r="Q371" s="62"/>
      <c r="R371" s="62"/>
      <c r="S371" s="62"/>
      <c r="T371" s="62"/>
      <c r="V371" s="62"/>
      <c r="W371" s="62"/>
    </row>
    <row r="372" spans="14:23" x14ac:dyDescent="0.3">
      <c r="N372" s="62"/>
      <c r="O372" s="62"/>
      <c r="P372" s="62"/>
      <c r="Q372" s="62"/>
      <c r="R372" s="62"/>
      <c r="S372" s="62"/>
      <c r="T372" s="62"/>
      <c r="V372" s="62"/>
      <c r="W372" s="62"/>
    </row>
    <row r="373" spans="14:23" x14ac:dyDescent="0.3">
      <c r="N373" s="62"/>
      <c r="O373" s="62"/>
      <c r="P373" s="62"/>
      <c r="Q373" s="62"/>
      <c r="R373" s="62"/>
      <c r="S373" s="62"/>
      <c r="T373" s="62"/>
      <c r="V373" s="62"/>
      <c r="W373" s="62"/>
    </row>
    <row r="374" spans="14:23" x14ac:dyDescent="0.3">
      <c r="N374" s="62"/>
      <c r="O374" s="62"/>
      <c r="P374" s="62"/>
      <c r="Q374" s="62"/>
      <c r="R374" s="62"/>
      <c r="S374" s="62"/>
      <c r="T374" s="62"/>
      <c r="V374" s="62"/>
      <c r="W374" s="62"/>
    </row>
    <row r="375" spans="14:23" x14ac:dyDescent="0.3">
      <c r="N375" s="62"/>
      <c r="O375" s="62"/>
      <c r="P375" s="62"/>
      <c r="Q375" s="62"/>
      <c r="R375" s="62"/>
      <c r="S375" s="62"/>
      <c r="T375" s="62"/>
      <c r="V375" s="62"/>
      <c r="W375" s="62"/>
    </row>
    <row r="376" spans="14:23" x14ac:dyDescent="0.3">
      <c r="N376" s="62"/>
      <c r="O376" s="62"/>
      <c r="P376" s="62"/>
      <c r="Q376" s="62"/>
      <c r="R376" s="62"/>
      <c r="S376" s="62"/>
      <c r="T376" s="62"/>
      <c r="V376" s="62"/>
      <c r="W376" s="62"/>
    </row>
    <row r="377" spans="14:23" x14ac:dyDescent="0.3">
      <c r="N377" s="62"/>
      <c r="O377" s="62"/>
      <c r="P377" s="62"/>
      <c r="Q377" s="62"/>
      <c r="R377" s="62"/>
      <c r="S377" s="62"/>
      <c r="T377" s="62"/>
      <c r="V377" s="62"/>
      <c r="W377" s="62"/>
    </row>
    <row r="378" spans="14:23" x14ac:dyDescent="0.3">
      <c r="N378" s="62"/>
      <c r="O378" s="62"/>
      <c r="P378" s="62"/>
      <c r="Q378" s="62"/>
      <c r="R378" s="62"/>
      <c r="S378" s="62"/>
      <c r="T378" s="62"/>
      <c r="V378" s="62"/>
      <c r="W378" s="62"/>
    </row>
    <row r="379" spans="14:23" x14ac:dyDescent="0.3">
      <c r="N379" s="62"/>
      <c r="O379" s="62"/>
      <c r="P379" s="62"/>
      <c r="Q379" s="62"/>
      <c r="R379" s="62"/>
      <c r="S379" s="62"/>
      <c r="T379" s="62"/>
      <c r="V379" s="62"/>
      <c r="W379" s="62"/>
    </row>
    <row r="380" spans="14:23" x14ac:dyDescent="0.3">
      <c r="N380" s="62"/>
      <c r="O380" s="62"/>
      <c r="P380" s="62"/>
      <c r="Q380" s="62"/>
      <c r="R380" s="62"/>
      <c r="S380" s="62"/>
      <c r="T380" s="62"/>
      <c r="V380" s="62"/>
      <c r="W380" s="62"/>
    </row>
    <row r="381" spans="14:23" x14ac:dyDescent="0.3">
      <c r="N381" s="62"/>
      <c r="O381" s="62"/>
      <c r="P381" s="62"/>
      <c r="Q381" s="62"/>
      <c r="R381" s="62"/>
      <c r="S381" s="62"/>
      <c r="T381" s="62"/>
      <c r="V381" s="62"/>
      <c r="W381" s="62"/>
    </row>
    <row r="382" spans="14:23" x14ac:dyDescent="0.3">
      <c r="N382" s="62"/>
      <c r="O382" s="62"/>
      <c r="P382" s="62"/>
      <c r="Q382" s="62"/>
      <c r="R382" s="62"/>
      <c r="S382" s="62"/>
      <c r="T382" s="62"/>
      <c r="V382" s="62"/>
      <c r="W382" s="62"/>
    </row>
    <row r="383" spans="14:23" x14ac:dyDescent="0.3">
      <c r="N383" s="62"/>
      <c r="O383" s="62"/>
      <c r="P383" s="62"/>
      <c r="Q383" s="62"/>
      <c r="R383" s="62"/>
      <c r="S383" s="62"/>
      <c r="T383" s="62"/>
      <c r="V383" s="62"/>
      <c r="W383" s="62"/>
    </row>
    <row r="384" spans="14:23" x14ac:dyDescent="0.3">
      <c r="N384" s="62"/>
      <c r="O384" s="62"/>
      <c r="P384" s="62"/>
      <c r="Q384" s="62"/>
      <c r="R384" s="62"/>
      <c r="S384" s="62"/>
      <c r="T384" s="62"/>
      <c r="V384" s="62"/>
      <c r="W384" s="62"/>
    </row>
    <row r="385" spans="14:23" x14ac:dyDescent="0.3">
      <c r="N385" s="62"/>
      <c r="O385" s="62"/>
      <c r="P385" s="62"/>
      <c r="Q385" s="62"/>
      <c r="R385" s="62"/>
      <c r="S385" s="62"/>
      <c r="T385" s="62"/>
      <c r="V385" s="62"/>
      <c r="W385" s="62"/>
    </row>
    <row r="386" spans="14:23" x14ac:dyDescent="0.3">
      <c r="N386" s="62"/>
      <c r="O386" s="62"/>
      <c r="P386" s="62"/>
      <c r="Q386" s="62"/>
      <c r="R386" s="62"/>
      <c r="S386" s="62"/>
      <c r="T386" s="62"/>
      <c r="V386" s="62"/>
      <c r="W386" s="62"/>
    </row>
    <row r="387" spans="14:23" x14ac:dyDescent="0.3">
      <c r="N387" s="62"/>
      <c r="O387" s="62"/>
      <c r="P387" s="62"/>
      <c r="Q387" s="62"/>
      <c r="R387" s="62"/>
      <c r="S387" s="62"/>
      <c r="T387" s="62"/>
      <c r="V387" s="62"/>
      <c r="W387" s="62"/>
    </row>
    <row r="388" spans="14:23" x14ac:dyDescent="0.3">
      <c r="N388" s="62"/>
      <c r="O388" s="62"/>
      <c r="P388" s="62"/>
      <c r="Q388" s="62"/>
      <c r="R388" s="62"/>
      <c r="S388" s="62"/>
      <c r="T388" s="62"/>
      <c r="V388" s="62"/>
      <c r="W388" s="62"/>
    </row>
    <row r="389" spans="14:23" x14ac:dyDescent="0.3">
      <c r="N389" s="62"/>
      <c r="O389" s="62"/>
      <c r="P389" s="62"/>
      <c r="Q389" s="62"/>
      <c r="R389" s="62"/>
      <c r="S389" s="62"/>
      <c r="T389" s="62"/>
      <c r="V389" s="62"/>
      <c r="W389" s="62"/>
    </row>
    <row r="390" spans="14:23" x14ac:dyDescent="0.3">
      <c r="N390" s="62"/>
      <c r="O390" s="62"/>
      <c r="P390" s="62"/>
      <c r="Q390" s="62"/>
      <c r="R390" s="62"/>
      <c r="S390" s="62"/>
      <c r="T390" s="62"/>
      <c r="V390" s="62"/>
      <c r="W390" s="62"/>
    </row>
    <row r="391" spans="14:23" x14ac:dyDescent="0.3">
      <c r="N391" s="62"/>
      <c r="O391" s="62"/>
      <c r="P391" s="62"/>
      <c r="Q391" s="62"/>
      <c r="R391" s="62"/>
      <c r="S391" s="62"/>
      <c r="T391" s="62"/>
      <c r="V391" s="62"/>
      <c r="W391" s="62"/>
    </row>
    <row r="392" spans="14:23" x14ac:dyDescent="0.3">
      <c r="N392" s="62"/>
      <c r="O392" s="62"/>
      <c r="P392" s="62"/>
      <c r="Q392" s="62"/>
      <c r="R392" s="62"/>
      <c r="S392" s="62"/>
      <c r="T392" s="62"/>
      <c r="V392" s="62"/>
      <c r="W392" s="62"/>
    </row>
    <row r="393" spans="14:23" x14ac:dyDescent="0.3">
      <c r="N393" s="62"/>
      <c r="O393" s="62"/>
      <c r="P393" s="62"/>
      <c r="Q393" s="62"/>
      <c r="R393" s="62"/>
      <c r="S393" s="62"/>
      <c r="T393" s="62"/>
      <c r="V393" s="62"/>
      <c r="W393" s="62"/>
    </row>
    <row r="394" spans="14:23" x14ac:dyDescent="0.3">
      <c r="N394" s="62"/>
      <c r="O394" s="62"/>
      <c r="P394" s="62"/>
      <c r="Q394" s="62"/>
      <c r="R394" s="62"/>
      <c r="S394" s="62"/>
      <c r="T394" s="62"/>
      <c r="V394" s="62"/>
      <c r="W394" s="62"/>
    </row>
    <row r="395" spans="14:23" x14ac:dyDescent="0.3">
      <c r="N395" s="62"/>
      <c r="O395" s="62"/>
      <c r="P395" s="62"/>
      <c r="Q395" s="62"/>
      <c r="R395" s="62"/>
      <c r="S395" s="62"/>
      <c r="T395" s="62"/>
      <c r="V395" s="62"/>
      <c r="W395" s="62"/>
    </row>
    <row r="396" spans="14:23" x14ac:dyDescent="0.3">
      <c r="N396" s="62"/>
      <c r="O396" s="62"/>
      <c r="P396" s="62"/>
      <c r="Q396" s="62"/>
      <c r="R396" s="62"/>
      <c r="S396" s="62"/>
      <c r="T396" s="62"/>
      <c r="V396" s="62"/>
      <c r="W396" s="62"/>
    </row>
    <row r="397" spans="14:23" x14ac:dyDescent="0.3">
      <c r="N397" s="62"/>
      <c r="O397" s="62"/>
      <c r="P397" s="62"/>
      <c r="Q397" s="62"/>
      <c r="R397" s="62"/>
      <c r="S397" s="62"/>
      <c r="T397" s="62"/>
      <c r="V397" s="62"/>
      <c r="W397" s="62"/>
    </row>
    <row r="398" spans="14:23" x14ac:dyDescent="0.3">
      <c r="N398" s="62"/>
      <c r="O398" s="62"/>
      <c r="P398" s="62"/>
      <c r="Q398" s="62"/>
      <c r="R398" s="62"/>
      <c r="S398" s="62"/>
      <c r="T398" s="62"/>
      <c r="V398" s="62"/>
      <c r="W398" s="62"/>
    </row>
    <row r="399" spans="14:23" x14ac:dyDescent="0.3">
      <c r="N399" s="62"/>
      <c r="O399" s="62"/>
      <c r="P399" s="62"/>
      <c r="Q399" s="62"/>
      <c r="R399" s="62"/>
      <c r="S399" s="62"/>
      <c r="T399" s="62"/>
      <c r="V399" s="62"/>
      <c r="W399" s="62"/>
    </row>
    <row r="400" spans="14:23" x14ac:dyDescent="0.3">
      <c r="N400" s="62"/>
      <c r="O400" s="62"/>
      <c r="P400" s="62"/>
      <c r="Q400" s="62"/>
      <c r="R400" s="62"/>
      <c r="S400" s="62"/>
      <c r="T400" s="62"/>
      <c r="V400" s="62"/>
      <c r="W400" s="62"/>
    </row>
    <row r="401" spans="14:23" x14ac:dyDescent="0.3">
      <c r="N401" s="62"/>
      <c r="O401" s="62"/>
      <c r="P401" s="62"/>
      <c r="Q401" s="62"/>
      <c r="R401" s="62"/>
      <c r="S401" s="62"/>
      <c r="T401" s="62"/>
      <c r="V401" s="62"/>
      <c r="W401" s="62"/>
    </row>
    <row r="402" spans="14:23" x14ac:dyDescent="0.3">
      <c r="N402" s="62"/>
      <c r="O402" s="62"/>
      <c r="P402" s="62"/>
      <c r="Q402" s="62"/>
      <c r="R402" s="62"/>
      <c r="S402" s="62"/>
      <c r="T402" s="62"/>
      <c r="V402" s="62"/>
      <c r="W402" s="62"/>
    </row>
    <row r="403" spans="14:23" x14ac:dyDescent="0.3">
      <c r="N403" s="62"/>
      <c r="O403" s="62"/>
      <c r="P403" s="62"/>
      <c r="Q403" s="62"/>
      <c r="R403" s="62"/>
      <c r="S403" s="62"/>
      <c r="T403" s="62"/>
      <c r="V403" s="62"/>
      <c r="W403" s="62"/>
    </row>
    <row r="404" spans="14:23" x14ac:dyDescent="0.3">
      <c r="N404" s="62"/>
      <c r="O404" s="62"/>
      <c r="P404" s="62"/>
      <c r="Q404" s="62"/>
      <c r="R404" s="62"/>
      <c r="S404" s="62"/>
      <c r="T404" s="62"/>
      <c r="V404" s="62"/>
      <c r="W404" s="62"/>
    </row>
    <row r="405" spans="14:23" x14ac:dyDescent="0.3">
      <c r="N405" s="62"/>
      <c r="O405" s="62"/>
      <c r="P405" s="62"/>
      <c r="Q405" s="62"/>
      <c r="R405" s="62"/>
      <c r="S405" s="62"/>
      <c r="T405" s="62"/>
      <c r="V405" s="62"/>
      <c r="W405" s="62"/>
    </row>
    <row r="406" spans="14:23" x14ac:dyDescent="0.3">
      <c r="N406" s="62"/>
      <c r="O406" s="62"/>
      <c r="P406" s="62"/>
      <c r="Q406" s="62"/>
      <c r="R406" s="62"/>
      <c r="S406" s="62"/>
      <c r="T406" s="62"/>
      <c r="V406" s="62"/>
      <c r="W406" s="62"/>
    </row>
    <row r="407" spans="14:23" x14ac:dyDescent="0.3">
      <c r="N407" s="62"/>
      <c r="O407" s="62"/>
      <c r="P407" s="62"/>
      <c r="Q407" s="62"/>
      <c r="R407" s="62"/>
      <c r="S407" s="62"/>
      <c r="T407" s="62"/>
      <c r="V407" s="62"/>
      <c r="W407" s="62"/>
    </row>
    <row r="408" spans="14:23" x14ac:dyDescent="0.3">
      <c r="N408" s="62"/>
      <c r="O408" s="62"/>
      <c r="P408" s="62"/>
      <c r="Q408" s="62"/>
      <c r="R408" s="62"/>
      <c r="S408" s="62"/>
      <c r="T408" s="62"/>
      <c r="V408" s="62"/>
      <c r="W408" s="62"/>
    </row>
    <row r="409" spans="14:23" x14ac:dyDescent="0.3">
      <c r="N409" s="62"/>
      <c r="O409" s="62"/>
      <c r="P409" s="62"/>
      <c r="Q409" s="62"/>
      <c r="R409" s="62"/>
      <c r="S409" s="62"/>
      <c r="T409" s="62"/>
      <c r="V409" s="62"/>
      <c r="W409" s="62"/>
    </row>
    <row r="410" spans="14:23" x14ac:dyDescent="0.3">
      <c r="N410" s="62"/>
      <c r="O410" s="62"/>
      <c r="P410" s="62"/>
      <c r="Q410" s="62"/>
      <c r="R410" s="62"/>
      <c r="S410" s="62"/>
      <c r="T410" s="62"/>
      <c r="V410" s="62"/>
      <c r="W410" s="62"/>
    </row>
    <row r="411" spans="14:23" x14ac:dyDescent="0.3">
      <c r="N411" s="62"/>
      <c r="O411" s="62"/>
      <c r="P411" s="62"/>
      <c r="Q411" s="62"/>
      <c r="R411" s="62"/>
      <c r="S411" s="62"/>
      <c r="T411" s="62"/>
      <c r="V411" s="62"/>
      <c r="W411" s="62"/>
    </row>
    <row r="412" spans="14:23" x14ac:dyDescent="0.3">
      <c r="N412" s="62"/>
      <c r="O412" s="62"/>
      <c r="P412" s="62"/>
      <c r="Q412" s="62"/>
      <c r="R412" s="62"/>
      <c r="S412" s="62"/>
      <c r="T412" s="62"/>
      <c r="V412" s="62"/>
      <c r="W412" s="62"/>
    </row>
    <row r="413" spans="14:23" x14ac:dyDescent="0.3">
      <c r="N413" s="62"/>
      <c r="O413" s="62"/>
      <c r="P413" s="62"/>
      <c r="Q413" s="62"/>
      <c r="R413" s="62"/>
      <c r="S413" s="62"/>
      <c r="T413" s="62"/>
      <c r="V413" s="62"/>
      <c r="W413" s="62"/>
    </row>
    <row r="414" spans="14:23" x14ac:dyDescent="0.3">
      <c r="N414" s="62"/>
      <c r="O414" s="62"/>
      <c r="P414" s="62"/>
      <c r="Q414" s="62"/>
      <c r="R414" s="62"/>
      <c r="S414" s="62"/>
      <c r="T414" s="62"/>
      <c r="V414" s="62"/>
      <c r="W414" s="62"/>
    </row>
    <row r="415" spans="14:23" x14ac:dyDescent="0.3">
      <c r="N415" s="62"/>
      <c r="O415" s="62"/>
      <c r="P415" s="62"/>
      <c r="Q415" s="62"/>
      <c r="R415" s="62"/>
      <c r="S415" s="62"/>
      <c r="T415" s="62"/>
      <c r="V415" s="62"/>
      <c r="W415" s="62"/>
    </row>
    <row r="416" spans="14:23" x14ac:dyDescent="0.3">
      <c r="N416" s="62"/>
      <c r="O416" s="62"/>
      <c r="P416" s="62"/>
      <c r="Q416" s="62"/>
      <c r="R416" s="62"/>
      <c r="S416" s="62"/>
      <c r="T416" s="62"/>
      <c r="V416" s="62"/>
      <c r="W416" s="62"/>
    </row>
    <row r="417" spans="14:23" x14ac:dyDescent="0.3">
      <c r="N417" s="62"/>
      <c r="O417" s="62"/>
      <c r="P417" s="62"/>
      <c r="Q417" s="62"/>
      <c r="R417" s="62"/>
      <c r="S417" s="62"/>
      <c r="T417" s="62"/>
      <c r="V417" s="62"/>
      <c r="W417" s="62"/>
    </row>
    <row r="418" spans="14:23" x14ac:dyDescent="0.3">
      <c r="N418" s="62"/>
      <c r="O418" s="62"/>
      <c r="P418" s="62"/>
      <c r="Q418" s="62"/>
      <c r="R418" s="62"/>
      <c r="S418" s="62"/>
      <c r="T418" s="62"/>
      <c r="V418" s="62"/>
      <c r="W418" s="62"/>
    </row>
    <row r="419" spans="14:23" x14ac:dyDescent="0.3">
      <c r="N419" s="62"/>
      <c r="O419" s="62"/>
      <c r="P419" s="62"/>
      <c r="Q419" s="62"/>
      <c r="R419" s="62"/>
      <c r="S419" s="62"/>
      <c r="T419" s="62"/>
      <c r="V419" s="62"/>
      <c r="W419" s="62"/>
    </row>
    <row r="420" spans="14:23" x14ac:dyDescent="0.3">
      <c r="N420" s="62"/>
      <c r="O420" s="62"/>
      <c r="P420" s="62"/>
      <c r="Q420" s="62"/>
      <c r="R420" s="62"/>
      <c r="S420" s="62"/>
      <c r="T420" s="62"/>
      <c r="V420" s="62"/>
      <c r="W420" s="62"/>
    </row>
    <row r="421" spans="14:23" x14ac:dyDescent="0.3">
      <c r="N421" s="62"/>
      <c r="O421" s="62"/>
      <c r="P421" s="62"/>
      <c r="Q421" s="62"/>
      <c r="R421" s="62"/>
      <c r="S421" s="62"/>
      <c r="T421" s="62"/>
      <c r="V421" s="62"/>
      <c r="W421" s="62"/>
    </row>
    <row r="422" spans="14:23" x14ac:dyDescent="0.3">
      <c r="N422" s="62"/>
      <c r="O422" s="62"/>
      <c r="P422" s="62"/>
      <c r="Q422" s="62"/>
      <c r="R422" s="62"/>
      <c r="S422" s="62"/>
      <c r="T422" s="62"/>
      <c r="V422" s="62"/>
      <c r="W422" s="62"/>
    </row>
    <row r="423" spans="14:23" x14ac:dyDescent="0.3">
      <c r="N423" s="62"/>
      <c r="O423" s="62"/>
      <c r="P423" s="62"/>
      <c r="Q423" s="62"/>
      <c r="R423" s="62"/>
      <c r="S423" s="62"/>
      <c r="T423" s="62"/>
      <c r="V423" s="62"/>
      <c r="W423" s="62"/>
    </row>
    <row r="424" spans="14:23" x14ac:dyDescent="0.3">
      <c r="N424" s="62"/>
      <c r="O424" s="62"/>
      <c r="P424" s="62"/>
      <c r="Q424" s="62"/>
      <c r="R424" s="62"/>
      <c r="S424" s="62"/>
      <c r="T424" s="62"/>
      <c r="V424" s="62"/>
      <c r="W424" s="62"/>
    </row>
    <row r="425" spans="14:23" x14ac:dyDescent="0.3">
      <c r="N425" s="62"/>
      <c r="O425" s="62"/>
      <c r="P425" s="62"/>
      <c r="Q425" s="62"/>
      <c r="R425" s="62"/>
      <c r="S425" s="62"/>
      <c r="T425" s="62"/>
      <c r="V425" s="62"/>
      <c r="W425" s="62"/>
    </row>
    <row r="426" spans="14:23" x14ac:dyDescent="0.3">
      <c r="N426" s="62"/>
      <c r="O426" s="62"/>
      <c r="P426" s="62"/>
      <c r="Q426" s="62"/>
      <c r="R426" s="62"/>
      <c r="S426" s="62"/>
      <c r="T426" s="62"/>
      <c r="V426" s="62"/>
      <c r="W426" s="62"/>
    </row>
    <row r="427" spans="14:23" x14ac:dyDescent="0.3">
      <c r="N427" s="62"/>
      <c r="O427" s="62"/>
      <c r="P427" s="62"/>
      <c r="Q427" s="62"/>
      <c r="R427" s="62"/>
      <c r="S427" s="62"/>
      <c r="T427" s="62"/>
      <c r="V427" s="62"/>
      <c r="W427" s="62"/>
    </row>
    <row r="428" spans="14:23" x14ac:dyDescent="0.3">
      <c r="N428" s="62"/>
      <c r="O428" s="62"/>
      <c r="P428" s="62"/>
      <c r="Q428" s="62"/>
      <c r="R428" s="62"/>
      <c r="S428" s="62"/>
      <c r="T428" s="62"/>
      <c r="V428" s="62"/>
      <c r="W428" s="62"/>
    </row>
    <row r="429" spans="14:23" x14ac:dyDescent="0.3">
      <c r="N429" s="62"/>
      <c r="O429" s="62"/>
      <c r="P429" s="62"/>
      <c r="Q429" s="62"/>
      <c r="R429" s="62"/>
      <c r="S429" s="62"/>
      <c r="T429" s="62"/>
      <c r="V429" s="62"/>
      <c r="W429" s="62"/>
    </row>
    <row r="430" spans="14:23" x14ac:dyDescent="0.3">
      <c r="N430" s="62"/>
      <c r="O430" s="62"/>
      <c r="P430" s="62"/>
      <c r="Q430" s="62"/>
      <c r="R430" s="62"/>
      <c r="S430" s="62"/>
      <c r="T430" s="62"/>
      <c r="V430" s="62"/>
      <c r="W430" s="62"/>
    </row>
    <row r="431" spans="14:23" x14ac:dyDescent="0.3">
      <c r="N431" s="62"/>
      <c r="O431" s="62"/>
      <c r="P431" s="62"/>
      <c r="Q431" s="62"/>
      <c r="R431" s="62"/>
      <c r="S431" s="62"/>
      <c r="T431" s="62"/>
      <c r="V431" s="62"/>
      <c r="W431" s="62"/>
    </row>
    <row r="432" spans="14:23" x14ac:dyDescent="0.3">
      <c r="N432" s="62"/>
      <c r="O432" s="62"/>
      <c r="P432" s="62"/>
      <c r="Q432" s="62"/>
      <c r="R432" s="62"/>
      <c r="S432" s="62"/>
      <c r="T432" s="62"/>
      <c r="V432" s="62"/>
      <c r="W432" s="62"/>
    </row>
    <row r="433" spans="14:23" x14ac:dyDescent="0.3">
      <c r="N433" s="62"/>
      <c r="O433" s="62"/>
      <c r="P433" s="62"/>
      <c r="Q433" s="62"/>
      <c r="R433" s="62"/>
      <c r="S433" s="62"/>
      <c r="T433" s="62"/>
      <c r="V433" s="62"/>
      <c r="W433" s="62"/>
    </row>
    <row r="434" spans="14:23" x14ac:dyDescent="0.3">
      <c r="N434" s="62"/>
      <c r="O434" s="62"/>
      <c r="P434" s="62"/>
      <c r="Q434" s="62"/>
      <c r="R434" s="62"/>
      <c r="S434" s="62"/>
      <c r="T434" s="62"/>
      <c r="V434" s="62"/>
      <c r="W434" s="62"/>
    </row>
    <row r="435" spans="14:23" x14ac:dyDescent="0.3">
      <c r="N435" s="62"/>
      <c r="O435" s="62"/>
      <c r="P435" s="62"/>
      <c r="Q435" s="62"/>
      <c r="R435" s="62"/>
      <c r="S435" s="62"/>
      <c r="T435" s="62"/>
      <c r="V435" s="62"/>
      <c r="W435" s="62"/>
    </row>
    <row r="436" spans="14:23" x14ac:dyDescent="0.3">
      <c r="N436" s="62"/>
      <c r="O436" s="62"/>
      <c r="P436" s="62"/>
      <c r="Q436" s="62"/>
      <c r="R436" s="62"/>
      <c r="S436" s="62"/>
      <c r="T436" s="62"/>
      <c r="V436" s="62"/>
      <c r="W436" s="62"/>
    </row>
    <row r="437" spans="14:23" x14ac:dyDescent="0.3">
      <c r="N437" s="62"/>
      <c r="O437" s="62"/>
      <c r="P437" s="62"/>
      <c r="Q437" s="62"/>
      <c r="R437" s="62"/>
      <c r="S437" s="62"/>
      <c r="T437" s="62"/>
      <c r="V437" s="62"/>
      <c r="W437" s="62"/>
    </row>
    <row r="438" spans="14:23" x14ac:dyDescent="0.3">
      <c r="N438" s="62"/>
      <c r="O438" s="62"/>
      <c r="P438" s="62"/>
      <c r="Q438" s="62"/>
      <c r="R438" s="62"/>
      <c r="S438" s="62"/>
      <c r="T438" s="62"/>
      <c r="V438" s="62"/>
      <c r="W438" s="62"/>
    </row>
    <row r="439" spans="14:23" x14ac:dyDescent="0.3">
      <c r="N439" s="62"/>
      <c r="O439" s="62"/>
      <c r="P439" s="62"/>
      <c r="Q439" s="62"/>
      <c r="R439" s="62"/>
      <c r="S439" s="62"/>
      <c r="T439" s="62"/>
      <c r="V439" s="62"/>
      <c r="W439" s="62"/>
    </row>
    <row r="440" spans="14:23" x14ac:dyDescent="0.3">
      <c r="N440" s="62"/>
      <c r="O440" s="62"/>
      <c r="P440" s="62"/>
      <c r="Q440" s="62"/>
      <c r="R440" s="62"/>
      <c r="S440" s="62"/>
      <c r="T440" s="62"/>
      <c r="V440" s="62"/>
      <c r="W440" s="62"/>
    </row>
    <row r="441" spans="14:23" x14ac:dyDescent="0.3">
      <c r="N441" s="62"/>
      <c r="O441" s="62"/>
      <c r="P441" s="62"/>
      <c r="Q441" s="62"/>
      <c r="R441" s="62"/>
      <c r="S441" s="62"/>
      <c r="T441" s="62"/>
      <c r="V441" s="62"/>
      <c r="W441" s="62"/>
    </row>
    <row r="442" spans="14:23" x14ac:dyDescent="0.3">
      <c r="N442" s="62"/>
      <c r="O442" s="62"/>
      <c r="P442" s="62"/>
      <c r="Q442" s="62"/>
      <c r="R442" s="62"/>
      <c r="S442" s="62"/>
      <c r="T442" s="62"/>
      <c r="V442" s="62"/>
      <c r="W442" s="62"/>
    </row>
    <row r="443" spans="14:23" x14ac:dyDescent="0.3">
      <c r="N443" s="62"/>
      <c r="O443" s="62"/>
      <c r="P443" s="62"/>
      <c r="Q443" s="62"/>
      <c r="R443" s="62"/>
      <c r="S443" s="62"/>
      <c r="T443" s="62"/>
      <c r="V443" s="62"/>
      <c r="W443" s="62"/>
    </row>
    <row r="444" spans="14:23" x14ac:dyDescent="0.3">
      <c r="N444" s="62"/>
      <c r="O444" s="62"/>
      <c r="P444" s="62"/>
      <c r="Q444" s="62"/>
      <c r="R444" s="62"/>
      <c r="S444" s="62"/>
      <c r="T444" s="62"/>
      <c r="V444" s="62"/>
      <c r="W444" s="62"/>
    </row>
    <row r="445" spans="14:23" x14ac:dyDescent="0.3">
      <c r="N445" s="62"/>
      <c r="O445" s="62"/>
      <c r="P445" s="62"/>
      <c r="Q445" s="62"/>
      <c r="R445" s="62"/>
      <c r="S445" s="62"/>
      <c r="T445" s="62"/>
      <c r="V445" s="62"/>
      <c r="W445" s="62"/>
    </row>
    <row r="446" spans="14:23" x14ac:dyDescent="0.3">
      <c r="N446" s="62"/>
      <c r="O446" s="62"/>
      <c r="P446" s="62"/>
      <c r="Q446" s="62"/>
      <c r="R446" s="62"/>
      <c r="S446" s="62"/>
      <c r="T446" s="62"/>
      <c r="V446" s="62"/>
      <c r="W446" s="62"/>
    </row>
    <row r="447" spans="14:23" x14ac:dyDescent="0.3">
      <c r="N447" s="62"/>
      <c r="O447" s="62"/>
      <c r="P447" s="62"/>
      <c r="Q447" s="62"/>
      <c r="R447" s="62"/>
      <c r="S447" s="62"/>
      <c r="T447" s="62"/>
      <c r="V447" s="62"/>
      <c r="W447" s="62"/>
    </row>
    <row r="448" spans="14:23" x14ac:dyDescent="0.3">
      <c r="N448" s="62"/>
      <c r="O448" s="62"/>
      <c r="P448" s="62"/>
      <c r="Q448" s="62"/>
      <c r="R448" s="62"/>
      <c r="S448" s="62"/>
      <c r="T448" s="62"/>
      <c r="V448" s="62"/>
      <c r="W448" s="62"/>
    </row>
    <row r="449" spans="14:23" x14ac:dyDescent="0.3">
      <c r="N449" s="62"/>
      <c r="O449" s="62"/>
      <c r="P449" s="62"/>
      <c r="Q449" s="62"/>
      <c r="R449" s="62"/>
      <c r="S449" s="62"/>
      <c r="T449" s="62"/>
      <c r="V449" s="62"/>
      <c r="W449" s="62"/>
    </row>
    <row r="450" spans="14:23" x14ac:dyDescent="0.3">
      <c r="N450" s="62"/>
      <c r="O450" s="62"/>
      <c r="P450" s="62"/>
      <c r="Q450" s="62"/>
      <c r="R450" s="62"/>
      <c r="S450" s="62"/>
      <c r="T450" s="62"/>
      <c r="V450" s="62"/>
      <c r="W450" s="62"/>
    </row>
    <row r="451" spans="14:23" x14ac:dyDescent="0.3">
      <c r="N451" s="62"/>
      <c r="O451" s="62"/>
      <c r="P451" s="62"/>
      <c r="Q451" s="62"/>
      <c r="R451" s="62"/>
      <c r="S451" s="62"/>
      <c r="T451" s="62"/>
      <c r="V451" s="62"/>
      <c r="W451" s="62"/>
    </row>
    <row r="452" spans="14:23" x14ac:dyDescent="0.3">
      <c r="N452" s="62"/>
      <c r="O452" s="62"/>
      <c r="P452" s="62"/>
      <c r="Q452" s="62"/>
      <c r="R452" s="62"/>
      <c r="S452" s="62"/>
      <c r="T452" s="62"/>
      <c r="V452" s="62"/>
      <c r="W452" s="62"/>
    </row>
    <row r="453" spans="14:23" x14ac:dyDescent="0.3">
      <c r="N453" s="62"/>
      <c r="O453" s="62"/>
      <c r="P453" s="62"/>
      <c r="Q453" s="62"/>
      <c r="R453" s="62"/>
      <c r="S453" s="62"/>
      <c r="T453" s="62"/>
      <c r="V453" s="62"/>
      <c r="W453" s="62"/>
    </row>
    <row r="454" spans="14:23" x14ac:dyDescent="0.3">
      <c r="N454" s="62"/>
      <c r="O454" s="62"/>
      <c r="P454" s="62"/>
      <c r="Q454" s="62"/>
      <c r="R454" s="62"/>
      <c r="S454" s="62"/>
      <c r="T454" s="62"/>
      <c r="V454" s="62"/>
      <c r="W454" s="62"/>
    </row>
    <row r="455" spans="14:23" x14ac:dyDescent="0.3">
      <c r="N455" s="62"/>
      <c r="O455" s="62"/>
      <c r="P455" s="62"/>
      <c r="Q455" s="62"/>
      <c r="R455" s="62"/>
      <c r="S455" s="62"/>
      <c r="T455" s="62"/>
      <c r="V455" s="62"/>
      <c r="W455" s="62"/>
    </row>
    <row r="456" spans="14:23" x14ac:dyDescent="0.3">
      <c r="N456" s="62"/>
      <c r="O456" s="62"/>
      <c r="P456" s="62"/>
      <c r="Q456" s="62"/>
      <c r="R456" s="62"/>
      <c r="S456" s="62"/>
      <c r="T456" s="62"/>
      <c r="V456" s="62"/>
      <c r="W456" s="62"/>
    </row>
    <row r="457" spans="14:23" x14ac:dyDescent="0.3">
      <c r="N457" s="62"/>
      <c r="O457" s="62"/>
      <c r="P457" s="62"/>
      <c r="Q457" s="62"/>
      <c r="R457" s="62"/>
      <c r="S457" s="62"/>
      <c r="T457" s="62"/>
      <c r="V457" s="62"/>
      <c r="W457" s="62"/>
    </row>
    <row r="458" spans="14:23" x14ac:dyDescent="0.3">
      <c r="N458" s="62"/>
      <c r="O458" s="62"/>
      <c r="P458" s="62"/>
      <c r="Q458" s="62"/>
      <c r="R458" s="62"/>
      <c r="S458" s="62"/>
      <c r="T458" s="62"/>
      <c r="V458" s="62"/>
      <c r="W458" s="62"/>
    </row>
    <row r="459" spans="14:23" x14ac:dyDescent="0.3">
      <c r="N459" s="62"/>
      <c r="O459" s="62"/>
      <c r="P459" s="62"/>
      <c r="Q459" s="62"/>
      <c r="R459" s="62"/>
      <c r="S459" s="62"/>
      <c r="T459" s="62"/>
      <c r="V459" s="62"/>
      <c r="W459" s="62"/>
    </row>
    <row r="460" spans="14:23" x14ac:dyDescent="0.3">
      <c r="N460" s="62"/>
      <c r="O460" s="62"/>
      <c r="P460" s="62"/>
      <c r="Q460" s="62"/>
      <c r="R460" s="62"/>
      <c r="S460" s="62"/>
      <c r="T460" s="62"/>
      <c r="V460" s="62"/>
      <c r="W460" s="62"/>
    </row>
    <row r="461" spans="14:23" x14ac:dyDescent="0.3">
      <c r="N461" s="62"/>
      <c r="O461" s="62"/>
      <c r="P461" s="62"/>
      <c r="Q461" s="62"/>
      <c r="R461" s="62"/>
      <c r="S461" s="62"/>
      <c r="T461" s="62"/>
      <c r="V461" s="62"/>
      <c r="W461" s="62"/>
    </row>
    <row r="462" spans="14:23" x14ac:dyDescent="0.3">
      <c r="N462" s="62"/>
      <c r="O462" s="62"/>
      <c r="P462" s="62"/>
      <c r="Q462" s="62"/>
      <c r="R462" s="62"/>
      <c r="S462" s="62"/>
      <c r="T462" s="62"/>
      <c r="V462" s="62"/>
      <c r="W462" s="62"/>
    </row>
    <row r="463" spans="14:23" x14ac:dyDescent="0.3">
      <c r="N463" s="62"/>
      <c r="O463" s="62"/>
      <c r="P463" s="62"/>
      <c r="Q463" s="62"/>
      <c r="R463" s="62"/>
      <c r="S463" s="62"/>
      <c r="T463" s="62"/>
      <c r="V463" s="62"/>
      <c r="W463" s="62"/>
    </row>
    <row r="464" spans="14:23" x14ac:dyDescent="0.3">
      <c r="N464" s="62"/>
      <c r="O464" s="62"/>
      <c r="P464" s="62"/>
      <c r="Q464" s="62"/>
      <c r="R464" s="62"/>
      <c r="S464" s="62"/>
      <c r="T464" s="62"/>
      <c r="V464" s="62"/>
      <c r="W464" s="62"/>
    </row>
    <row r="465" spans="14:23" x14ac:dyDescent="0.3">
      <c r="N465" s="62"/>
      <c r="O465" s="62"/>
      <c r="P465" s="62"/>
      <c r="Q465" s="62"/>
      <c r="R465" s="62"/>
      <c r="S465" s="62"/>
      <c r="T465" s="62"/>
      <c r="V465" s="62"/>
      <c r="W465" s="62"/>
    </row>
    <row r="466" spans="14:23" x14ac:dyDescent="0.3">
      <c r="N466" s="62"/>
      <c r="O466" s="62"/>
      <c r="P466" s="62"/>
      <c r="Q466" s="62"/>
      <c r="R466" s="62"/>
      <c r="S466" s="62"/>
      <c r="T466" s="62"/>
      <c r="V466" s="62"/>
      <c r="W466" s="62"/>
    </row>
    <row r="467" spans="14:23" x14ac:dyDescent="0.3">
      <c r="N467" s="62"/>
      <c r="O467" s="62"/>
      <c r="P467" s="62"/>
      <c r="Q467" s="62"/>
      <c r="R467" s="62"/>
      <c r="S467" s="62"/>
      <c r="T467" s="62"/>
      <c r="V467" s="62"/>
      <c r="W467" s="62"/>
    </row>
    <row r="468" spans="14:23" x14ac:dyDescent="0.3">
      <c r="N468" s="62"/>
      <c r="O468" s="62"/>
      <c r="P468" s="62"/>
      <c r="Q468" s="62"/>
      <c r="R468" s="62"/>
      <c r="S468" s="62"/>
      <c r="T468" s="62"/>
      <c r="V468" s="62"/>
      <c r="W468" s="62"/>
    </row>
    <row r="469" spans="14:23" x14ac:dyDescent="0.3">
      <c r="N469" s="62"/>
      <c r="O469" s="62"/>
      <c r="P469" s="62"/>
      <c r="Q469" s="62"/>
      <c r="R469" s="62"/>
      <c r="S469" s="62"/>
      <c r="T469" s="62"/>
      <c r="V469" s="62"/>
      <c r="W469" s="62"/>
    </row>
    <row r="470" spans="14:23" x14ac:dyDescent="0.3">
      <c r="N470" s="62"/>
      <c r="O470" s="62"/>
      <c r="P470" s="62"/>
      <c r="Q470" s="62"/>
      <c r="R470" s="62"/>
      <c r="S470" s="62"/>
      <c r="T470" s="62"/>
      <c r="V470" s="62"/>
      <c r="W470" s="62"/>
    </row>
    <row r="471" spans="14:23" x14ac:dyDescent="0.3">
      <c r="N471" s="62"/>
      <c r="O471" s="62"/>
      <c r="P471" s="62"/>
      <c r="Q471" s="62"/>
      <c r="R471" s="62"/>
      <c r="S471" s="62"/>
      <c r="T471" s="62"/>
      <c r="V471" s="62"/>
      <c r="W471" s="62"/>
    </row>
    <row r="472" spans="14:23" x14ac:dyDescent="0.3">
      <c r="N472" s="62"/>
      <c r="O472" s="62"/>
      <c r="P472" s="62"/>
      <c r="Q472" s="62"/>
      <c r="R472" s="62"/>
      <c r="S472" s="62"/>
      <c r="T472" s="62"/>
      <c r="V472" s="62"/>
      <c r="W472" s="62"/>
    </row>
    <row r="473" spans="14:23" x14ac:dyDescent="0.3">
      <c r="N473" s="62"/>
      <c r="O473" s="62"/>
      <c r="P473" s="62"/>
      <c r="Q473" s="62"/>
      <c r="R473" s="62"/>
      <c r="S473" s="62"/>
      <c r="T473" s="62"/>
      <c r="V473" s="62"/>
      <c r="W473" s="62"/>
    </row>
    <row r="474" spans="14:23" x14ac:dyDescent="0.3">
      <c r="N474" s="62"/>
      <c r="O474" s="62"/>
      <c r="P474" s="62"/>
      <c r="Q474" s="62"/>
      <c r="R474" s="62"/>
      <c r="S474" s="62"/>
      <c r="T474" s="62"/>
      <c r="V474" s="62"/>
      <c r="W474" s="62"/>
    </row>
    <row r="475" spans="14:23" x14ac:dyDescent="0.3">
      <c r="N475" s="62"/>
      <c r="O475" s="62"/>
      <c r="P475" s="62"/>
      <c r="Q475" s="62"/>
      <c r="R475" s="62"/>
      <c r="S475" s="62"/>
      <c r="T475" s="62"/>
      <c r="V475" s="62"/>
      <c r="W475" s="62"/>
    </row>
    <row r="476" spans="14:23" x14ac:dyDescent="0.3">
      <c r="N476" s="62"/>
      <c r="O476" s="62"/>
      <c r="P476" s="62"/>
      <c r="Q476" s="62"/>
      <c r="R476" s="62"/>
      <c r="S476" s="62"/>
      <c r="T476" s="62"/>
      <c r="V476" s="62"/>
      <c r="W476" s="62"/>
    </row>
    <row r="477" spans="14:23" x14ac:dyDescent="0.3">
      <c r="N477" s="62"/>
      <c r="O477" s="62"/>
      <c r="P477" s="62"/>
      <c r="Q477" s="62"/>
      <c r="R477" s="62"/>
      <c r="S477" s="62"/>
      <c r="T477" s="62"/>
      <c r="V477" s="62"/>
      <c r="W477" s="62"/>
    </row>
    <row r="478" spans="14:23" x14ac:dyDescent="0.3">
      <c r="N478" s="62"/>
      <c r="O478" s="62"/>
      <c r="P478" s="62"/>
      <c r="Q478" s="62"/>
      <c r="R478" s="62"/>
      <c r="S478" s="62"/>
      <c r="T478" s="62"/>
      <c r="V478" s="62"/>
      <c r="W478" s="62"/>
    </row>
    <row r="479" spans="14:23" x14ac:dyDescent="0.3">
      <c r="N479" s="62"/>
      <c r="O479" s="62"/>
      <c r="P479" s="62"/>
      <c r="Q479" s="62"/>
      <c r="R479" s="62"/>
      <c r="S479" s="62"/>
      <c r="T479" s="62"/>
      <c r="V479" s="62"/>
      <c r="W479" s="62"/>
    </row>
    <row r="480" spans="14:23" x14ac:dyDescent="0.3">
      <c r="N480" s="62"/>
      <c r="O480" s="62"/>
      <c r="P480" s="62"/>
      <c r="Q480" s="62"/>
      <c r="R480" s="62"/>
      <c r="S480" s="62"/>
      <c r="T480" s="62"/>
      <c r="V480" s="62"/>
      <c r="W480" s="62"/>
    </row>
    <row r="481" spans="14:23" x14ac:dyDescent="0.3">
      <c r="N481" s="62"/>
      <c r="O481" s="62"/>
      <c r="P481" s="62"/>
      <c r="Q481" s="62"/>
      <c r="R481" s="62"/>
      <c r="S481" s="62"/>
      <c r="T481" s="62"/>
      <c r="V481" s="62"/>
      <c r="W481" s="62"/>
    </row>
    <row r="482" spans="14:23" x14ac:dyDescent="0.3">
      <c r="N482" s="62"/>
      <c r="O482" s="62"/>
      <c r="P482" s="62"/>
      <c r="Q482" s="62"/>
      <c r="R482" s="62"/>
      <c r="S482" s="62"/>
      <c r="T482" s="62"/>
      <c r="V482" s="62"/>
      <c r="W482" s="62"/>
    </row>
    <row r="483" spans="14:23" x14ac:dyDescent="0.3">
      <c r="N483" s="62"/>
      <c r="O483" s="62"/>
      <c r="P483" s="62"/>
      <c r="Q483" s="62"/>
      <c r="R483" s="62"/>
      <c r="S483" s="62"/>
      <c r="T483" s="62"/>
      <c r="V483" s="62"/>
      <c r="W483" s="62"/>
    </row>
    <row r="484" spans="14:23" x14ac:dyDescent="0.3">
      <c r="N484" s="62"/>
      <c r="O484" s="62"/>
      <c r="P484" s="62"/>
      <c r="Q484" s="62"/>
      <c r="R484" s="62"/>
      <c r="S484" s="62"/>
      <c r="T484" s="62"/>
      <c r="V484" s="62"/>
      <c r="W484" s="62"/>
    </row>
    <row r="485" spans="14:23" x14ac:dyDescent="0.3">
      <c r="N485" s="62"/>
      <c r="O485" s="62"/>
      <c r="P485" s="62"/>
      <c r="Q485" s="62"/>
      <c r="R485" s="62"/>
      <c r="S485" s="62"/>
      <c r="T485" s="62"/>
      <c r="V485" s="62"/>
      <c r="W485" s="62"/>
    </row>
    <row r="486" spans="14:23" x14ac:dyDescent="0.3">
      <c r="N486" s="62"/>
      <c r="O486" s="62"/>
      <c r="P486" s="62"/>
      <c r="Q486" s="62"/>
      <c r="R486" s="62"/>
      <c r="S486" s="62"/>
      <c r="T486" s="62"/>
      <c r="V486" s="62"/>
      <c r="W486" s="62"/>
    </row>
    <row r="487" spans="14:23" x14ac:dyDescent="0.3">
      <c r="N487" s="62"/>
      <c r="O487" s="62"/>
      <c r="P487" s="62"/>
      <c r="Q487" s="62"/>
      <c r="R487" s="62"/>
      <c r="S487" s="62"/>
      <c r="T487" s="62"/>
      <c r="V487" s="62"/>
      <c r="W487" s="62"/>
    </row>
    <row r="488" spans="14:23" x14ac:dyDescent="0.3">
      <c r="N488" s="62"/>
      <c r="O488" s="62"/>
      <c r="P488" s="62"/>
      <c r="Q488" s="62"/>
      <c r="R488" s="62"/>
      <c r="S488" s="62"/>
      <c r="T488" s="62"/>
      <c r="V488" s="62"/>
      <c r="W488" s="62"/>
    </row>
    <row r="489" spans="14:23" x14ac:dyDescent="0.3">
      <c r="N489" s="62"/>
      <c r="O489" s="62"/>
      <c r="P489" s="62"/>
      <c r="Q489" s="62"/>
      <c r="R489" s="62"/>
      <c r="S489" s="62"/>
      <c r="T489" s="62"/>
      <c r="V489" s="62"/>
      <c r="W489" s="62"/>
    </row>
    <row r="490" spans="14:23" x14ac:dyDescent="0.3">
      <c r="N490" s="62"/>
      <c r="O490" s="62"/>
      <c r="P490" s="62"/>
      <c r="Q490" s="62"/>
      <c r="R490" s="62"/>
      <c r="S490" s="62"/>
      <c r="T490" s="62"/>
      <c r="V490" s="62"/>
      <c r="W490" s="62"/>
    </row>
    <row r="491" spans="14:23" x14ac:dyDescent="0.3">
      <c r="N491" s="62"/>
      <c r="O491" s="62"/>
      <c r="P491" s="62"/>
      <c r="Q491" s="62"/>
      <c r="R491" s="62"/>
      <c r="S491" s="62"/>
      <c r="T491" s="62"/>
      <c r="V491" s="62"/>
      <c r="W491" s="62"/>
    </row>
    <row r="492" spans="14:23" x14ac:dyDescent="0.3">
      <c r="N492" s="62"/>
      <c r="O492" s="62"/>
      <c r="P492" s="62"/>
      <c r="Q492" s="62"/>
      <c r="R492" s="62"/>
      <c r="S492" s="62"/>
      <c r="T492" s="62"/>
      <c r="V492" s="62"/>
      <c r="W492" s="62"/>
    </row>
    <row r="493" spans="14:23" x14ac:dyDescent="0.3">
      <c r="N493" s="62"/>
      <c r="O493" s="62"/>
      <c r="P493" s="62"/>
      <c r="Q493" s="62"/>
      <c r="R493" s="62"/>
      <c r="S493" s="62"/>
      <c r="T493" s="62"/>
      <c r="V493" s="62"/>
      <c r="W493" s="62"/>
    </row>
    <row r="494" spans="14:23" x14ac:dyDescent="0.3">
      <c r="N494" s="62"/>
      <c r="O494" s="62"/>
      <c r="P494" s="62"/>
      <c r="Q494" s="62"/>
      <c r="R494" s="62"/>
      <c r="S494" s="62"/>
      <c r="T494" s="62"/>
      <c r="V494" s="62"/>
      <c r="W494" s="62"/>
    </row>
    <row r="495" spans="14:23" x14ac:dyDescent="0.3">
      <c r="N495" s="62"/>
      <c r="O495" s="62"/>
      <c r="P495" s="62"/>
      <c r="Q495" s="62"/>
      <c r="R495" s="62"/>
      <c r="S495" s="62"/>
      <c r="T495" s="62"/>
      <c r="V495" s="62"/>
      <c r="W495" s="62"/>
    </row>
    <row r="496" spans="14:23" x14ac:dyDescent="0.3">
      <c r="N496" s="62"/>
      <c r="O496" s="62"/>
      <c r="P496" s="62"/>
      <c r="Q496" s="62"/>
      <c r="R496" s="62"/>
      <c r="S496" s="62"/>
      <c r="T496" s="62"/>
      <c r="V496" s="62"/>
      <c r="W496" s="62"/>
    </row>
    <row r="497" spans="14:23" x14ac:dyDescent="0.3">
      <c r="N497" s="62"/>
      <c r="O497" s="62"/>
      <c r="P497" s="62"/>
      <c r="Q497" s="62"/>
      <c r="R497" s="62"/>
      <c r="S497" s="62"/>
      <c r="T497" s="62"/>
      <c r="V497" s="62"/>
      <c r="W497" s="62"/>
    </row>
    <row r="498" spans="14:23" x14ac:dyDescent="0.3">
      <c r="N498" s="62"/>
      <c r="O498" s="62"/>
      <c r="P498" s="62"/>
      <c r="Q498" s="62"/>
      <c r="R498" s="62"/>
      <c r="S498" s="62"/>
      <c r="T498" s="62"/>
      <c r="V498" s="62"/>
      <c r="W498" s="62"/>
    </row>
    <row r="499" spans="14:23" x14ac:dyDescent="0.3">
      <c r="N499" s="62"/>
      <c r="O499" s="62"/>
      <c r="P499" s="62"/>
      <c r="Q499" s="62"/>
      <c r="R499" s="62"/>
      <c r="S499" s="62"/>
      <c r="T499" s="62"/>
      <c r="V499" s="62"/>
      <c r="W499" s="62"/>
    </row>
    <row r="500" spans="14:23" x14ac:dyDescent="0.3">
      <c r="N500" s="62"/>
      <c r="O500" s="62"/>
      <c r="P500" s="62"/>
      <c r="Q500" s="62"/>
      <c r="R500" s="62"/>
      <c r="S500" s="62"/>
      <c r="T500" s="62"/>
      <c r="V500" s="62"/>
      <c r="W500" s="62"/>
    </row>
    <row r="501" spans="14:23" x14ac:dyDescent="0.3">
      <c r="N501" s="62"/>
      <c r="O501" s="62"/>
      <c r="P501" s="62"/>
      <c r="Q501" s="62"/>
      <c r="R501" s="62"/>
      <c r="S501" s="62"/>
      <c r="T501" s="62"/>
      <c r="V501" s="62"/>
      <c r="W501" s="62"/>
    </row>
    <row r="502" spans="14:23" x14ac:dyDescent="0.3">
      <c r="N502" s="62"/>
      <c r="O502" s="62"/>
      <c r="P502" s="62"/>
      <c r="Q502" s="62"/>
      <c r="R502" s="62"/>
      <c r="S502" s="62"/>
      <c r="T502" s="62"/>
      <c r="V502" s="62"/>
      <c r="W502" s="62"/>
    </row>
    <row r="503" spans="14:23" x14ac:dyDescent="0.3">
      <c r="N503" s="62"/>
      <c r="O503" s="62"/>
      <c r="P503" s="62"/>
      <c r="Q503" s="62"/>
      <c r="R503" s="62"/>
      <c r="S503" s="62"/>
      <c r="T503" s="62"/>
      <c r="V503" s="62"/>
      <c r="W503" s="62"/>
    </row>
    <row r="504" spans="14:23" x14ac:dyDescent="0.3">
      <c r="N504" s="62"/>
      <c r="O504" s="62"/>
      <c r="P504" s="62"/>
      <c r="Q504" s="62"/>
      <c r="R504" s="62"/>
      <c r="S504" s="62"/>
      <c r="T504" s="62"/>
      <c r="V504" s="62"/>
      <c r="W504" s="62"/>
    </row>
    <row r="505" spans="14:23" x14ac:dyDescent="0.3">
      <c r="N505" s="62"/>
      <c r="O505" s="62"/>
      <c r="P505" s="62"/>
      <c r="Q505" s="62"/>
      <c r="R505" s="62"/>
      <c r="S505" s="62"/>
      <c r="T505" s="62"/>
      <c r="V505" s="62"/>
      <c r="W505" s="62"/>
    </row>
    <row r="506" spans="14:23" x14ac:dyDescent="0.3">
      <c r="N506" s="62"/>
      <c r="O506" s="62"/>
      <c r="P506" s="62"/>
      <c r="Q506" s="62"/>
      <c r="R506" s="62"/>
      <c r="S506" s="62"/>
      <c r="T506" s="62"/>
      <c r="V506" s="62"/>
      <c r="W506" s="62"/>
    </row>
    <row r="507" spans="14:23" x14ac:dyDescent="0.3">
      <c r="N507" s="62"/>
      <c r="O507" s="62"/>
      <c r="P507" s="62"/>
      <c r="Q507" s="62"/>
      <c r="R507" s="62"/>
      <c r="S507" s="62"/>
      <c r="T507" s="62"/>
      <c r="V507" s="62"/>
      <c r="W507" s="62"/>
    </row>
    <row r="508" spans="14:23" x14ac:dyDescent="0.3">
      <c r="N508" s="62"/>
      <c r="O508" s="62"/>
      <c r="P508" s="62"/>
      <c r="Q508" s="62"/>
      <c r="R508" s="62"/>
      <c r="S508" s="62"/>
      <c r="T508" s="62"/>
      <c r="V508" s="62"/>
      <c r="W508" s="62"/>
    </row>
    <row r="509" spans="14:23" x14ac:dyDescent="0.3">
      <c r="N509" s="62"/>
      <c r="O509" s="62"/>
      <c r="P509" s="62"/>
      <c r="Q509" s="62"/>
      <c r="R509" s="62"/>
      <c r="S509" s="62"/>
      <c r="T509" s="62"/>
      <c r="V509" s="62"/>
      <c r="W509" s="62"/>
    </row>
    <row r="510" spans="14:23" x14ac:dyDescent="0.3">
      <c r="N510" s="62"/>
      <c r="O510" s="62"/>
      <c r="P510" s="62"/>
      <c r="Q510" s="62"/>
      <c r="R510" s="62"/>
      <c r="S510" s="62"/>
      <c r="T510" s="62"/>
      <c r="V510" s="62"/>
      <c r="W510" s="62"/>
    </row>
    <row r="511" spans="14:23" x14ac:dyDescent="0.3">
      <c r="N511" s="62"/>
      <c r="O511" s="62"/>
      <c r="P511" s="62"/>
      <c r="Q511" s="62"/>
      <c r="R511" s="62"/>
      <c r="S511" s="62"/>
      <c r="T511" s="62"/>
      <c r="V511" s="62"/>
      <c r="W511" s="62"/>
    </row>
    <row r="512" spans="14:23" x14ac:dyDescent="0.3">
      <c r="N512" s="62"/>
      <c r="O512" s="62"/>
      <c r="P512" s="62"/>
      <c r="Q512" s="62"/>
      <c r="R512" s="62"/>
      <c r="S512" s="62"/>
      <c r="T512" s="62"/>
      <c r="V512" s="62"/>
      <c r="W512" s="62"/>
    </row>
    <row r="513" spans="14:23" x14ac:dyDescent="0.3">
      <c r="N513" s="62"/>
      <c r="O513" s="62"/>
      <c r="P513" s="62"/>
      <c r="Q513" s="62"/>
      <c r="R513" s="62"/>
      <c r="S513" s="62"/>
      <c r="T513" s="62"/>
      <c r="V513" s="62"/>
      <c r="W513" s="62"/>
    </row>
    <row r="514" spans="14:23" x14ac:dyDescent="0.3">
      <c r="N514" s="62"/>
      <c r="O514" s="62"/>
      <c r="P514" s="62"/>
      <c r="Q514" s="62"/>
      <c r="R514" s="62"/>
      <c r="S514" s="62"/>
      <c r="T514" s="62"/>
      <c r="V514" s="62"/>
      <c r="W514" s="62"/>
    </row>
    <row r="515" spans="14:23" x14ac:dyDescent="0.3">
      <c r="N515" s="62"/>
      <c r="O515" s="62"/>
      <c r="P515" s="62"/>
      <c r="Q515" s="62"/>
      <c r="R515" s="62"/>
      <c r="S515" s="62"/>
      <c r="T515" s="62"/>
      <c r="V515" s="62"/>
      <c r="W515" s="62"/>
    </row>
    <row r="516" spans="14:23" x14ac:dyDescent="0.3">
      <c r="N516" s="62"/>
      <c r="O516" s="62"/>
      <c r="P516" s="62"/>
      <c r="Q516" s="62"/>
      <c r="R516" s="62"/>
      <c r="S516" s="62"/>
      <c r="T516" s="62"/>
      <c r="V516" s="62"/>
      <c r="W516" s="62"/>
    </row>
    <row r="517" spans="14:23" x14ac:dyDescent="0.3">
      <c r="N517" s="62"/>
      <c r="O517" s="62"/>
      <c r="P517" s="62"/>
      <c r="Q517" s="62"/>
      <c r="R517" s="62"/>
      <c r="S517" s="62"/>
      <c r="T517" s="62"/>
      <c r="V517" s="62"/>
      <c r="W517" s="62"/>
    </row>
    <row r="518" spans="14:23" x14ac:dyDescent="0.3">
      <c r="N518" s="62"/>
      <c r="O518" s="62"/>
      <c r="P518" s="62"/>
      <c r="Q518" s="62"/>
      <c r="R518" s="62"/>
      <c r="S518" s="62"/>
      <c r="T518" s="62"/>
      <c r="V518" s="62"/>
      <c r="W518" s="62"/>
    </row>
    <row r="519" spans="14:23" x14ac:dyDescent="0.3">
      <c r="N519" s="62"/>
      <c r="O519" s="62"/>
      <c r="P519" s="62"/>
      <c r="Q519" s="62"/>
      <c r="R519" s="62"/>
      <c r="S519" s="62"/>
      <c r="T519" s="62"/>
      <c r="V519" s="62"/>
      <c r="W519" s="62"/>
    </row>
    <row r="520" spans="14:23" x14ac:dyDescent="0.3">
      <c r="N520" s="62"/>
      <c r="O520" s="62"/>
      <c r="P520" s="62"/>
      <c r="Q520" s="62"/>
      <c r="R520" s="62"/>
      <c r="S520" s="62"/>
      <c r="T520" s="62"/>
      <c r="V520" s="62"/>
      <c r="W520" s="62"/>
    </row>
    <row r="521" spans="14:23" x14ac:dyDescent="0.3">
      <c r="N521" s="62"/>
      <c r="O521" s="62"/>
      <c r="P521" s="62"/>
      <c r="Q521" s="62"/>
      <c r="R521" s="62"/>
      <c r="S521" s="62"/>
      <c r="T521" s="62"/>
      <c r="V521" s="62"/>
      <c r="W521" s="62"/>
    </row>
    <row r="522" spans="14:23" x14ac:dyDescent="0.3">
      <c r="N522" s="62"/>
      <c r="O522" s="62"/>
      <c r="P522" s="62"/>
      <c r="Q522" s="62"/>
      <c r="R522" s="62"/>
      <c r="S522" s="62"/>
      <c r="T522" s="62"/>
      <c r="V522" s="62"/>
      <c r="W522" s="62"/>
    </row>
    <row r="523" spans="14:23" x14ac:dyDescent="0.3">
      <c r="N523" s="62"/>
      <c r="O523" s="62"/>
      <c r="P523" s="62"/>
      <c r="Q523" s="62"/>
      <c r="R523" s="62"/>
      <c r="S523" s="62"/>
      <c r="T523" s="62"/>
      <c r="V523" s="62"/>
      <c r="W523" s="62"/>
    </row>
    <row r="524" spans="14:23" x14ac:dyDescent="0.3">
      <c r="N524" s="62"/>
      <c r="O524" s="62"/>
      <c r="P524" s="62"/>
      <c r="Q524" s="62"/>
      <c r="R524" s="62"/>
      <c r="S524" s="62"/>
      <c r="T524" s="62"/>
      <c r="V524" s="62"/>
      <c r="W524" s="62"/>
    </row>
    <row r="525" spans="14:23" x14ac:dyDescent="0.3">
      <c r="N525" s="62"/>
      <c r="O525" s="62"/>
      <c r="P525" s="62"/>
      <c r="Q525" s="62"/>
      <c r="R525" s="62"/>
      <c r="S525" s="62"/>
      <c r="T525" s="62"/>
      <c r="V525" s="62"/>
      <c r="W525" s="62"/>
    </row>
    <row r="526" spans="14:23" x14ac:dyDescent="0.3">
      <c r="N526" s="62"/>
      <c r="O526" s="62"/>
      <c r="P526" s="62"/>
      <c r="Q526" s="62"/>
      <c r="R526" s="62"/>
      <c r="S526" s="62"/>
      <c r="T526" s="62"/>
      <c r="V526" s="62"/>
      <c r="W526" s="62"/>
    </row>
    <row r="527" spans="14:23" x14ac:dyDescent="0.3">
      <c r="N527" s="62"/>
      <c r="O527" s="62"/>
      <c r="P527" s="62"/>
      <c r="Q527" s="62"/>
      <c r="R527" s="62"/>
      <c r="S527" s="62"/>
      <c r="T527" s="62"/>
      <c r="V527" s="62"/>
      <c r="W527" s="62"/>
    </row>
    <row r="528" spans="14:23" x14ac:dyDescent="0.3">
      <c r="N528" s="62"/>
      <c r="O528" s="62"/>
      <c r="P528" s="62"/>
      <c r="Q528" s="62"/>
      <c r="R528" s="62"/>
      <c r="S528" s="62"/>
      <c r="T528" s="62"/>
      <c r="V528" s="62"/>
      <c r="W528" s="62"/>
    </row>
    <row r="529" spans="14:23" x14ac:dyDescent="0.3">
      <c r="N529" s="62"/>
      <c r="O529" s="62"/>
      <c r="P529" s="62"/>
      <c r="Q529" s="62"/>
      <c r="R529" s="62"/>
      <c r="S529" s="62"/>
      <c r="T529" s="62"/>
      <c r="V529" s="62"/>
      <c r="W529" s="62"/>
    </row>
    <row r="530" spans="14:23" x14ac:dyDescent="0.3">
      <c r="N530" s="62"/>
      <c r="O530" s="62"/>
      <c r="P530" s="62"/>
      <c r="Q530" s="62"/>
      <c r="R530" s="62"/>
      <c r="S530" s="62"/>
      <c r="T530" s="62"/>
      <c r="V530" s="62"/>
      <c r="W530" s="62"/>
    </row>
    <row r="531" spans="14:23" x14ac:dyDescent="0.3">
      <c r="N531" s="62"/>
      <c r="O531" s="62"/>
      <c r="P531" s="62"/>
      <c r="Q531" s="62"/>
      <c r="R531" s="62"/>
      <c r="S531" s="62"/>
      <c r="T531" s="62"/>
      <c r="V531" s="62"/>
      <c r="W531" s="62"/>
    </row>
    <row r="532" spans="14:23" x14ac:dyDescent="0.3">
      <c r="N532" s="62"/>
      <c r="O532" s="62"/>
      <c r="P532" s="62"/>
      <c r="Q532" s="62"/>
      <c r="R532" s="62"/>
      <c r="S532" s="62"/>
      <c r="T532" s="62"/>
      <c r="V532" s="62"/>
      <c r="W532" s="62"/>
    </row>
    <row r="533" spans="14:23" x14ac:dyDescent="0.3">
      <c r="N533" s="62"/>
      <c r="O533" s="62"/>
      <c r="P533" s="62"/>
      <c r="Q533" s="62"/>
      <c r="R533" s="62"/>
      <c r="S533" s="62"/>
      <c r="T533" s="62"/>
      <c r="V533" s="62"/>
      <c r="W533" s="62"/>
    </row>
    <row r="534" spans="14:23" x14ac:dyDescent="0.3">
      <c r="N534" s="62"/>
      <c r="O534" s="62"/>
      <c r="P534" s="62"/>
      <c r="Q534" s="62"/>
      <c r="R534" s="62"/>
      <c r="S534" s="62"/>
      <c r="T534" s="62"/>
      <c r="V534" s="62"/>
      <c r="W534" s="62"/>
    </row>
    <row r="535" spans="14:23" x14ac:dyDescent="0.3">
      <c r="N535" s="62"/>
      <c r="O535" s="62"/>
      <c r="P535" s="62"/>
      <c r="Q535" s="62"/>
      <c r="R535" s="62"/>
      <c r="S535" s="62"/>
      <c r="T535" s="62"/>
      <c r="V535" s="62"/>
      <c r="W535" s="62"/>
    </row>
    <row r="536" spans="14:23" x14ac:dyDescent="0.3">
      <c r="N536" s="62"/>
      <c r="O536" s="62"/>
      <c r="P536" s="62"/>
      <c r="Q536" s="62"/>
      <c r="R536" s="62"/>
      <c r="S536" s="62"/>
      <c r="T536" s="62"/>
      <c r="V536" s="62"/>
      <c r="W536" s="62"/>
    </row>
    <row r="537" spans="14:23" x14ac:dyDescent="0.3">
      <c r="N537" s="62"/>
      <c r="O537" s="62"/>
      <c r="P537" s="62"/>
      <c r="Q537" s="62"/>
      <c r="R537" s="62"/>
      <c r="S537" s="62"/>
      <c r="T537" s="62"/>
      <c r="V537" s="62"/>
      <c r="W537" s="62"/>
    </row>
    <row r="538" spans="14:23" x14ac:dyDescent="0.3">
      <c r="N538" s="62"/>
      <c r="O538" s="62"/>
      <c r="P538" s="62"/>
      <c r="Q538" s="62"/>
      <c r="R538" s="62"/>
      <c r="S538" s="62"/>
      <c r="T538" s="62"/>
      <c r="V538" s="62"/>
      <c r="W538" s="62"/>
    </row>
    <row r="539" spans="14:23" x14ac:dyDescent="0.3">
      <c r="N539" s="62"/>
      <c r="O539" s="62"/>
      <c r="P539" s="62"/>
      <c r="Q539" s="62"/>
      <c r="R539" s="62"/>
      <c r="S539" s="62"/>
      <c r="T539" s="62"/>
      <c r="V539" s="62"/>
      <c r="W539" s="62"/>
    </row>
    <row r="540" spans="14:23" x14ac:dyDescent="0.3">
      <c r="N540" s="62"/>
      <c r="O540" s="62"/>
      <c r="P540" s="62"/>
      <c r="Q540" s="62"/>
      <c r="R540" s="62"/>
      <c r="S540" s="62"/>
      <c r="T540" s="62"/>
      <c r="V540" s="62"/>
      <c r="W540" s="62"/>
    </row>
    <row r="541" spans="14:23" x14ac:dyDescent="0.3">
      <c r="N541" s="62"/>
      <c r="O541" s="62"/>
      <c r="P541" s="62"/>
      <c r="Q541" s="62"/>
      <c r="R541" s="62"/>
      <c r="S541" s="62"/>
      <c r="T541" s="62"/>
      <c r="V541" s="62"/>
      <c r="W541" s="62"/>
    </row>
    <row r="542" spans="14:23" x14ac:dyDescent="0.3">
      <c r="N542" s="62"/>
      <c r="O542" s="62"/>
      <c r="P542" s="62"/>
      <c r="Q542" s="62"/>
      <c r="R542" s="62"/>
      <c r="S542" s="62"/>
      <c r="T542" s="62"/>
      <c r="V542" s="62"/>
      <c r="W542" s="62"/>
    </row>
    <row r="543" spans="14:23" x14ac:dyDescent="0.3">
      <c r="N543" s="62"/>
      <c r="O543" s="62"/>
      <c r="P543" s="62"/>
      <c r="Q543" s="62"/>
      <c r="R543" s="62"/>
      <c r="S543" s="62"/>
      <c r="T543" s="62"/>
      <c r="V543" s="62"/>
      <c r="W543" s="62"/>
    </row>
    <row r="544" spans="14:23" x14ac:dyDescent="0.3">
      <c r="N544" s="62"/>
      <c r="O544" s="62"/>
      <c r="P544" s="62"/>
      <c r="Q544" s="62"/>
      <c r="R544" s="62"/>
      <c r="S544" s="62"/>
      <c r="T544" s="62"/>
      <c r="V544" s="62"/>
      <c r="W544" s="62"/>
    </row>
    <row r="545" spans="14:23" x14ac:dyDescent="0.3">
      <c r="N545" s="62"/>
      <c r="O545" s="62"/>
      <c r="P545" s="62"/>
      <c r="Q545" s="62"/>
      <c r="R545" s="62"/>
      <c r="S545" s="62"/>
      <c r="T545" s="62"/>
      <c r="V545" s="62"/>
      <c r="W545" s="62"/>
    </row>
    <row r="546" spans="14:23" x14ac:dyDescent="0.3">
      <c r="N546" s="62"/>
      <c r="O546" s="62"/>
      <c r="P546" s="62"/>
      <c r="Q546" s="62"/>
      <c r="R546" s="62"/>
      <c r="S546" s="62"/>
      <c r="T546" s="62"/>
      <c r="V546" s="62"/>
      <c r="W546" s="62"/>
    </row>
    <row r="547" spans="14:23" x14ac:dyDescent="0.3">
      <c r="N547" s="62"/>
      <c r="O547" s="62"/>
      <c r="P547" s="62"/>
      <c r="Q547" s="62"/>
      <c r="R547" s="62"/>
      <c r="S547" s="62"/>
      <c r="T547" s="62"/>
      <c r="V547" s="62"/>
      <c r="W547" s="62"/>
    </row>
    <row r="548" spans="14:23" x14ac:dyDescent="0.3">
      <c r="N548" s="62"/>
      <c r="O548" s="62"/>
      <c r="P548" s="62"/>
      <c r="Q548" s="62"/>
      <c r="R548" s="62"/>
      <c r="S548" s="62"/>
      <c r="T548" s="62"/>
      <c r="V548" s="62"/>
      <c r="W548" s="62"/>
    </row>
    <row r="549" spans="14:23" x14ac:dyDescent="0.3">
      <c r="N549" s="62"/>
      <c r="O549" s="62"/>
      <c r="P549" s="62"/>
      <c r="Q549" s="62"/>
      <c r="R549" s="62"/>
      <c r="S549" s="62"/>
      <c r="T549" s="62"/>
      <c r="V549" s="62"/>
      <c r="W549" s="62"/>
    </row>
    <row r="550" spans="14:23" x14ac:dyDescent="0.3">
      <c r="N550" s="62"/>
      <c r="O550" s="62"/>
      <c r="P550" s="62"/>
      <c r="Q550" s="62"/>
      <c r="R550" s="62"/>
      <c r="S550" s="62"/>
      <c r="T550" s="62"/>
      <c r="V550" s="62"/>
      <c r="W550" s="62"/>
    </row>
    <row r="551" spans="14:23" x14ac:dyDescent="0.3">
      <c r="N551" s="62"/>
      <c r="O551" s="62"/>
      <c r="P551" s="62"/>
      <c r="Q551" s="62"/>
      <c r="R551" s="62"/>
      <c r="S551" s="62"/>
      <c r="T551" s="62"/>
      <c r="V551" s="62"/>
      <c r="W551" s="62"/>
    </row>
    <row r="552" spans="14:23" x14ac:dyDescent="0.3">
      <c r="N552" s="62"/>
      <c r="O552" s="62"/>
      <c r="P552" s="62"/>
      <c r="Q552" s="62"/>
      <c r="R552" s="62"/>
      <c r="S552" s="62"/>
      <c r="T552" s="62"/>
      <c r="V552" s="62"/>
      <c r="W552" s="62"/>
    </row>
    <row r="553" spans="14:23" x14ac:dyDescent="0.3">
      <c r="N553" s="62"/>
      <c r="O553" s="62"/>
      <c r="P553" s="62"/>
      <c r="Q553" s="62"/>
      <c r="R553" s="62"/>
      <c r="S553" s="62"/>
      <c r="T553" s="62"/>
      <c r="V553" s="62"/>
      <c r="W553" s="62"/>
    </row>
    <row r="554" spans="14:23" x14ac:dyDescent="0.3">
      <c r="N554" s="62"/>
      <c r="O554" s="62"/>
      <c r="P554" s="62"/>
      <c r="Q554" s="62"/>
      <c r="R554" s="62"/>
      <c r="S554" s="62"/>
      <c r="T554" s="62"/>
      <c r="V554" s="62"/>
      <c r="W554" s="62"/>
    </row>
    <row r="555" spans="14:23" x14ac:dyDescent="0.3">
      <c r="N555" s="62"/>
      <c r="O555" s="62"/>
      <c r="P555" s="62"/>
      <c r="Q555" s="62"/>
      <c r="R555" s="62"/>
      <c r="S555" s="62"/>
      <c r="T555" s="62"/>
      <c r="V555" s="62"/>
      <c r="W555" s="62"/>
    </row>
    <row r="556" spans="14:23" x14ac:dyDescent="0.3">
      <c r="N556" s="62"/>
      <c r="O556" s="62"/>
      <c r="P556" s="62"/>
      <c r="Q556" s="62"/>
      <c r="R556" s="62"/>
      <c r="S556" s="62"/>
      <c r="T556" s="62"/>
      <c r="V556" s="62"/>
      <c r="W556" s="62"/>
    </row>
    <row r="557" spans="14:23" x14ac:dyDescent="0.3">
      <c r="N557" s="62"/>
      <c r="O557" s="62"/>
      <c r="P557" s="62"/>
      <c r="Q557" s="62"/>
      <c r="R557" s="62"/>
      <c r="S557" s="62"/>
      <c r="T557" s="62"/>
      <c r="V557" s="62"/>
      <c r="W557" s="62"/>
    </row>
    <row r="558" spans="14:23" x14ac:dyDescent="0.3">
      <c r="N558" s="62"/>
      <c r="O558" s="62"/>
      <c r="P558" s="62"/>
      <c r="Q558" s="62"/>
      <c r="R558" s="62"/>
      <c r="S558" s="62"/>
      <c r="T558" s="62"/>
      <c r="V558" s="62"/>
      <c r="W558" s="62"/>
    </row>
    <row r="559" spans="14:23" x14ac:dyDescent="0.3">
      <c r="N559" s="62"/>
      <c r="O559" s="62"/>
      <c r="P559" s="62"/>
      <c r="Q559" s="62"/>
      <c r="R559" s="62"/>
      <c r="S559" s="62"/>
      <c r="T559" s="62"/>
      <c r="V559" s="62"/>
      <c r="W559" s="62"/>
    </row>
    <row r="560" spans="14:23" x14ac:dyDescent="0.3">
      <c r="N560" s="62"/>
      <c r="O560" s="62"/>
      <c r="P560" s="62"/>
      <c r="Q560" s="62"/>
      <c r="R560" s="62"/>
      <c r="S560" s="62"/>
      <c r="T560" s="62"/>
      <c r="V560" s="62"/>
      <c r="W560" s="62"/>
    </row>
    <row r="561" spans="14:23" x14ac:dyDescent="0.3">
      <c r="N561" s="62"/>
      <c r="O561" s="62"/>
      <c r="P561" s="62"/>
      <c r="Q561" s="62"/>
      <c r="R561" s="62"/>
      <c r="S561" s="62"/>
      <c r="T561" s="62"/>
      <c r="V561" s="62"/>
      <c r="W561" s="62"/>
    </row>
    <row r="562" spans="14:23" x14ac:dyDescent="0.3">
      <c r="N562" s="62"/>
      <c r="O562" s="62"/>
      <c r="P562" s="62"/>
      <c r="Q562" s="62"/>
      <c r="R562" s="62"/>
      <c r="S562" s="62"/>
      <c r="T562" s="62"/>
      <c r="V562" s="62"/>
      <c r="W562" s="62"/>
    </row>
    <row r="563" spans="14:23" x14ac:dyDescent="0.3">
      <c r="N563" s="62"/>
      <c r="O563" s="62"/>
      <c r="P563" s="62"/>
      <c r="Q563" s="62"/>
      <c r="R563" s="62"/>
      <c r="S563" s="62"/>
      <c r="T563" s="62"/>
      <c r="V563" s="62"/>
      <c r="W563" s="62"/>
    </row>
    <row r="564" spans="14:23" x14ac:dyDescent="0.3">
      <c r="N564" s="62"/>
      <c r="O564" s="62"/>
      <c r="P564" s="62"/>
      <c r="Q564" s="62"/>
      <c r="R564" s="62"/>
      <c r="S564" s="62"/>
      <c r="T564" s="62"/>
      <c r="V564" s="62"/>
      <c r="W564" s="62"/>
    </row>
    <row r="565" spans="14:23" x14ac:dyDescent="0.3">
      <c r="N565" s="62"/>
      <c r="O565" s="62"/>
      <c r="P565" s="62"/>
      <c r="Q565" s="62"/>
      <c r="R565" s="62"/>
      <c r="S565" s="62"/>
      <c r="T565" s="62"/>
      <c r="V565" s="62"/>
      <c r="W565" s="62"/>
    </row>
    <row r="566" spans="14:23" x14ac:dyDescent="0.3">
      <c r="N566" s="62"/>
      <c r="O566" s="62"/>
      <c r="P566" s="62"/>
      <c r="Q566" s="62"/>
      <c r="R566" s="62"/>
      <c r="S566" s="62"/>
      <c r="T566" s="62"/>
      <c r="V566" s="62"/>
      <c r="W566" s="62"/>
    </row>
    <row r="567" spans="14:23" x14ac:dyDescent="0.3">
      <c r="N567" s="62"/>
      <c r="O567" s="62"/>
      <c r="P567" s="62"/>
      <c r="Q567" s="62"/>
      <c r="R567" s="62"/>
      <c r="S567" s="62"/>
      <c r="T567" s="62"/>
      <c r="V567" s="62"/>
      <c r="W567" s="62"/>
    </row>
    <row r="568" spans="14:23" x14ac:dyDescent="0.3">
      <c r="N568" s="62"/>
      <c r="O568" s="62"/>
      <c r="P568" s="62"/>
      <c r="Q568" s="62"/>
      <c r="R568" s="62"/>
      <c r="S568" s="62"/>
      <c r="T568" s="62"/>
      <c r="V568" s="62"/>
      <c r="W568" s="62"/>
    </row>
    <row r="569" spans="14:23" x14ac:dyDescent="0.3">
      <c r="N569" s="62"/>
      <c r="O569" s="62"/>
      <c r="P569" s="62"/>
      <c r="Q569" s="62"/>
      <c r="R569" s="62"/>
      <c r="S569" s="62"/>
      <c r="T569" s="62"/>
      <c r="V569" s="62"/>
      <c r="W569" s="62"/>
    </row>
    <row r="570" spans="14:23" x14ac:dyDescent="0.3">
      <c r="N570" s="62"/>
      <c r="O570" s="62"/>
      <c r="P570" s="62"/>
      <c r="Q570" s="62"/>
      <c r="R570" s="62"/>
      <c r="S570" s="62"/>
      <c r="T570" s="62"/>
      <c r="V570" s="62"/>
      <c r="W570" s="62"/>
    </row>
    <row r="571" spans="14:23" x14ac:dyDescent="0.3">
      <c r="N571" s="62"/>
      <c r="O571" s="62"/>
      <c r="P571" s="62"/>
      <c r="Q571" s="62"/>
      <c r="R571" s="62"/>
      <c r="S571" s="62"/>
      <c r="T571" s="62"/>
      <c r="V571" s="62"/>
      <c r="W571" s="62"/>
    </row>
    <row r="572" spans="14:23" x14ac:dyDescent="0.3">
      <c r="N572" s="62"/>
      <c r="O572" s="62"/>
      <c r="P572" s="62"/>
      <c r="Q572" s="62"/>
      <c r="R572" s="62"/>
      <c r="S572" s="62"/>
      <c r="T572" s="62"/>
      <c r="V572" s="62"/>
      <c r="W572" s="62"/>
    </row>
    <row r="573" spans="14:23" x14ac:dyDescent="0.3">
      <c r="N573" s="62"/>
      <c r="O573" s="62"/>
      <c r="P573" s="62"/>
      <c r="Q573" s="62"/>
      <c r="R573" s="62"/>
      <c r="S573" s="62"/>
      <c r="T573" s="62"/>
      <c r="V573" s="62"/>
      <c r="W573" s="62"/>
    </row>
    <row r="574" spans="14:23" x14ac:dyDescent="0.3">
      <c r="N574" s="62"/>
      <c r="O574" s="62"/>
      <c r="P574" s="62"/>
      <c r="Q574" s="62"/>
      <c r="R574" s="62"/>
      <c r="S574" s="62"/>
      <c r="T574" s="62"/>
      <c r="V574" s="62"/>
      <c r="W574" s="62"/>
    </row>
    <row r="575" spans="14:23" x14ac:dyDescent="0.3">
      <c r="N575" s="62"/>
      <c r="O575" s="62"/>
      <c r="P575" s="62"/>
      <c r="Q575" s="62"/>
      <c r="R575" s="62"/>
      <c r="S575" s="62"/>
      <c r="T575" s="62"/>
      <c r="V575" s="62"/>
      <c r="W575" s="62"/>
    </row>
    <row r="576" spans="14:23" x14ac:dyDescent="0.3">
      <c r="N576" s="62"/>
      <c r="O576" s="62"/>
      <c r="P576" s="62"/>
      <c r="Q576" s="62"/>
      <c r="R576" s="62"/>
      <c r="S576" s="62"/>
      <c r="T576" s="62"/>
      <c r="V576" s="62"/>
      <c r="W576" s="62"/>
    </row>
    <row r="577" spans="14:23" x14ac:dyDescent="0.3">
      <c r="N577" s="62"/>
      <c r="O577" s="62"/>
      <c r="P577" s="62"/>
      <c r="Q577" s="62"/>
      <c r="R577" s="62"/>
      <c r="S577" s="62"/>
      <c r="T577" s="62"/>
      <c r="V577" s="62"/>
      <c r="W577" s="62"/>
    </row>
    <row r="578" spans="14:23" x14ac:dyDescent="0.3">
      <c r="N578" s="62"/>
      <c r="O578" s="62"/>
      <c r="P578" s="62"/>
      <c r="Q578" s="62"/>
      <c r="R578" s="62"/>
      <c r="S578" s="62"/>
      <c r="T578" s="62"/>
      <c r="V578" s="62"/>
      <c r="W578" s="62"/>
    </row>
    <row r="579" spans="14:23" x14ac:dyDescent="0.3">
      <c r="N579" s="62"/>
      <c r="O579" s="62"/>
      <c r="P579" s="62"/>
      <c r="Q579" s="62"/>
      <c r="R579" s="62"/>
      <c r="S579" s="62"/>
      <c r="T579" s="62"/>
      <c r="V579" s="62"/>
      <c r="W579" s="62"/>
    </row>
    <row r="580" spans="14:23" x14ac:dyDescent="0.3">
      <c r="N580" s="62"/>
      <c r="O580" s="62"/>
      <c r="P580" s="62"/>
      <c r="Q580" s="62"/>
      <c r="R580" s="62"/>
      <c r="S580" s="62"/>
      <c r="T580" s="62"/>
      <c r="V580" s="62"/>
      <c r="W580" s="62"/>
    </row>
    <row r="581" spans="14:23" x14ac:dyDescent="0.3">
      <c r="N581" s="62"/>
      <c r="O581" s="62"/>
      <c r="P581" s="62"/>
      <c r="Q581" s="62"/>
      <c r="R581" s="62"/>
      <c r="S581" s="62"/>
      <c r="T581" s="62"/>
      <c r="V581" s="62"/>
      <c r="W581" s="62"/>
    </row>
    <row r="582" spans="14:23" x14ac:dyDescent="0.3">
      <c r="N582" s="62"/>
      <c r="O582" s="62"/>
      <c r="P582" s="62"/>
      <c r="Q582" s="62"/>
      <c r="R582" s="62"/>
      <c r="S582" s="62"/>
      <c r="T582" s="62"/>
      <c r="V582" s="62"/>
      <c r="W582" s="62"/>
    </row>
    <row r="583" spans="14:23" x14ac:dyDescent="0.3">
      <c r="N583" s="62"/>
      <c r="O583" s="62"/>
      <c r="P583" s="62"/>
      <c r="Q583" s="62"/>
      <c r="R583" s="62"/>
      <c r="S583" s="62"/>
      <c r="T583" s="62"/>
      <c r="V583" s="62"/>
      <c r="W583" s="62"/>
    </row>
    <row r="584" spans="14:23" x14ac:dyDescent="0.3">
      <c r="N584" s="62"/>
      <c r="O584" s="62"/>
      <c r="P584" s="62"/>
      <c r="Q584" s="62"/>
      <c r="R584" s="62"/>
      <c r="S584" s="62"/>
      <c r="T584" s="62"/>
      <c r="V584" s="62"/>
      <c r="W584" s="62"/>
    </row>
    <row r="585" spans="14:23" x14ac:dyDescent="0.3">
      <c r="N585" s="62"/>
      <c r="O585" s="62"/>
      <c r="P585" s="62"/>
      <c r="Q585" s="62"/>
      <c r="R585" s="62"/>
      <c r="S585" s="62"/>
      <c r="T585" s="62"/>
      <c r="V585" s="62"/>
      <c r="W585" s="62"/>
    </row>
    <row r="586" spans="14:23" x14ac:dyDescent="0.3">
      <c r="N586" s="62"/>
      <c r="O586" s="62"/>
      <c r="P586" s="62"/>
      <c r="Q586" s="62"/>
      <c r="R586" s="62"/>
      <c r="S586" s="62"/>
      <c r="T586" s="62"/>
      <c r="V586" s="62"/>
      <c r="W586" s="62"/>
    </row>
    <row r="587" spans="14:23" x14ac:dyDescent="0.3">
      <c r="N587" s="62"/>
      <c r="O587" s="62"/>
      <c r="P587" s="62"/>
      <c r="Q587" s="62"/>
      <c r="R587" s="62"/>
      <c r="S587" s="62"/>
      <c r="T587" s="62"/>
      <c r="V587" s="62"/>
      <c r="W587" s="62"/>
    </row>
    <row r="588" spans="14:23" x14ac:dyDescent="0.3">
      <c r="N588" s="62"/>
      <c r="O588" s="62"/>
      <c r="P588" s="62"/>
      <c r="Q588" s="62"/>
      <c r="R588" s="62"/>
      <c r="S588" s="62"/>
      <c r="T588" s="62"/>
      <c r="V588" s="62"/>
      <c r="W588" s="62"/>
    </row>
    <row r="589" spans="14:23" x14ac:dyDescent="0.3">
      <c r="N589" s="62"/>
      <c r="O589" s="62"/>
      <c r="P589" s="62"/>
      <c r="Q589" s="62"/>
      <c r="R589" s="62"/>
      <c r="S589" s="62"/>
      <c r="T589" s="62"/>
      <c r="V589" s="62"/>
      <c r="W589" s="62"/>
    </row>
    <row r="590" spans="14:23" x14ac:dyDescent="0.3">
      <c r="N590" s="62"/>
      <c r="O590" s="62"/>
      <c r="P590" s="62"/>
      <c r="Q590" s="62"/>
      <c r="R590" s="62"/>
      <c r="S590" s="62"/>
      <c r="T590" s="62"/>
      <c r="V590" s="62"/>
      <c r="W590" s="62"/>
    </row>
    <row r="591" spans="14:23" x14ac:dyDescent="0.3">
      <c r="N591" s="62"/>
      <c r="O591" s="62"/>
      <c r="P591" s="62"/>
      <c r="Q591" s="62"/>
      <c r="R591" s="62"/>
      <c r="S591" s="62"/>
      <c r="T591" s="62"/>
      <c r="V591" s="62"/>
      <c r="W591" s="62"/>
    </row>
    <row r="592" spans="14:23" x14ac:dyDescent="0.3">
      <c r="N592" s="62"/>
      <c r="O592" s="62"/>
      <c r="P592" s="62"/>
      <c r="Q592" s="62"/>
      <c r="R592" s="62"/>
      <c r="S592" s="62"/>
      <c r="T592" s="62"/>
      <c r="V592" s="62"/>
      <c r="W592" s="62"/>
    </row>
    <row r="593" spans="14:23" x14ac:dyDescent="0.3">
      <c r="N593" s="62"/>
      <c r="O593" s="62"/>
      <c r="P593" s="62"/>
      <c r="Q593" s="62"/>
      <c r="R593" s="62"/>
      <c r="S593" s="62"/>
      <c r="T593" s="62"/>
      <c r="V593" s="62"/>
      <c r="W593" s="62"/>
    </row>
    <row r="594" spans="14:23" x14ac:dyDescent="0.3">
      <c r="N594" s="62"/>
      <c r="O594" s="62"/>
      <c r="P594" s="62"/>
      <c r="Q594" s="62"/>
      <c r="R594" s="62"/>
      <c r="S594" s="62"/>
      <c r="T594" s="62"/>
      <c r="V594" s="62"/>
      <c r="W594" s="62"/>
    </row>
    <row r="595" spans="14:23" x14ac:dyDescent="0.3">
      <c r="N595" s="62"/>
      <c r="O595" s="62"/>
      <c r="P595" s="62"/>
      <c r="Q595" s="62"/>
      <c r="R595" s="62"/>
      <c r="S595" s="62"/>
      <c r="T595" s="62"/>
      <c r="V595" s="62"/>
      <c r="W595" s="62"/>
    </row>
    <row r="596" spans="14:23" x14ac:dyDescent="0.3">
      <c r="N596" s="62"/>
      <c r="O596" s="62"/>
      <c r="P596" s="62"/>
      <c r="Q596" s="62"/>
      <c r="R596" s="62"/>
      <c r="S596" s="62"/>
      <c r="T596" s="62"/>
      <c r="V596" s="62"/>
      <c r="W596" s="62"/>
    </row>
    <row r="597" spans="14:23" x14ac:dyDescent="0.3">
      <c r="N597" s="62"/>
      <c r="O597" s="62"/>
      <c r="P597" s="62"/>
      <c r="Q597" s="62"/>
      <c r="R597" s="62"/>
      <c r="S597" s="62"/>
      <c r="T597" s="62"/>
      <c r="V597" s="62"/>
      <c r="W597" s="62"/>
    </row>
    <row r="598" spans="14:23" x14ac:dyDescent="0.3">
      <c r="N598" s="62"/>
      <c r="O598" s="62"/>
      <c r="P598" s="62"/>
      <c r="Q598" s="62"/>
      <c r="R598" s="62"/>
      <c r="S598" s="62"/>
      <c r="T598" s="62"/>
      <c r="V598" s="62"/>
      <c r="W598" s="62"/>
    </row>
    <row r="599" spans="14:23" x14ac:dyDescent="0.3">
      <c r="N599" s="62"/>
      <c r="O599" s="62"/>
      <c r="P599" s="62"/>
      <c r="Q599" s="62"/>
      <c r="R599" s="62"/>
      <c r="S599" s="62"/>
      <c r="T599" s="62"/>
      <c r="V599" s="62"/>
      <c r="W599" s="62"/>
    </row>
    <row r="600" spans="14:23" x14ac:dyDescent="0.3">
      <c r="N600" s="62"/>
      <c r="O600" s="62"/>
      <c r="P600" s="62"/>
      <c r="Q600" s="62"/>
      <c r="R600" s="62"/>
      <c r="S600" s="62"/>
      <c r="T600" s="62"/>
      <c r="V600" s="62"/>
      <c r="W600" s="62"/>
    </row>
    <row r="601" spans="14:23" x14ac:dyDescent="0.3">
      <c r="N601" s="62"/>
      <c r="O601" s="62"/>
      <c r="P601" s="62"/>
      <c r="Q601" s="62"/>
      <c r="R601" s="62"/>
      <c r="S601" s="62"/>
      <c r="T601" s="62"/>
      <c r="V601" s="62"/>
      <c r="W601" s="62"/>
    </row>
    <row r="602" spans="14:23" x14ac:dyDescent="0.3">
      <c r="N602" s="62"/>
      <c r="O602" s="62"/>
      <c r="P602" s="62"/>
      <c r="Q602" s="62"/>
      <c r="R602" s="62"/>
      <c r="S602" s="62"/>
      <c r="T602" s="62"/>
      <c r="V602" s="62"/>
      <c r="W602" s="62"/>
    </row>
    <row r="603" spans="14:23" x14ac:dyDescent="0.3">
      <c r="N603" s="62"/>
      <c r="O603" s="62"/>
      <c r="P603" s="62"/>
      <c r="Q603" s="62"/>
      <c r="R603" s="62"/>
      <c r="S603" s="62"/>
      <c r="T603" s="62"/>
      <c r="V603" s="62"/>
      <c r="W603" s="62"/>
    </row>
    <row r="604" spans="14:23" x14ac:dyDescent="0.3">
      <c r="N604" s="62"/>
      <c r="O604" s="62"/>
      <c r="P604" s="62"/>
      <c r="Q604" s="62"/>
      <c r="R604" s="62"/>
      <c r="S604" s="62"/>
      <c r="T604" s="62"/>
      <c r="V604" s="62"/>
      <c r="W604" s="62"/>
    </row>
    <row r="605" spans="14:23" x14ac:dyDescent="0.3">
      <c r="N605" s="62"/>
      <c r="O605" s="62"/>
      <c r="P605" s="62"/>
      <c r="Q605" s="62"/>
      <c r="R605" s="62"/>
      <c r="S605" s="62"/>
      <c r="T605" s="62"/>
      <c r="V605" s="62"/>
      <c r="W605" s="62"/>
    </row>
    <row r="606" spans="14:23" x14ac:dyDescent="0.3">
      <c r="N606" s="62"/>
      <c r="O606" s="62"/>
      <c r="P606" s="62"/>
      <c r="Q606" s="62"/>
      <c r="R606" s="62"/>
      <c r="S606" s="62"/>
      <c r="T606" s="62"/>
      <c r="V606" s="62"/>
      <c r="W606" s="62"/>
    </row>
    <row r="607" spans="14:23" x14ac:dyDescent="0.3">
      <c r="N607" s="62"/>
      <c r="O607" s="62"/>
      <c r="P607" s="62"/>
      <c r="Q607" s="62"/>
      <c r="R607" s="62"/>
      <c r="S607" s="62"/>
      <c r="T607" s="62"/>
      <c r="V607" s="62"/>
      <c r="W607" s="62"/>
    </row>
    <row r="608" spans="14:23" x14ac:dyDescent="0.3">
      <c r="N608" s="62"/>
      <c r="O608" s="62"/>
      <c r="P608" s="62"/>
      <c r="Q608" s="62"/>
      <c r="R608" s="62"/>
      <c r="S608" s="62"/>
      <c r="T608" s="62"/>
      <c r="V608" s="62"/>
      <c r="W608" s="62"/>
    </row>
    <row r="609" spans="14:23" x14ac:dyDescent="0.3">
      <c r="N609" s="62"/>
      <c r="O609" s="62"/>
      <c r="P609" s="62"/>
      <c r="Q609" s="62"/>
      <c r="R609" s="62"/>
      <c r="S609" s="62"/>
      <c r="T609" s="62"/>
      <c r="V609" s="62"/>
      <c r="W609" s="62"/>
    </row>
    <row r="610" spans="14:23" x14ac:dyDescent="0.3">
      <c r="N610" s="62"/>
      <c r="O610" s="62"/>
      <c r="P610" s="62"/>
      <c r="Q610" s="62"/>
      <c r="R610" s="62"/>
      <c r="S610" s="62"/>
      <c r="T610" s="62"/>
      <c r="V610" s="62"/>
      <c r="W610" s="62"/>
    </row>
    <row r="611" spans="14:23" x14ac:dyDescent="0.3">
      <c r="N611" s="62"/>
      <c r="O611" s="62"/>
      <c r="P611" s="62"/>
      <c r="Q611" s="62"/>
      <c r="R611" s="62"/>
      <c r="S611" s="62"/>
      <c r="T611" s="62"/>
      <c r="V611" s="62"/>
      <c r="W611" s="62"/>
    </row>
    <row r="612" spans="14:23" x14ac:dyDescent="0.3">
      <c r="N612" s="62"/>
      <c r="O612" s="62"/>
      <c r="P612" s="62"/>
      <c r="Q612" s="62"/>
      <c r="R612" s="62"/>
      <c r="S612" s="62"/>
      <c r="T612" s="62"/>
      <c r="V612" s="62"/>
      <c r="W612" s="62"/>
    </row>
    <row r="613" spans="14:23" x14ac:dyDescent="0.3">
      <c r="N613" s="62"/>
      <c r="O613" s="62"/>
      <c r="P613" s="62"/>
      <c r="Q613" s="62"/>
      <c r="R613" s="62"/>
      <c r="S613" s="62"/>
      <c r="T613" s="62"/>
      <c r="V613" s="62"/>
      <c r="W613" s="62"/>
    </row>
    <row r="614" spans="14:23" x14ac:dyDescent="0.3">
      <c r="N614" s="62"/>
      <c r="O614" s="62"/>
      <c r="P614" s="62"/>
      <c r="Q614" s="62"/>
      <c r="R614" s="62"/>
      <c r="S614" s="62"/>
      <c r="T614" s="62"/>
      <c r="V614" s="62"/>
      <c r="W614" s="62"/>
    </row>
    <row r="615" spans="14:23" x14ac:dyDescent="0.3">
      <c r="N615" s="62"/>
      <c r="O615" s="62"/>
      <c r="P615" s="62"/>
      <c r="Q615" s="62"/>
      <c r="R615" s="62"/>
      <c r="S615" s="62"/>
      <c r="T615" s="62"/>
      <c r="V615" s="62"/>
      <c r="W615" s="62"/>
    </row>
    <row r="616" spans="14:23" x14ac:dyDescent="0.3">
      <c r="N616" s="62"/>
      <c r="O616" s="62"/>
      <c r="P616" s="62"/>
      <c r="Q616" s="62"/>
      <c r="R616" s="62"/>
      <c r="S616" s="62"/>
      <c r="T616" s="62"/>
      <c r="V616" s="62"/>
      <c r="W616" s="62"/>
    </row>
    <row r="617" spans="14:23" x14ac:dyDescent="0.3">
      <c r="N617" s="62"/>
      <c r="O617" s="62"/>
      <c r="P617" s="62"/>
      <c r="Q617" s="62"/>
      <c r="R617" s="62"/>
      <c r="S617" s="62"/>
      <c r="T617" s="62"/>
      <c r="V617" s="62"/>
      <c r="W617" s="62"/>
    </row>
    <row r="618" spans="14:23" x14ac:dyDescent="0.3">
      <c r="N618" s="62"/>
      <c r="O618" s="62"/>
      <c r="P618" s="62"/>
      <c r="Q618" s="62"/>
      <c r="R618" s="62"/>
      <c r="S618" s="62"/>
      <c r="T618" s="62"/>
      <c r="V618" s="62"/>
      <c r="W618" s="62"/>
    </row>
    <row r="619" spans="14:23" x14ac:dyDescent="0.3">
      <c r="N619" s="62"/>
      <c r="O619" s="62"/>
      <c r="P619" s="62"/>
      <c r="Q619" s="62"/>
      <c r="R619" s="62"/>
      <c r="S619" s="62"/>
      <c r="T619" s="62"/>
      <c r="V619" s="62"/>
      <c r="W619" s="62"/>
    </row>
    <row r="620" spans="14:23" x14ac:dyDescent="0.3">
      <c r="N620" s="62"/>
      <c r="O620" s="62"/>
      <c r="P620" s="62"/>
      <c r="Q620" s="62"/>
      <c r="R620" s="62"/>
      <c r="S620" s="62"/>
      <c r="T620" s="62"/>
      <c r="V620" s="62"/>
      <c r="W620" s="62"/>
    </row>
    <row r="621" spans="14:23" x14ac:dyDescent="0.3">
      <c r="N621" s="62"/>
      <c r="O621" s="62"/>
      <c r="P621" s="62"/>
      <c r="Q621" s="62"/>
      <c r="R621" s="62"/>
      <c r="S621" s="62"/>
      <c r="T621" s="62"/>
      <c r="V621" s="62"/>
      <c r="W621" s="62"/>
    </row>
    <row r="622" spans="14:23" x14ac:dyDescent="0.3">
      <c r="N622" s="62"/>
      <c r="O622" s="62"/>
      <c r="P622" s="62"/>
      <c r="Q622" s="62"/>
      <c r="R622" s="62"/>
      <c r="S622" s="62"/>
      <c r="T622" s="62"/>
      <c r="V622" s="62"/>
      <c r="W622" s="62"/>
    </row>
    <row r="623" spans="14:23" x14ac:dyDescent="0.3">
      <c r="N623" s="62"/>
      <c r="O623" s="62"/>
      <c r="P623" s="62"/>
      <c r="Q623" s="62"/>
      <c r="R623" s="62"/>
      <c r="S623" s="62"/>
      <c r="T623" s="62"/>
      <c r="V623" s="62"/>
      <c r="W623" s="62"/>
    </row>
    <row r="624" spans="14:23" x14ac:dyDescent="0.3">
      <c r="N624" s="62"/>
      <c r="O624" s="62"/>
      <c r="P624" s="62"/>
      <c r="Q624" s="62"/>
      <c r="R624" s="62"/>
      <c r="S624" s="62"/>
      <c r="T624" s="62"/>
      <c r="V624" s="62"/>
      <c r="W624" s="62"/>
    </row>
    <row r="625" spans="14:23" x14ac:dyDescent="0.3">
      <c r="N625" s="62"/>
      <c r="O625" s="62"/>
      <c r="P625" s="62"/>
      <c r="Q625" s="62"/>
      <c r="R625" s="62"/>
      <c r="S625" s="62"/>
      <c r="T625" s="62"/>
      <c r="V625" s="62"/>
      <c r="W625" s="62"/>
    </row>
    <row r="626" spans="14:23" x14ac:dyDescent="0.3">
      <c r="N626" s="62"/>
      <c r="O626" s="62"/>
      <c r="P626" s="62"/>
      <c r="Q626" s="62"/>
      <c r="R626" s="62"/>
      <c r="S626" s="62"/>
      <c r="T626" s="62"/>
      <c r="V626" s="62"/>
      <c r="W626" s="62"/>
    </row>
    <row r="627" spans="14:23" x14ac:dyDescent="0.3">
      <c r="N627" s="62"/>
      <c r="O627" s="62"/>
      <c r="P627" s="62"/>
      <c r="Q627" s="62"/>
      <c r="R627" s="62"/>
      <c r="S627" s="62"/>
      <c r="T627" s="62"/>
      <c r="V627" s="62"/>
      <c r="W627" s="62"/>
    </row>
    <row r="628" spans="14:23" x14ac:dyDescent="0.3">
      <c r="N628" s="62"/>
      <c r="O628" s="62"/>
      <c r="P628" s="62"/>
      <c r="Q628" s="62"/>
      <c r="R628" s="62"/>
      <c r="S628" s="62"/>
      <c r="T628" s="62"/>
      <c r="V628" s="62"/>
      <c r="W628" s="62"/>
    </row>
    <row r="629" spans="14:23" x14ac:dyDescent="0.3">
      <c r="N629" s="62"/>
      <c r="O629" s="62"/>
      <c r="P629" s="62"/>
      <c r="Q629" s="62"/>
      <c r="R629" s="62"/>
      <c r="S629" s="62"/>
      <c r="T629" s="62"/>
      <c r="V629" s="62"/>
      <c r="W629" s="62"/>
    </row>
    <row r="630" spans="14:23" x14ac:dyDescent="0.3">
      <c r="N630" s="62"/>
      <c r="O630" s="62"/>
      <c r="P630" s="62"/>
      <c r="Q630" s="62"/>
      <c r="R630" s="62"/>
      <c r="S630" s="62"/>
      <c r="T630" s="62"/>
      <c r="V630" s="62"/>
      <c r="W630" s="62"/>
    </row>
    <row r="631" spans="14:23" x14ac:dyDescent="0.3">
      <c r="N631" s="62"/>
      <c r="O631" s="62"/>
      <c r="P631" s="62"/>
      <c r="Q631" s="62"/>
      <c r="R631" s="62"/>
      <c r="S631" s="62"/>
      <c r="T631" s="62"/>
      <c r="V631" s="62"/>
      <c r="W631" s="62"/>
    </row>
    <row r="632" spans="14:23" x14ac:dyDescent="0.3">
      <c r="N632" s="62"/>
      <c r="O632" s="62"/>
      <c r="P632" s="62"/>
      <c r="Q632" s="62"/>
      <c r="R632" s="62"/>
      <c r="S632" s="62"/>
      <c r="T632" s="62"/>
      <c r="V632" s="62"/>
      <c r="W632" s="62"/>
    </row>
    <row r="633" spans="14:23" x14ac:dyDescent="0.3">
      <c r="N633" s="62"/>
      <c r="O633" s="62"/>
      <c r="P633" s="62"/>
      <c r="Q633" s="62"/>
      <c r="R633" s="62"/>
      <c r="S633" s="62"/>
      <c r="T633" s="62"/>
      <c r="V633" s="62"/>
      <c r="W633" s="62"/>
    </row>
    <row r="634" spans="14:23" x14ac:dyDescent="0.3">
      <c r="N634" s="62"/>
      <c r="O634" s="62"/>
      <c r="P634" s="62"/>
      <c r="Q634" s="62"/>
      <c r="R634" s="62"/>
      <c r="S634" s="62"/>
      <c r="T634" s="62"/>
      <c r="V634" s="62"/>
      <c r="W634" s="62"/>
    </row>
    <row r="635" spans="14:23" x14ac:dyDescent="0.3">
      <c r="N635" s="62"/>
      <c r="O635" s="62"/>
      <c r="P635" s="62"/>
      <c r="Q635" s="62"/>
      <c r="R635" s="62"/>
      <c r="S635" s="62"/>
      <c r="T635" s="62"/>
      <c r="V635" s="62"/>
      <c r="W635" s="62"/>
    </row>
    <row r="636" spans="14:23" x14ac:dyDescent="0.3">
      <c r="N636" s="62"/>
      <c r="O636" s="62"/>
      <c r="P636" s="62"/>
      <c r="Q636" s="62"/>
      <c r="R636" s="62"/>
      <c r="S636" s="62"/>
      <c r="T636" s="62"/>
      <c r="V636" s="62"/>
      <c r="W636" s="62"/>
    </row>
    <row r="637" spans="14:23" x14ac:dyDescent="0.3">
      <c r="N637" s="62"/>
      <c r="O637" s="62"/>
      <c r="P637" s="62"/>
      <c r="Q637" s="62"/>
      <c r="R637" s="62"/>
      <c r="S637" s="62"/>
      <c r="T637" s="62"/>
      <c r="V637" s="62"/>
      <c r="W637" s="62"/>
    </row>
    <row r="638" spans="14:23" x14ac:dyDescent="0.3">
      <c r="N638" s="62"/>
      <c r="O638" s="62"/>
      <c r="P638" s="62"/>
      <c r="Q638" s="62"/>
      <c r="R638" s="62"/>
      <c r="S638" s="62"/>
      <c r="T638" s="62"/>
      <c r="V638" s="62"/>
      <c r="W638" s="62"/>
    </row>
    <row r="639" spans="14:23" x14ac:dyDescent="0.3">
      <c r="N639" s="62"/>
      <c r="O639" s="62"/>
      <c r="P639" s="62"/>
      <c r="Q639" s="62"/>
      <c r="R639" s="62"/>
      <c r="S639" s="62"/>
      <c r="T639" s="62"/>
      <c r="V639" s="62"/>
      <c r="W639" s="62"/>
    </row>
    <row r="640" spans="14:23" x14ac:dyDescent="0.3">
      <c r="N640" s="62"/>
      <c r="O640" s="62"/>
      <c r="P640" s="62"/>
      <c r="Q640" s="62"/>
      <c r="R640" s="62"/>
      <c r="S640" s="62"/>
      <c r="T640" s="62"/>
      <c r="V640" s="62"/>
      <c r="W640" s="62"/>
    </row>
    <row r="641" spans="14:23" x14ac:dyDescent="0.3">
      <c r="N641" s="62"/>
      <c r="O641" s="62"/>
      <c r="P641" s="62"/>
      <c r="Q641" s="62"/>
      <c r="R641" s="62"/>
      <c r="S641" s="62"/>
      <c r="T641" s="62"/>
      <c r="V641" s="62"/>
      <c r="W641" s="62"/>
    </row>
    <row r="642" spans="14:23" x14ac:dyDescent="0.3">
      <c r="N642" s="62"/>
      <c r="O642" s="62"/>
      <c r="P642" s="62"/>
      <c r="Q642" s="62"/>
      <c r="R642" s="62"/>
      <c r="S642" s="62"/>
      <c r="T642" s="62"/>
      <c r="V642" s="62"/>
      <c r="W642" s="62"/>
    </row>
    <row r="643" spans="14:23" x14ac:dyDescent="0.3">
      <c r="N643" s="62"/>
      <c r="O643" s="62"/>
      <c r="P643" s="62"/>
      <c r="Q643" s="62"/>
      <c r="R643" s="62"/>
      <c r="S643" s="62"/>
      <c r="T643" s="62"/>
      <c r="V643" s="62"/>
      <c r="W643" s="62"/>
    </row>
    <row r="644" spans="14:23" x14ac:dyDescent="0.3">
      <c r="N644" s="62"/>
      <c r="O644" s="62"/>
      <c r="P644" s="62"/>
      <c r="Q644" s="62"/>
      <c r="R644" s="62"/>
      <c r="S644" s="62"/>
      <c r="T644" s="62"/>
      <c r="V644" s="62"/>
      <c r="W644" s="62"/>
    </row>
    <row r="645" spans="14:23" x14ac:dyDescent="0.3">
      <c r="N645" s="62"/>
      <c r="O645" s="62"/>
      <c r="P645" s="62"/>
      <c r="Q645" s="62"/>
      <c r="R645" s="62"/>
      <c r="S645" s="62"/>
      <c r="T645" s="62"/>
      <c r="V645" s="62"/>
      <c r="W645" s="62"/>
    </row>
    <row r="646" spans="14:23" x14ac:dyDescent="0.3">
      <c r="N646" s="62"/>
      <c r="O646" s="62"/>
      <c r="P646" s="62"/>
      <c r="Q646" s="62"/>
      <c r="R646" s="62"/>
      <c r="S646" s="62"/>
      <c r="T646" s="62"/>
      <c r="V646" s="62"/>
      <c r="W646" s="62"/>
    </row>
    <row r="647" spans="14:23" x14ac:dyDescent="0.3">
      <c r="N647" s="62"/>
      <c r="O647" s="62"/>
      <c r="P647" s="62"/>
      <c r="Q647" s="62"/>
      <c r="R647" s="62"/>
      <c r="S647" s="62"/>
      <c r="T647" s="62"/>
      <c r="V647" s="62"/>
      <c r="W647" s="62"/>
    </row>
    <row r="648" spans="14:23" x14ac:dyDescent="0.3">
      <c r="N648" s="62"/>
      <c r="O648" s="62"/>
      <c r="P648" s="62"/>
      <c r="Q648" s="62"/>
      <c r="R648" s="62"/>
      <c r="S648" s="62"/>
      <c r="T648" s="62"/>
      <c r="V648" s="62"/>
      <c r="W648" s="62"/>
    </row>
    <row r="649" spans="14:23" x14ac:dyDescent="0.3">
      <c r="N649" s="62"/>
      <c r="O649" s="62"/>
      <c r="P649" s="62"/>
      <c r="Q649" s="62"/>
      <c r="R649" s="62"/>
      <c r="S649" s="62"/>
      <c r="T649" s="62"/>
      <c r="V649" s="62"/>
      <c r="W649" s="62"/>
    </row>
    <row r="650" spans="14:23" x14ac:dyDescent="0.3">
      <c r="N650" s="62"/>
      <c r="O650" s="62"/>
      <c r="P650" s="62"/>
      <c r="Q650" s="62"/>
      <c r="R650" s="62"/>
      <c r="S650" s="62"/>
      <c r="T650" s="62"/>
      <c r="V650" s="62"/>
      <c r="W650" s="62"/>
    </row>
    <row r="651" spans="14:23" x14ac:dyDescent="0.3">
      <c r="N651" s="62"/>
      <c r="O651" s="62"/>
      <c r="P651" s="62"/>
      <c r="Q651" s="62"/>
      <c r="R651" s="62"/>
      <c r="S651" s="62"/>
      <c r="T651" s="62"/>
      <c r="V651" s="62"/>
      <c r="W651" s="62"/>
    </row>
    <row r="652" spans="14:23" x14ac:dyDescent="0.3">
      <c r="N652" s="62"/>
      <c r="O652" s="62"/>
      <c r="P652" s="62"/>
      <c r="Q652" s="62"/>
      <c r="R652" s="62"/>
      <c r="S652" s="62"/>
      <c r="T652" s="62"/>
      <c r="V652" s="62"/>
      <c r="W652" s="62"/>
    </row>
    <row r="653" spans="14:23" x14ac:dyDescent="0.3">
      <c r="N653" s="62"/>
      <c r="O653" s="62"/>
      <c r="P653" s="62"/>
      <c r="Q653" s="62"/>
      <c r="R653" s="62"/>
      <c r="S653" s="62"/>
      <c r="T653" s="62"/>
      <c r="V653" s="62"/>
      <c r="W653" s="62"/>
    </row>
    <row r="654" spans="14:23" x14ac:dyDescent="0.3">
      <c r="N654" s="62"/>
      <c r="O654" s="62"/>
      <c r="P654" s="62"/>
      <c r="Q654" s="62"/>
      <c r="R654" s="62"/>
      <c r="S654" s="62"/>
      <c r="T654" s="62"/>
      <c r="V654" s="62"/>
      <c r="W654" s="62"/>
    </row>
    <row r="655" spans="14:23" x14ac:dyDescent="0.3">
      <c r="N655" s="62"/>
      <c r="O655" s="62"/>
      <c r="P655" s="62"/>
      <c r="Q655" s="62"/>
      <c r="R655" s="62"/>
      <c r="S655" s="62"/>
      <c r="T655" s="62"/>
      <c r="V655" s="62"/>
      <c r="W655" s="62"/>
    </row>
    <row r="656" spans="14:23" x14ac:dyDescent="0.3">
      <c r="N656" s="62"/>
      <c r="O656" s="62"/>
      <c r="P656" s="62"/>
      <c r="Q656" s="62"/>
      <c r="R656" s="62"/>
      <c r="S656" s="62"/>
      <c r="T656" s="62"/>
      <c r="V656" s="62"/>
      <c r="W656" s="62"/>
    </row>
    <row r="657" spans="14:23" x14ac:dyDescent="0.3">
      <c r="N657" s="62"/>
      <c r="O657" s="62"/>
      <c r="P657" s="62"/>
      <c r="Q657" s="62"/>
      <c r="R657" s="62"/>
      <c r="S657" s="62"/>
      <c r="T657" s="62"/>
      <c r="V657" s="62"/>
      <c r="W657" s="62"/>
    </row>
    <row r="658" spans="14:23" x14ac:dyDescent="0.3">
      <c r="N658" s="62"/>
      <c r="O658" s="62"/>
      <c r="P658" s="62"/>
      <c r="Q658" s="62"/>
      <c r="R658" s="62"/>
      <c r="S658" s="62"/>
      <c r="T658" s="62"/>
      <c r="V658" s="62"/>
      <c r="W658" s="62"/>
    </row>
    <row r="659" spans="14:23" x14ac:dyDescent="0.3">
      <c r="N659" s="62"/>
      <c r="O659" s="62"/>
      <c r="P659" s="62"/>
      <c r="Q659" s="62"/>
      <c r="R659" s="62"/>
      <c r="S659" s="62"/>
      <c r="T659" s="62"/>
      <c r="V659" s="62"/>
      <c r="W659" s="62"/>
    </row>
    <row r="660" spans="14:23" x14ac:dyDescent="0.3">
      <c r="N660" s="62"/>
      <c r="O660" s="62"/>
      <c r="P660" s="62"/>
      <c r="Q660" s="62"/>
      <c r="R660" s="62"/>
      <c r="S660" s="62"/>
      <c r="T660" s="62"/>
      <c r="V660" s="62"/>
      <c r="W660" s="62"/>
    </row>
    <row r="661" spans="14:23" x14ac:dyDescent="0.3">
      <c r="N661" s="62"/>
      <c r="O661" s="62"/>
      <c r="P661" s="62"/>
      <c r="Q661" s="62"/>
      <c r="R661" s="62"/>
      <c r="S661" s="62"/>
      <c r="T661" s="62"/>
      <c r="V661" s="62"/>
      <c r="W661" s="62"/>
    </row>
    <row r="662" spans="14:23" x14ac:dyDescent="0.3">
      <c r="N662" s="62"/>
      <c r="O662" s="62"/>
      <c r="P662" s="62"/>
      <c r="Q662" s="62"/>
      <c r="R662" s="62"/>
      <c r="S662" s="62"/>
      <c r="T662" s="62"/>
      <c r="V662" s="62"/>
      <c r="W662" s="62"/>
    </row>
    <row r="663" spans="14:23" x14ac:dyDescent="0.3">
      <c r="N663" s="62"/>
      <c r="O663" s="62"/>
      <c r="P663" s="62"/>
      <c r="Q663" s="62"/>
      <c r="R663" s="62"/>
      <c r="S663" s="62"/>
      <c r="T663" s="62"/>
      <c r="V663" s="62"/>
      <c r="W663" s="62"/>
    </row>
    <row r="664" spans="14:23" x14ac:dyDescent="0.3">
      <c r="N664" s="62"/>
      <c r="O664" s="62"/>
      <c r="P664" s="62"/>
      <c r="Q664" s="62"/>
      <c r="R664" s="62"/>
      <c r="S664" s="62"/>
      <c r="T664" s="62"/>
      <c r="V664" s="62"/>
      <c r="W664" s="62"/>
    </row>
    <row r="665" spans="14:23" x14ac:dyDescent="0.3">
      <c r="N665" s="62"/>
      <c r="O665" s="62"/>
      <c r="P665" s="62"/>
      <c r="Q665" s="62"/>
      <c r="R665" s="62"/>
      <c r="S665" s="62"/>
      <c r="T665" s="62"/>
      <c r="V665" s="62"/>
      <c r="W665" s="62"/>
    </row>
    <row r="666" spans="14:23" x14ac:dyDescent="0.3">
      <c r="N666" s="62"/>
      <c r="O666" s="62"/>
      <c r="P666" s="62"/>
      <c r="Q666" s="62"/>
      <c r="R666" s="62"/>
      <c r="S666" s="62"/>
      <c r="T666" s="62"/>
      <c r="V666" s="62"/>
      <c r="W666" s="62"/>
    </row>
    <row r="667" spans="14:23" x14ac:dyDescent="0.3">
      <c r="N667" s="62"/>
      <c r="O667" s="62"/>
      <c r="P667" s="62"/>
      <c r="Q667" s="62"/>
      <c r="R667" s="62"/>
      <c r="S667" s="62"/>
      <c r="T667" s="62"/>
      <c r="V667" s="62"/>
      <c r="W667" s="62"/>
    </row>
    <row r="668" spans="14:23" x14ac:dyDescent="0.3">
      <c r="N668" s="62"/>
      <c r="O668" s="62"/>
      <c r="P668" s="62"/>
      <c r="Q668" s="62"/>
      <c r="R668" s="62"/>
      <c r="S668" s="62"/>
      <c r="T668" s="62"/>
      <c r="V668" s="62"/>
      <c r="W668" s="62"/>
    </row>
    <row r="669" spans="14:23" x14ac:dyDescent="0.3">
      <c r="N669" s="62"/>
      <c r="O669" s="62"/>
      <c r="P669" s="62"/>
      <c r="Q669" s="62"/>
      <c r="R669" s="62"/>
      <c r="S669" s="62"/>
      <c r="T669" s="62"/>
      <c r="V669" s="62"/>
      <c r="W669" s="62"/>
    </row>
    <row r="670" spans="14:23" x14ac:dyDescent="0.3">
      <c r="N670" s="62"/>
      <c r="O670" s="62"/>
      <c r="P670" s="62"/>
      <c r="Q670" s="62"/>
      <c r="R670" s="62"/>
      <c r="S670" s="62"/>
      <c r="T670" s="62"/>
      <c r="V670" s="62"/>
      <c r="W670" s="62"/>
    </row>
    <row r="671" spans="14:23" x14ac:dyDescent="0.3">
      <c r="N671" s="62"/>
      <c r="O671" s="62"/>
      <c r="P671" s="62"/>
      <c r="Q671" s="62"/>
      <c r="R671" s="62"/>
      <c r="S671" s="62"/>
      <c r="T671" s="62"/>
      <c r="V671" s="62"/>
      <c r="W671" s="62"/>
    </row>
    <row r="672" spans="14:23" x14ac:dyDescent="0.3">
      <c r="N672" s="62"/>
      <c r="O672" s="62"/>
      <c r="P672" s="62"/>
      <c r="Q672" s="62"/>
      <c r="R672" s="62"/>
      <c r="S672" s="62"/>
      <c r="T672" s="62"/>
      <c r="V672" s="62"/>
      <c r="W672" s="62"/>
    </row>
    <row r="673" spans="14:23" x14ac:dyDescent="0.3">
      <c r="N673" s="62"/>
      <c r="O673" s="62"/>
      <c r="P673" s="62"/>
      <c r="Q673" s="62"/>
      <c r="R673" s="62"/>
      <c r="S673" s="62"/>
      <c r="T673" s="62"/>
      <c r="V673" s="62"/>
      <c r="W673" s="62"/>
    </row>
    <row r="674" spans="14:23" x14ac:dyDescent="0.3">
      <c r="N674" s="62"/>
      <c r="O674" s="62"/>
      <c r="P674" s="62"/>
      <c r="Q674" s="62"/>
      <c r="R674" s="62"/>
      <c r="S674" s="62"/>
      <c r="T674" s="62"/>
      <c r="V674" s="62"/>
      <c r="W674" s="62"/>
    </row>
    <row r="675" spans="14:23" x14ac:dyDescent="0.3">
      <c r="N675" s="62"/>
      <c r="O675" s="62"/>
      <c r="P675" s="62"/>
      <c r="Q675" s="62"/>
      <c r="R675" s="62"/>
      <c r="S675" s="62"/>
      <c r="T675" s="62"/>
      <c r="V675" s="62"/>
      <c r="W675" s="62"/>
    </row>
    <row r="676" spans="14:23" x14ac:dyDescent="0.3">
      <c r="N676" s="62"/>
      <c r="O676" s="62"/>
      <c r="P676" s="62"/>
      <c r="Q676" s="62"/>
      <c r="R676" s="62"/>
      <c r="S676" s="62"/>
      <c r="T676" s="62"/>
      <c r="V676" s="62"/>
      <c r="W676" s="62"/>
    </row>
    <row r="677" spans="14:23" x14ac:dyDescent="0.3">
      <c r="N677" s="62"/>
      <c r="O677" s="62"/>
      <c r="P677" s="62"/>
      <c r="Q677" s="62"/>
      <c r="R677" s="62"/>
      <c r="S677" s="62"/>
      <c r="T677" s="62"/>
      <c r="V677" s="62"/>
      <c r="W677" s="62"/>
    </row>
    <row r="678" spans="14:23" x14ac:dyDescent="0.3">
      <c r="N678" s="62"/>
      <c r="O678" s="62"/>
      <c r="P678" s="62"/>
      <c r="Q678" s="62"/>
      <c r="R678" s="62"/>
      <c r="S678" s="62"/>
      <c r="T678" s="62"/>
      <c r="V678" s="62"/>
      <c r="W678" s="62"/>
    </row>
    <row r="679" spans="14:23" x14ac:dyDescent="0.3">
      <c r="N679" s="62"/>
      <c r="O679" s="62"/>
      <c r="P679" s="62"/>
      <c r="Q679" s="62"/>
      <c r="R679" s="62"/>
      <c r="S679" s="62"/>
      <c r="T679" s="62"/>
      <c r="V679" s="62"/>
      <c r="W679" s="62"/>
    </row>
    <row r="680" spans="14:23" x14ac:dyDescent="0.3">
      <c r="N680" s="62"/>
      <c r="O680" s="62"/>
      <c r="P680" s="62"/>
      <c r="Q680" s="62"/>
      <c r="R680" s="62"/>
      <c r="S680" s="62"/>
      <c r="T680" s="62"/>
      <c r="V680" s="62"/>
      <c r="W680" s="62"/>
    </row>
    <row r="681" spans="14:23" x14ac:dyDescent="0.3">
      <c r="N681" s="62"/>
      <c r="O681" s="62"/>
      <c r="P681" s="62"/>
      <c r="Q681" s="62"/>
      <c r="R681" s="62"/>
      <c r="S681" s="62"/>
      <c r="T681" s="62"/>
      <c r="V681" s="62"/>
      <c r="W681" s="62"/>
    </row>
    <row r="682" spans="14:23" x14ac:dyDescent="0.3">
      <c r="N682" s="62"/>
      <c r="O682" s="62"/>
      <c r="P682" s="62"/>
      <c r="Q682" s="62"/>
      <c r="R682" s="62"/>
      <c r="S682" s="62"/>
      <c r="T682" s="62"/>
      <c r="V682" s="62"/>
      <c r="W682" s="62"/>
    </row>
    <row r="683" spans="14:23" x14ac:dyDescent="0.3">
      <c r="N683" s="62"/>
      <c r="O683" s="62"/>
      <c r="P683" s="62"/>
      <c r="Q683" s="62"/>
      <c r="R683" s="62"/>
      <c r="S683" s="62"/>
      <c r="T683" s="62"/>
      <c r="V683" s="62"/>
      <c r="W683" s="62"/>
    </row>
    <row r="684" spans="14:23" x14ac:dyDescent="0.3">
      <c r="N684" s="62"/>
      <c r="O684" s="62"/>
      <c r="P684" s="62"/>
      <c r="Q684" s="62"/>
      <c r="R684" s="62"/>
      <c r="S684" s="62"/>
      <c r="T684" s="62"/>
      <c r="V684" s="62"/>
      <c r="W684" s="62"/>
    </row>
    <row r="685" spans="14:23" x14ac:dyDescent="0.3">
      <c r="N685" s="62"/>
      <c r="O685" s="62"/>
      <c r="P685" s="62"/>
      <c r="Q685" s="62"/>
      <c r="R685" s="62"/>
      <c r="S685" s="62"/>
      <c r="T685" s="62"/>
      <c r="V685" s="62"/>
      <c r="W685" s="62"/>
    </row>
    <row r="686" spans="14:23" x14ac:dyDescent="0.3">
      <c r="N686" s="62"/>
      <c r="O686" s="62"/>
      <c r="P686" s="62"/>
      <c r="Q686" s="62"/>
      <c r="R686" s="62"/>
      <c r="S686" s="62"/>
      <c r="T686" s="62"/>
      <c r="V686" s="62"/>
      <c r="W686" s="62"/>
    </row>
    <row r="687" spans="14:23" x14ac:dyDescent="0.3">
      <c r="N687" s="62"/>
      <c r="O687" s="62"/>
      <c r="P687" s="62"/>
      <c r="Q687" s="62"/>
      <c r="R687" s="62"/>
      <c r="S687" s="62"/>
      <c r="T687" s="62"/>
      <c r="V687" s="62"/>
      <c r="W687" s="62"/>
    </row>
    <row r="688" spans="14:23" x14ac:dyDescent="0.3">
      <c r="N688" s="62"/>
      <c r="O688" s="62"/>
      <c r="P688" s="62"/>
      <c r="Q688" s="62"/>
      <c r="R688" s="62"/>
      <c r="S688" s="62"/>
      <c r="T688" s="62"/>
      <c r="V688" s="62"/>
      <c r="W688" s="62"/>
    </row>
    <row r="689" spans="14:23" x14ac:dyDescent="0.3">
      <c r="N689" s="62"/>
      <c r="O689" s="62"/>
      <c r="P689" s="62"/>
      <c r="Q689" s="62"/>
      <c r="R689" s="62"/>
      <c r="S689" s="62"/>
      <c r="T689" s="62"/>
      <c r="V689" s="62"/>
      <c r="W689" s="62"/>
    </row>
    <row r="690" spans="14:23" x14ac:dyDescent="0.3">
      <c r="N690" s="62"/>
      <c r="O690" s="62"/>
      <c r="P690" s="62"/>
      <c r="Q690" s="62"/>
      <c r="R690" s="62"/>
      <c r="S690" s="62"/>
      <c r="T690" s="62"/>
      <c r="V690" s="62"/>
      <c r="W690" s="62"/>
    </row>
    <row r="691" spans="14:23" x14ac:dyDescent="0.3">
      <c r="N691" s="62"/>
      <c r="O691" s="62"/>
      <c r="P691" s="62"/>
      <c r="Q691" s="62"/>
      <c r="R691" s="62"/>
      <c r="S691" s="62"/>
      <c r="T691" s="62"/>
      <c r="V691" s="62"/>
      <c r="W691" s="62"/>
    </row>
    <row r="692" spans="14:23" x14ac:dyDescent="0.3">
      <c r="N692" s="62"/>
      <c r="O692" s="62"/>
      <c r="P692" s="62"/>
      <c r="Q692" s="62"/>
      <c r="R692" s="62"/>
      <c r="S692" s="62"/>
      <c r="T692" s="62"/>
      <c r="V692" s="62"/>
      <c r="W692" s="62"/>
    </row>
    <row r="693" spans="14:23" x14ac:dyDescent="0.3">
      <c r="N693" s="62"/>
      <c r="O693" s="62"/>
      <c r="P693" s="62"/>
      <c r="Q693" s="62"/>
      <c r="R693" s="62"/>
      <c r="S693" s="62"/>
      <c r="T693" s="62"/>
      <c r="V693" s="62"/>
      <c r="W693" s="62"/>
    </row>
    <row r="694" spans="14:23" x14ac:dyDescent="0.3">
      <c r="N694" s="62"/>
      <c r="O694" s="62"/>
      <c r="P694" s="62"/>
      <c r="Q694" s="62"/>
      <c r="R694" s="62"/>
      <c r="S694" s="62"/>
      <c r="T694" s="62"/>
      <c r="V694" s="62"/>
      <c r="W694" s="62"/>
    </row>
    <row r="695" spans="14:23" x14ac:dyDescent="0.3">
      <c r="N695" s="62"/>
      <c r="O695" s="62"/>
      <c r="P695" s="62"/>
      <c r="Q695" s="62"/>
      <c r="R695" s="62"/>
      <c r="S695" s="62"/>
      <c r="T695" s="62"/>
      <c r="V695" s="62"/>
      <c r="W695" s="62"/>
    </row>
    <row r="696" spans="14:23" x14ac:dyDescent="0.3">
      <c r="N696" s="62"/>
      <c r="O696" s="62"/>
      <c r="P696" s="62"/>
      <c r="Q696" s="62"/>
      <c r="R696" s="62"/>
      <c r="S696" s="62"/>
      <c r="T696" s="62"/>
      <c r="V696" s="62"/>
      <c r="W696" s="62"/>
    </row>
    <row r="697" spans="14:23" x14ac:dyDescent="0.3">
      <c r="N697" s="62"/>
      <c r="O697" s="62"/>
      <c r="P697" s="62"/>
      <c r="Q697" s="62"/>
      <c r="R697" s="62"/>
      <c r="S697" s="62"/>
      <c r="T697" s="62"/>
      <c r="V697" s="62"/>
      <c r="W697" s="62"/>
    </row>
    <row r="698" spans="14:23" x14ac:dyDescent="0.3">
      <c r="N698" s="62"/>
      <c r="O698" s="62"/>
      <c r="P698" s="62"/>
      <c r="Q698" s="62"/>
      <c r="R698" s="62"/>
      <c r="S698" s="62"/>
      <c r="T698" s="62"/>
      <c r="V698" s="62"/>
      <c r="W698" s="62"/>
    </row>
    <row r="699" spans="14:23" x14ac:dyDescent="0.3">
      <c r="N699" s="62"/>
      <c r="O699" s="62"/>
      <c r="P699" s="62"/>
      <c r="Q699" s="62"/>
      <c r="R699" s="62"/>
      <c r="S699" s="62"/>
      <c r="T699" s="62"/>
      <c r="V699" s="62"/>
      <c r="W699" s="62"/>
    </row>
    <row r="700" spans="14:23" x14ac:dyDescent="0.3">
      <c r="N700" s="62"/>
      <c r="O700" s="62"/>
      <c r="P700" s="62"/>
      <c r="Q700" s="62"/>
      <c r="R700" s="62"/>
      <c r="S700" s="62"/>
      <c r="T700" s="62"/>
      <c r="V700" s="62"/>
      <c r="W700" s="62"/>
    </row>
    <row r="701" spans="14:23" x14ac:dyDescent="0.3">
      <c r="N701" s="62"/>
      <c r="O701" s="62"/>
      <c r="P701" s="62"/>
      <c r="Q701" s="62"/>
      <c r="R701" s="62"/>
      <c r="S701" s="62"/>
      <c r="T701" s="62"/>
      <c r="V701" s="62"/>
      <c r="W701" s="62"/>
    </row>
    <row r="702" spans="14:23" x14ac:dyDescent="0.3">
      <c r="N702" s="62"/>
      <c r="O702" s="62"/>
      <c r="P702" s="62"/>
      <c r="Q702" s="62"/>
      <c r="R702" s="62"/>
      <c r="S702" s="62"/>
      <c r="T702" s="62"/>
      <c r="V702" s="62"/>
      <c r="W702" s="62"/>
    </row>
    <row r="703" spans="14:23" x14ac:dyDescent="0.3">
      <c r="N703" s="62"/>
      <c r="O703" s="62"/>
      <c r="P703" s="62"/>
      <c r="Q703" s="62"/>
      <c r="R703" s="62"/>
      <c r="S703" s="62"/>
      <c r="T703" s="62"/>
      <c r="V703" s="62"/>
      <c r="W703" s="62"/>
    </row>
    <row r="704" spans="14:23" x14ac:dyDescent="0.3">
      <c r="N704" s="62"/>
      <c r="O704" s="62"/>
      <c r="P704" s="62"/>
      <c r="Q704" s="62"/>
      <c r="R704" s="62"/>
      <c r="S704" s="62"/>
      <c r="T704" s="62"/>
      <c r="V704" s="62"/>
      <c r="W704" s="62"/>
    </row>
    <row r="705" spans="14:23" x14ac:dyDescent="0.3">
      <c r="N705" s="62"/>
      <c r="O705" s="62"/>
      <c r="P705" s="62"/>
      <c r="Q705" s="62"/>
      <c r="R705" s="62"/>
      <c r="S705" s="62"/>
      <c r="T705" s="62"/>
      <c r="V705" s="62"/>
      <c r="W705" s="62"/>
    </row>
    <row r="706" spans="14:23" x14ac:dyDescent="0.3">
      <c r="N706" s="62"/>
      <c r="O706" s="62"/>
      <c r="P706" s="62"/>
      <c r="Q706" s="62"/>
      <c r="R706" s="62"/>
      <c r="S706" s="62"/>
      <c r="T706" s="62"/>
      <c r="V706" s="62"/>
      <c r="W706" s="62"/>
    </row>
    <row r="707" spans="14:23" x14ac:dyDescent="0.3">
      <c r="N707" s="62"/>
      <c r="O707" s="62"/>
      <c r="P707" s="62"/>
      <c r="Q707" s="62"/>
      <c r="R707" s="62"/>
      <c r="S707" s="62"/>
      <c r="T707" s="62"/>
      <c r="V707" s="62"/>
      <c r="W707" s="62"/>
    </row>
    <row r="708" spans="14:23" x14ac:dyDescent="0.3">
      <c r="N708" s="62"/>
      <c r="O708" s="62"/>
      <c r="P708" s="62"/>
      <c r="Q708" s="62"/>
      <c r="R708" s="62"/>
      <c r="S708" s="62"/>
      <c r="T708" s="62"/>
      <c r="V708" s="62"/>
      <c r="W708" s="62"/>
    </row>
    <row r="709" spans="14:23" x14ac:dyDescent="0.3">
      <c r="N709" s="62"/>
      <c r="O709" s="62"/>
      <c r="P709" s="62"/>
      <c r="Q709" s="62"/>
      <c r="R709" s="62"/>
      <c r="S709" s="62"/>
      <c r="T709" s="62"/>
      <c r="V709" s="62"/>
      <c r="W709" s="62"/>
    </row>
    <row r="710" spans="14:23" x14ac:dyDescent="0.3">
      <c r="N710" s="62"/>
      <c r="O710" s="62"/>
      <c r="P710" s="62"/>
      <c r="Q710" s="62"/>
      <c r="R710" s="62"/>
      <c r="S710" s="62"/>
      <c r="T710" s="62"/>
      <c r="V710" s="62"/>
      <c r="W710" s="62"/>
    </row>
    <row r="711" spans="14:23" x14ac:dyDescent="0.3">
      <c r="N711" s="62"/>
      <c r="O711" s="62"/>
      <c r="P711" s="62"/>
      <c r="Q711" s="62"/>
      <c r="R711" s="62"/>
      <c r="S711" s="62"/>
      <c r="T711" s="62"/>
      <c r="V711" s="62"/>
      <c r="W711" s="62"/>
    </row>
    <row r="712" spans="14:23" x14ac:dyDescent="0.3">
      <c r="N712" s="62"/>
      <c r="O712" s="62"/>
      <c r="P712" s="62"/>
      <c r="Q712" s="62"/>
      <c r="R712" s="62"/>
      <c r="S712" s="62"/>
      <c r="T712" s="62"/>
      <c r="V712" s="62"/>
      <c r="W712" s="62"/>
    </row>
    <row r="713" spans="14:23" x14ac:dyDescent="0.3">
      <c r="N713" s="62"/>
      <c r="O713" s="62"/>
      <c r="P713" s="62"/>
      <c r="Q713" s="62"/>
      <c r="R713" s="62"/>
      <c r="S713" s="62"/>
      <c r="T713" s="62"/>
      <c r="V713" s="62"/>
      <c r="W713" s="62"/>
    </row>
    <row r="714" spans="14:23" x14ac:dyDescent="0.3">
      <c r="N714" s="62"/>
      <c r="O714" s="62"/>
      <c r="P714" s="62"/>
      <c r="Q714" s="62"/>
      <c r="R714" s="62"/>
      <c r="S714" s="62"/>
      <c r="T714" s="62"/>
      <c r="V714" s="62"/>
      <c r="W714" s="62"/>
    </row>
    <row r="715" spans="14:23" x14ac:dyDescent="0.3">
      <c r="N715" s="62"/>
      <c r="O715" s="62"/>
      <c r="P715" s="62"/>
      <c r="Q715" s="62"/>
      <c r="R715" s="62"/>
      <c r="S715" s="62"/>
      <c r="T715" s="62"/>
      <c r="V715" s="62"/>
      <c r="W715" s="62"/>
    </row>
    <row r="716" spans="14:23" x14ac:dyDescent="0.3">
      <c r="N716" s="62"/>
      <c r="O716" s="62"/>
      <c r="P716" s="62"/>
      <c r="Q716" s="62"/>
      <c r="R716" s="62"/>
      <c r="S716" s="62"/>
      <c r="T716" s="62"/>
      <c r="V716" s="62"/>
      <c r="W716" s="62"/>
    </row>
    <row r="717" spans="14:23" x14ac:dyDescent="0.3">
      <c r="N717" s="62"/>
      <c r="O717" s="62"/>
      <c r="P717" s="62"/>
      <c r="Q717" s="62"/>
      <c r="R717" s="62"/>
      <c r="S717" s="62"/>
      <c r="T717" s="62"/>
      <c r="V717" s="62"/>
      <c r="W717" s="62"/>
    </row>
    <row r="718" spans="14:23" x14ac:dyDescent="0.3">
      <c r="N718" s="62"/>
      <c r="O718" s="62"/>
      <c r="P718" s="62"/>
      <c r="Q718" s="62"/>
      <c r="R718" s="62"/>
      <c r="S718" s="62"/>
      <c r="T718" s="62"/>
      <c r="V718" s="62"/>
      <c r="W718" s="62"/>
    </row>
    <row r="719" spans="14:23" x14ac:dyDescent="0.3">
      <c r="N719" s="62"/>
      <c r="O719" s="62"/>
      <c r="P719" s="62"/>
      <c r="Q719" s="62"/>
      <c r="R719" s="62"/>
      <c r="S719" s="62"/>
      <c r="T719" s="62"/>
      <c r="V719" s="62"/>
      <c r="W719" s="62"/>
    </row>
    <row r="720" spans="14:23" x14ac:dyDescent="0.3">
      <c r="N720" s="62"/>
      <c r="O720" s="62"/>
      <c r="P720" s="62"/>
      <c r="Q720" s="62"/>
      <c r="R720" s="62"/>
      <c r="S720" s="62"/>
      <c r="T720" s="62"/>
      <c r="V720" s="62"/>
      <c r="W720" s="62"/>
    </row>
    <row r="721" spans="14:23" x14ac:dyDescent="0.3">
      <c r="N721" s="62"/>
      <c r="O721" s="62"/>
      <c r="P721" s="62"/>
      <c r="Q721" s="62"/>
      <c r="R721" s="62"/>
      <c r="S721" s="62"/>
      <c r="T721" s="62"/>
      <c r="V721" s="62"/>
      <c r="W721" s="62"/>
    </row>
    <row r="722" spans="14:23" x14ac:dyDescent="0.3">
      <c r="N722" s="62"/>
      <c r="O722" s="62"/>
      <c r="P722" s="62"/>
      <c r="Q722" s="62"/>
      <c r="R722" s="62"/>
      <c r="S722" s="62"/>
      <c r="T722" s="62"/>
      <c r="V722" s="62"/>
      <c r="W722" s="62"/>
    </row>
    <row r="723" spans="14:23" x14ac:dyDescent="0.3">
      <c r="N723" s="62"/>
      <c r="O723" s="62"/>
      <c r="P723" s="62"/>
      <c r="Q723" s="62"/>
      <c r="R723" s="62"/>
      <c r="S723" s="62"/>
      <c r="T723" s="62"/>
      <c r="V723" s="62"/>
      <c r="W723" s="62"/>
    </row>
    <row r="724" spans="14:23" x14ac:dyDescent="0.3">
      <c r="N724" s="62"/>
      <c r="O724" s="62"/>
      <c r="P724" s="62"/>
      <c r="Q724" s="62"/>
      <c r="R724" s="62"/>
      <c r="S724" s="62"/>
      <c r="T724" s="62"/>
      <c r="V724" s="62"/>
      <c r="W724" s="62"/>
    </row>
    <row r="725" spans="14:23" x14ac:dyDescent="0.3">
      <c r="N725" s="62"/>
      <c r="O725" s="62"/>
      <c r="P725" s="62"/>
      <c r="Q725" s="62"/>
      <c r="R725" s="62"/>
      <c r="S725" s="62"/>
      <c r="T725" s="62"/>
      <c r="V725" s="62"/>
      <c r="W725" s="62"/>
    </row>
    <row r="726" spans="14:23" x14ac:dyDescent="0.3">
      <c r="N726" s="62"/>
      <c r="O726" s="62"/>
      <c r="P726" s="62"/>
      <c r="Q726" s="62"/>
      <c r="R726" s="62"/>
      <c r="S726" s="62"/>
      <c r="T726" s="62"/>
      <c r="V726" s="62"/>
      <c r="W726" s="62"/>
    </row>
    <row r="727" spans="14:23" x14ac:dyDescent="0.3">
      <c r="N727" s="62"/>
      <c r="O727" s="62"/>
      <c r="P727" s="62"/>
      <c r="Q727" s="62"/>
      <c r="R727" s="62"/>
      <c r="S727" s="62"/>
      <c r="T727" s="62"/>
      <c r="V727" s="62"/>
      <c r="W727" s="62"/>
    </row>
    <row r="728" spans="14:23" x14ac:dyDescent="0.3">
      <c r="N728" s="62"/>
      <c r="O728" s="62"/>
      <c r="P728" s="62"/>
      <c r="Q728" s="62"/>
      <c r="R728" s="62"/>
      <c r="S728" s="62"/>
      <c r="T728" s="62"/>
      <c r="V728" s="62"/>
      <c r="W728" s="62"/>
    </row>
    <row r="729" spans="14:23" x14ac:dyDescent="0.3">
      <c r="N729" s="62"/>
      <c r="O729" s="62"/>
      <c r="P729" s="62"/>
      <c r="Q729" s="62"/>
      <c r="R729" s="62"/>
      <c r="S729" s="62"/>
      <c r="T729" s="62"/>
      <c r="V729" s="62"/>
      <c r="W729" s="62"/>
    </row>
    <row r="730" spans="14:23" x14ac:dyDescent="0.3">
      <c r="N730" s="62"/>
      <c r="O730" s="62"/>
      <c r="P730" s="62"/>
      <c r="Q730" s="62"/>
      <c r="R730" s="62"/>
      <c r="S730" s="62"/>
      <c r="T730" s="62"/>
      <c r="V730" s="62"/>
      <c r="W730" s="62"/>
    </row>
    <row r="731" spans="14:23" x14ac:dyDescent="0.3">
      <c r="N731" s="62"/>
      <c r="O731" s="62"/>
      <c r="P731" s="62"/>
      <c r="Q731" s="62"/>
      <c r="R731" s="62"/>
      <c r="S731" s="62"/>
      <c r="T731" s="62"/>
      <c r="V731" s="62"/>
      <c r="W731" s="62"/>
    </row>
    <row r="732" spans="14:23" x14ac:dyDescent="0.3">
      <c r="N732" s="62"/>
      <c r="O732" s="62"/>
      <c r="P732" s="62"/>
      <c r="Q732" s="62"/>
      <c r="R732" s="62"/>
      <c r="S732" s="62"/>
      <c r="T732" s="62"/>
      <c r="V732" s="62"/>
      <c r="W732" s="62"/>
    </row>
    <row r="733" spans="14:23" x14ac:dyDescent="0.3">
      <c r="N733" s="62"/>
      <c r="O733" s="62"/>
      <c r="P733" s="62"/>
      <c r="Q733" s="62"/>
      <c r="R733" s="62"/>
      <c r="S733" s="62"/>
      <c r="T733" s="62"/>
      <c r="V733" s="62"/>
      <c r="W733" s="62"/>
    </row>
    <row r="734" spans="14:23" x14ac:dyDescent="0.3">
      <c r="N734" s="62"/>
      <c r="O734" s="62"/>
      <c r="P734" s="62"/>
      <c r="Q734" s="62"/>
      <c r="R734" s="62"/>
      <c r="S734" s="62"/>
      <c r="T734" s="62"/>
      <c r="V734" s="62"/>
      <c r="W734" s="62"/>
    </row>
    <row r="735" spans="14:23" x14ac:dyDescent="0.3">
      <c r="N735" s="62"/>
      <c r="O735" s="62"/>
      <c r="P735" s="62"/>
      <c r="Q735" s="62"/>
      <c r="R735" s="62"/>
      <c r="S735" s="62"/>
      <c r="T735" s="62"/>
      <c r="V735" s="62"/>
      <c r="W735" s="62"/>
    </row>
    <row r="736" spans="14:23" x14ac:dyDescent="0.3">
      <c r="N736" s="62"/>
      <c r="O736" s="62"/>
      <c r="P736" s="62"/>
      <c r="Q736" s="62"/>
      <c r="R736" s="62"/>
      <c r="S736" s="62"/>
      <c r="T736" s="62"/>
      <c r="V736" s="62"/>
      <c r="W736" s="62"/>
    </row>
    <row r="737" spans="14:23" x14ac:dyDescent="0.3">
      <c r="N737" s="62"/>
      <c r="O737" s="62"/>
      <c r="P737" s="62"/>
      <c r="Q737" s="62"/>
      <c r="R737" s="62"/>
      <c r="S737" s="62"/>
      <c r="T737" s="62"/>
      <c r="V737" s="62"/>
      <c r="W737" s="62"/>
    </row>
    <row r="738" spans="14:23" x14ac:dyDescent="0.3">
      <c r="N738" s="62"/>
      <c r="O738" s="62"/>
      <c r="P738" s="62"/>
      <c r="Q738" s="62"/>
      <c r="R738" s="62"/>
      <c r="S738" s="62"/>
      <c r="T738" s="62"/>
      <c r="V738" s="62"/>
      <c r="W738" s="62"/>
    </row>
    <row r="739" spans="14:23" x14ac:dyDescent="0.3">
      <c r="N739" s="62"/>
      <c r="O739" s="62"/>
      <c r="P739" s="62"/>
      <c r="Q739" s="62"/>
      <c r="R739" s="62"/>
      <c r="S739" s="62"/>
      <c r="T739" s="62"/>
      <c r="V739" s="62"/>
      <c r="W739" s="62"/>
    </row>
    <row r="740" spans="14:23" x14ac:dyDescent="0.3">
      <c r="N740" s="62"/>
      <c r="O740" s="62"/>
      <c r="P740" s="62"/>
      <c r="Q740" s="62"/>
      <c r="R740" s="62"/>
      <c r="S740" s="62"/>
      <c r="T740" s="62"/>
      <c r="V740" s="62"/>
      <c r="W740" s="62"/>
    </row>
    <row r="741" spans="14:23" x14ac:dyDescent="0.3">
      <c r="N741" s="62"/>
      <c r="O741" s="62"/>
      <c r="P741" s="62"/>
      <c r="Q741" s="62"/>
      <c r="R741" s="62"/>
      <c r="S741" s="62"/>
      <c r="T741" s="62"/>
      <c r="V741" s="62"/>
      <c r="W741" s="62"/>
    </row>
    <row r="742" spans="14:23" x14ac:dyDescent="0.3">
      <c r="N742" s="62"/>
      <c r="O742" s="62"/>
      <c r="P742" s="62"/>
      <c r="Q742" s="62"/>
      <c r="R742" s="62"/>
      <c r="S742" s="62"/>
      <c r="T742" s="62"/>
      <c r="V742" s="62"/>
      <c r="W742" s="62"/>
    </row>
    <row r="743" spans="14:23" x14ac:dyDescent="0.3">
      <c r="N743" s="62"/>
      <c r="O743" s="62"/>
      <c r="P743" s="62"/>
      <c r="Q743" s="62"/>
      <c r="R743" s="62"/>
      <c r="S743" s="62"/>
      <c r="T743" s="62"/>
      <c r="V743" s="62"/>
      <c r="W743" s="62"/>
    </row>
    <row r="744" spans="14:23" x14ac:dyDescent="0.3">
      <c r="N744" s="62"/>
      <c r="O744" s="62"/>
      <c r="P744" s="62"/>
      <c r="Q744" s="62"/>
      <c r="R744" s="62"/>
      <c r="S744" s="62"/>
      <c r="T744" s="62"/>
      <c r="V744" s="62"/>
      <c r="W744" s="62"/>
    </row>
    <row r="745" spans="14:23" x14ac:dyDescent="0.3">
      <c r="N745" s="62"/>
      <c r="O745" s="62"/>
      <c r="P745" s="62"/>
      <c r="Q745" s="62"/>
      <c r="R745" s="62"/>
      <c r="S745" s="62"/>
      <c r="T745" s="62"/>
      <c r="V745" s="62"/>
      <c r="W745" s="62"/>
    </row>
    <row r="746" spans="14:23" x14ac:dyDescent="0.3">
      <c r="N746" s="62"/>
      <c r="O746" s="62"/>
      <c r="P746" s="62"/>
      <c r="Q746" s="62"/>
      <c r="R746" s="62"/>
      <c r="S746" s="62"/>
      <c r="T746" s="62"/>
      <c r="V746" s="62"/>
      <c r="W746" s="62"/>
    </row>
    <row r="747" spans="14:23" x14ac:dyDescent="0.3">
      <c r="N747" s="62"/>
      <c r="O747" s="62"/>
      <c r="P747" s="62"/>
      <c r="Q747" s="62"/>
      <c r="R747" s="62"/>
      <c r="S747" s="62"/>
      <c r="T747" s="62"/>
      <c r="V747" s="62"/>
      <c r="W747" s="62"/>
    </row>
    <row r="748" spans="14:23" x14ac:dyDescent="0.3">
      <c r="N748" s="62"/>
      <c r="O748" s="62"/>
      <c r="P748" s="62"/>
      <c r="Q748" s="62"/>
      <c r="R748" s="62"/>
      <c r="S748" s="62"/>
      <c r="T748" s="62"/>
      <c r="V748" s="62"/>
      <c r="W748" s="62"/>
    </row>
    <row r="749" spans="14:23" x14ac:dyDescent="0.3">
      <c r="N749" s="62"/>
      <c r="O749" s="62"/>
      <c r="P749" s="62"/>
      <c r="Q749" s="62"/>
      <c r="R749" s="62"/>
      <c r="S749" s="62"/>
      <c r="T749" s="62"/>
      <c r="V749" s="62"/>
      <c r="W749" s="62"/>
    </row>
    <row r="750" spans="14:23" x14ac:dyDescent="0.3">
      <c r="N750" s="62"/>
      <c r="O750" s="62"/>
      <c r="P750" s="62"/>
      <c r="Q750" s="62"/>
      <c r="R750" s="62"/>
      <c r="S750" s="62"/>
      <c r="T750" s="62"/>
      <c r="V750" s="62"/>
      <c r="W750" s="62"/>
    </row>
    <row r="751" spans="14:23" x14ac:dyDescent="0.3">
      <c r="N751" s="62"/>
      <c r="O751" s="62"/>
      <c r="P751" s="62"/>
      <c r="Q751" s="62"/>
      <c r="R751" s="62"/>
      <c r="S751" s="62"/>
      <c r="T751" s="62"/>
      <c r="V751" s="62"/>
      <c r="W751" s="62"/>
    </row>
    <row r="752" spans="14:23" x14ac:dyDescent="0.3">
      <c r="N752" s="62"/>
      <c r="O752" s="62"/>
      <c r="P752" s="62"/>
      <c r="Q752" s="62"/>
      <c r="R752" s="62"/>
      <c r="S752" s="62"/>
      <c r="T752" s="62"/>
      <c r="V752" s="62"/>
      <c r="W752" s="62"/>
    </row>
    <row r="753" spans="14:23" x14ac:dyDescent="0.3">
      <c r="N753" s="62"/>
      <c r="O753" s="62"/>
      <c r="P753" s="62"/>
      <c r="Q753" s="62"/>
      <c r="R753" s="62"/>
      <c r="S753" s="62"/>
      <c r="T753" s="62"/>
      <c r="V753" s="62"/>
      <c r="W753" s="62"/>
    </row>
    <row r="754" spans="14:23" x14ac:dyDescent="0.3">
      <c r="N754" s="62"/>
      <c r="O754" s="62"/>
      <c r="P754" s="62"/>
      <c r="Q754" s="62"/>
      <c r="R754" s="62"/>
      <c r="S754" s="62"/>
      <c r="T754" s="62"/>
      <c r="V754" s="62"/>
      <c r="W754" s="62"/>
    </row>
    <row r="755" spans="14:23" x14ac:dyDescent="0.3">
      <c r="N755" s="62"/>
      <c r="O755" s="62"/>
      <c r="P755" s="62"/>
      <c r="Q755" s="62"/>
      <c r="R755" s="62"/>
      <c r="S755" s="62"/>
      <c r="T755" s="62"/>
      <c r="V755" s="62"/>
      <c r="W755" s="62"/>
    </row>
    <row r="756" spans="14:23" x14ac:dyDescent="0.3">
      <c r="N756" s="62"/>
      <c r="O756" s="62"/>
      <c r="P756" s="62"/>
      <c r="Q756" s="62"/>
      <c r="R756" s="62"/>
      <c r="S756" s="62"/>
      <c r="T756" s="62"/>
      <c r="V756" s="62"/>
      <c r="W756" s="62"/>
    </row>
    <row r="757" spans="14:23" x14ac:dyDescent="0.3">
      <c r="N757" s="62"/>
      <c r="O757" s="62"/>
      <c r="P757" s="62"/>
      <c r="Q757" s="62"/>
      <c r="R757" s="62"/>
      <c r="S757" s="62"/>
      <c r="T757" s="62"/>
      <c r="V757" s="62"/>
      <c r="W757" s="62"/>
    </row>
    <row r="758" spans="14:23" x14ac:dyDescent="0.3">
      <c r="N758" s="62"/>
      <c r="O758" s="62"/>
      <c r="P758" s="62"/>
      <c r="Q758" s="62"/>
      <c r="R758" s="62"/>
      <c r="S758" s="62"/>
      <c r="T758" s="62"/>
      <c r="V758" s="62"/>
      <c r="W758" s="62"/>
    </row>
    <row r="759" spans="14:23" x14ac:dyDescent="0.3">
      <c r="N759" s="62"/>
      <c r="O759" s="62"/>
      <c r="P759" s="62"/>
      <c r="Q759" s="62"/>
      <c r="R759" s="62"/>
      <c r="S759" s="62"/>
      <c r="T759" s="62"/>
      <c r="V759" s="62"/>
      <c r="W759" s="62"/>
    </row>
    <row r="760" spans="14:23" x14ac:dyDescent="0.3">
      <c r="N760" s="62"/>
      <c r="O760" s="62"/>
      <c r="P760" s="62"/>
      <c r="Q760" s="62"/>
      <c r="R760" s="62"/>
      <c r="S760" s="62"/>
      <c r="T760" s="62"/>
      <c r="V760" s="62"/>
      <c r="W760" s="62"/>
    </row>
    <row r="761" spans="14:23" x14ac:dyDescent="0.3">
      <c r="N761" s="62"/>
      <c r="O761" s="62"/>
      <c r="P761" s="62"/>
      <c r="Q761" s="62"/>
      <c r="R761" s="62"/>
      <c r="S761" s="62"/>
      <c r="T761" s="62"/>
      <c r="V761" s="62"/>
      <c r="W761" s="62"/>
    </row>
    <row r="762" spans="14:23" x14ac:dyDescent="0.3">
      <c r="N762" s="62"/>
      <c r="O762" s="62"/>
      <c r="P762" s="62"/>
      <c r="Q762" s="62"/>
      <c r="R762" s="62"/>
      <c r="S762" s="62"/>
      <c r="T762" s="62"/>
      <c r="V762" s="62"/>
      <c r="W762" s="62"/>
    </row>
    <row r="763" spans="14:23" x14ac:dyDescent="0.3">
      <c r="N763" s="62"/>
      <c r="O763" s="62"/>
      <c r="P763" s="62"/>
      <c r="Q763" s="62"/>
      <c r="R763" s="62"/>
      <c r="S763" s="62"/>
      <c r="T763" s="62"/>
      <c r="V763" s="62"/>
      <c r="W763" s="62"/>
    </row>
    <row r="764" spans="14:23" x14ac:dyDescent="0.3">
      <c r="N764" s="62"/>
      <c r="O764" s="62"/>
      <c r="P764" s="62"/>
      <c r="Q764" s="62"/>
      <c r="R764" s="62"/>
      <c r="S764" s="62"/>
      <c r="T764" s="62"/>
      <c r="V764" s="62"/>
      <c r="W764" s="62"/>
    </row>
    <row r="765" spans="14:23" x14ac:dyDescent="0.3">
      <c r="N765" s="62"/>
      <c r="O765" s="62"/>
      <c r="P765" s="62"/>
      <c r="Q765" s="62"/>
      <c r="R765" s="62"/>
      <c r="S765" s="62"/>
      <c r="T765" s="62"/>
      <c r="V765" s="62"/>
      <c r="W765" s="62"/>
    </row>
    <row r="766" spans="14:23" x14ac:dyDescent="0.3">
      <c r="N766" s="62"/>
      <c r="O766" s="62"/>
      <c r="P766" s="62"/>
      <c r="Q766" s="62"/>
      <c r="R766" s="62"/>
      <c r="S766" s="62"/>
      <c r="T766" s="62"/>
      <c r="V766" s="62"/>
      <c r="W766" s="62"/>
    </row>
    <row r="767" spans="14:23" x14ac:dyDescent="0.3">
      <c r="N767" s="62"/>
      <c r="O767" s="62"/>
      <c r="P767" s="62"/>
      <c r="Q767" s="62"/>
      <c r="R767" s="62"/>
      <c r="S767" s="62"/>
      <c r="T767" s="62"/>
      <c r="V767" s="62"/>
      <c r="W767" s="62"/>
    </row>
    <row r="768" spans="14:23" x14ac:dyDescent="0.3">
      <c r="N768" s="62"/>
      <c r="O768" s="62"/>
      <c r="P768" s="62"/>
      <c r="Q768" s="62"/>
      <c r="R768" s="62"/>
      <c r="S768" s="62"/>
      <c r="T768" s="62"/>
      <c r="V768" s="62"/>
      <c r="W768" s="62"/>
    </row>
    <row r="769" spans="14:23" x14ac:dyDescent="0.3">
      <c r="N769" s="62"/>
      <c r="O769" s="62"/>
      <c r="P769" s="62"/>
      <c r="Q769" s="62"/>
      <c r="R769" s="62"/>
      <c r="S769" s="62"/>
      <c r="T769" s="62"/>
      <c r="V769" s="62"/>
      <c r="W769" s="62"/>
    </row>
    <row r="770" spans="14:23" x14ac:dyDescent="0.3">
      <c r="N770" s="62"/>
      <c r="O770" s="62"/>
      <c r="P770" s="62"/>
      <c r="Q770" s="62"/>
      <c r="R770" s="62"/>
      <c r="S770" s="62"/>
      <c r="T770" s="62"/>
      <c r="V770" s="62"/>
      <c r="W770" s="62"/>
    </row>
    <row r="771" spans="14:23" x14ac:dyDescent="0.3">
      <c r="N771" s="62"/>
      <c r="O771" s="62"/>
      <c r="P771" s="62"/>
      <c r="Q771" s="62"/>
      <c r="R771" s="62"/>
      <c r="S771" s="62"/>
      <c r="T771" s="62"/>
      <c r="V771" s="62"/>
      <c r="W771" s="62"/>
    </row>
    <row r="772" spans="14:23" x14ac:dyDescent="0.3">
      <c r="N772" s="62"/>
      <c r="O772" s="62"/>
      <c r="P772" s="62"/>
      <c r="Q772" s="62"/>
      <c r="R772" s="62"/>
      <c r="S772" s="62"/>
      <c r="T772" s="62"/>
      <c r="V772" s="62"/>
      <c r="W772" s="62"/>
    </row>
    <row r="773" spans="14:23" x14ac:dyDescent="0.3">
      <c r="N773" s="62"/>
      <c r="O773" s="62"/>
      <c r="P773" s="62"/>
      <c r="Q773" s="62"/>
      <c r="R773" s="62"/>
      <c r="S773" s="62"/>
      <c r="T773" s="62"/>
      <c r="V773" s="62"/>
      <c r="W773" s="62"/>
    </row>
    <row r="774" spans="14:23" x14ac:dyDescent="0.3">
      <c r="N774" s="62"/>
      <c r="O774" s="62"/>
      <c r="P774" s="62"/>
      <c r="Q774" s="62"/>
      <c r="R774" s="62"/>
      <c r="S774" s="62"/>
      <c r="T774" s="62"/>
      <c r="V774" s="62"/>
      <c r="W774" s="62"/>
    </row>
    <row r="775" spans="14:23" x14ac:dyDescent="0.3">
      <c r="N775" s="62"/>
      <c r="O775" s="62"/>
      <c r="P775" s="62"/>
      <c r="Q775" s="62"/>
      <c r="R775" s="62"/>
      <c r="S775" s="62"/>
      <c r="T775" s="62"/>
      <c r="V775" s="62"/>
      <c r="W775" s="62"/>
    </row>
    <row r="776" spans="14:23" x14ac:dyDescent="0.3">
      <c r="N776" s="62"/>
      <c r="O776" s="62"/>
      <c r="P776" s="62"/>
      <c r="Q776" s="62"/>
      <c r="R776" s="62"/>
      <c r="S776" s="62"/>
      <c r="T776" s="62"/>
      <c r="V776" s="62"/>
      <c r="W776" s="62"/>
    </row>
    <row r="777" spans="14:23" x14ac:dyDescent="0.3">
      <c r="N777" s="62"/>
      <c r="O777" s="62"/>
      <c r="P777" s="62"/>
      <c r="Q777" s="62"/>
      <c r="R777" s="62"/>
      <c r="S777" s="62"/>
      <c r="T777" s="62"/>
      <c r="V777" s="62"/>
      <c r="W777" s="62"/>
    </row>
    <row r="778" spans="14:23" x14ac:dyDescent="0.3">
      <c r="N778" s="62"/>
      <c r="O778" s="62"/>
      <c r="P778" s="62"/>
      <c r="Q778" s="62"/>
      <c r="R778" s="62"/>
      <c r="S778" s="62"/>
      <c r="T778" s="62"/>
      <c r="V778" s="62"/>
      <c r="W778" s="62"/>
    </row>
    <row r="779" spans="14:23" x14ac:dyDescent="0.3">
      <c r="N779" s="62"/>
      <c r="O779" s="62"/>
      <c r="P779" s="62"/>
      <c r="Q779" s="62"/>
      <c r="R779" s="62"/>
      <c r="S779" s="62"/>
      <c r="T779" s="62"/>
      <c r="V779" s="62"/>
      <c r="W779" s="62"/>
    </row>
    <row r="780" spans="14:23" x14ac:dyDescent="0.3">
      <c r="N780" s="62"/>
      <c r="O780" s="62"/>
      <c r="P780" s="62"/>
      <c r="Q780" s="62"/>
      <c r="R780" s="62"/>
      <c r="S780" s="62"/>
      <c r="T780" s="62"/>
      <c r="V780" s="62"/>
      <c r="W780" s="62"/>
    </row>
    <row r="781" spans="14:23" x14ac:dyDescent="0.3">
      <c r="N781" s="62"/>
      <c r="O781" s="62"/>
      <c r="P781" s="62"/>
      <c r="Q781" s="62"/>
      <c r="R781" s="62"/>
      <c r="S781" s="62"/>
      <c r="T781" s="62"/>
      <c r="V781" s="62"/>
      <c r="W781" s="62"/>
    </row>
    <row r="782" spans="14:23" x14ac:dyDescent="0.3">
      <c r="N782" s="62"/>
      <c r="O782" s="62"/>
      <c r="P782" s="62"/>
      <c r="Q782" s="62"/>
      <c r="R782" s="62"/>
      <c r="S782" s="62"/>
      <c r="T782" s="62"/>
      <c r="V782" s="62"/>
      <c r="W782" s="62"/>
    </row>
    <row r="783" spans="14:23" x14ac:dyDescent="0.3">
      <c r="N783" s="62"/>
      <c r="O783" s="62"/>
      <c r="P783" s="62"/>
      <c r="Q783" s="62"/>
      <c r="R783" s="62"/>
      <c r="S783" s="62"/>
      <c r="T783" s="62"/>
      <c r="V783" s="62"/>
      <c r="W783" s="62"/>
    </row>
    <row r="784" spans="14:23" x14ac:dyDescent="0.3">
      <c r="N784" s="62"/>
      <c r="O784" s="62"/>
      <c r="P784" s="62"/>
      <c r="Q784" s="62"/>
      <c r="R784" s="62"/>
      <c r="S784" s="62"/>
      <c r="T784" s="62"/>
      <c r="V784" s="62"/>
      <c r="W784" s="62"/>
    </row>
    <row r="785" spans="14:23" x14ac:dyDescent="0.3">
      <c r="N785" s="62"/>
      <c r="O785" s="62"/>
      <c r="P785" s="62"/>
      <c r="Q785" s="62"/>
      <c r="R785" s="62"/>
      <c r="S785" s="62"/>
      <c r="T785" s="62"/>
      <c r="V785" s="62"/>
      <c r="W785" s="62"/>
    </row>
    <row r="786" spans="14:23" x14ac:dyDescent="0.3">
      <c r="N786" s="62"/>
      <c r="O786" s="62"/>
      <c r="P786" s="62"/>
      <c r="Q786" s="62"/>
      <c r="R786" s="62"/>
      <c r="S786" s="62"/>
      <c r="T786" s="62"/>
      <c r="V786" s="62"/>
      <c r="W786" s="62"/>
    </row>
    <row r="787" spans="14:23" x14ac:dyDescent="0.3">
      <c r="N787" s="62"/>
      <c r="O787" s="62"/>
      <c r="P787" s="62"/>
      <c r="Q787" s="62"/>
      <c r="R787" s="62"/>
      <c r="S787" s="62"/>
      <c r="T787" s="62"/>
      <c r="V787" s="62"/>
      <c r="W787" s="62"/>
    </row>
    <row r="788" spans="14:23" x14ac:dyDescent="0.3">
      <c r="N788" s="62"/>
      <c r="O788" s="62"/>
      <c r="P788" s="62"/>
      <c r="Q788" s="62"/>
      <c r="R788" s="62"/>
      <c r="S788" s="62"/>
      <c r="T788" s="62"/>
      <c r="V788" s="62"/>
      <c r="W788" s="62"/>
    </row>
    <row r="789" spans="14:23" x14ac:dyDescent="0.3">
      <c r="N789" s="62"/>
      <c r="O789" s="62"/>
      <c r="P789" s="62"/>
      <c r="Q789" s="62"/>
      <c r="R789" s="62"/>
      <c r="S789" s="62"/>
      <c r="T789" s="62"/>
      <c r="V789" s="62"/>
      <c r="W789" s="62"/>
    </row>
    <row r="790" spans="14:23" x14ac:dyDescent="0.3">
      <c r="N790" s="62"/>
      <c r="O790" s="62"/>
      <c r="P790" s="62"/>
      <c r="Q790" s="62"/>
      <c r="R790" s="62"/>
      <c r="S790" s="62"/>
      <c r="T790" s="62"/>
      <c r="V790" s="62"/>
      <c r="W790" s="62"/>
    </row>
    <row r="791" spans="14:23" x14ac:dyDescent="0.3">
      <c r="N791" s="62"/>
      <c r="O791" s="62"/>
      <c r="P791" s="62"/>
      <c r="Q791" s="62"/>
      <c r="R791" s="62"/>
      <c r="S791" s="62"/>
      <c r="T791" s="62"/>
      <c r="V791" s="62"/>
      <c r="W791" s="62"/>
    </row>
    <row r="792" spans="14:23" x14ac:dyDescent="0.3">
      <c r="N792" s="62"/>
      <c r="O792" s="62"/>
      <c r="P792" s="62"/>
      <c r="Q792" s="62"/>
      <c r="R792" s="62"/>
      <c r="S792" s="62"/>
      <c r="T792" s="62"/>
      <c r="V792" s="62"/>
      <c r="W792" s="62"/>
    </row>
    <row r="793" spans="14:23" x14ac:dyDescent="0.3">
      <c r="N793" s="62"/>
      <c r="O793" s="62"/>
      <c r="P793" s="62"/>
      <c r="Q793" s="62"/>
      <c r="R793" s="62"/>
      <c r="S793" s="62"/>
      <c r="T793" s="62"/>
      <c r="V793" s="62"/>
      <c r="W793" s="62"/>
    </row>
    <row r="794" spans="14:23" x14ac:dyDescent="0.3">
      <c r="N794" s="62"/>
      <c r="O794" s="62"/>
      <c r="P794" s="62"/>
      <c r="Q794" s="62"/>
      <c r="R794" s="62"/>
      <c r="S794" s="62"/>
      <c r="T794" s="62"/>
      <c r="V794" s="62"/>
      <c r="W794" s="62"/>
    </row>
    <row r="795" spans="14:23" x14ac:dyDescent="0.3">
      <c r="N795" s="62"/>
      <c r="O795" s="62"/>
      <c r="P795" s="62"/>
      <c r="Q795" s="62"/>
      <c r="R795" s="62"/>
      <c r="S795" s="62"/>
      <c r="T795" s="62"/>
      <c r="V795" s="62"/>
      <c r="W795" s="62"/>
    </row>
    <row r="796" spans="14:23" x14ac:dyDescent="0.3">
      <c r="N796" s="62"/>
      <c r="O796" s="62"/>
      <c r="P796" s="62"/>
      <c r="Q796" s="62"/>
      <c r="R796" s="62"/>
      <c r="S796" s="62"/>
      <c r="T796" s="62"/>
      <c r="V796" s="62"/>
      <c r="W796" s="62"/>
    </row>
    <row r="797" spans="14:23" x14ac:dyDescent="0.3">
      <c r="N797" s="62"/>
      <c r="O797" s="62"/>
      <c r="P797" s="62"/>
      <c r="Q797" s="62"/>
      <c r="R797" s="62"/>
      <c r="S797" s="62"/>
      <c r="T797" s="62"/>
      <c r="V797" s="62"/>
      <c r="W797" s="62"/>
    </row>
    <row r="798" spans="14:23" x14ac:dyDescent="0.3">
      <c r="N798" s="62"/>
      <c r="O798" s="62"/>
      <c r="P798" s="62"/>
      <c r="Q798" s="62"/>
      <c r="R798" s="62"/>
      <c r="S798" s="62"/>
      <c r="T798" s="62"/>
      <c r="V798" s="62"/>
      <c r="W798" s="62"/>
    </row>
    <row r="799" spans="14:23" x14ac:dyDescent="0.3">
      <c r="N799" s="62"/>
      <c r="O799" s="62"/>
      <c r="P799" s="62"/>
      <c r="Q799" s="62"/>
      <c r="R799" s="62"/>
      <c r="S799" s="62"/>
      <c r="T799" s="62"/>
      <c r="V799" s="62"/>
      <c r="W799" s="62"/>
    </row>
    <row r="800" spans="14:23" x14ac:dyDescent="0.3">
      <c r="N800" s="62"/>
      <c r="O800" s="62"/>
      <c r="P800" s="62"/>
      <c r="Q800" s="62"/>
      <c r="R800" s="62"/>
      <c r="S800" s="62"/>
      <c r="T800" s="62"/>
      <c r="V800" s="62"/>
      <c r="W800" s="62"/>
    </row>
    <row r="801" spans="14:23" x14ac:dyDescent="0.3">
      <c r="N801" s="62"/>
      <c r="O801" s="62"/>
      <c r="P801" s="62"/>
      <c r="Q801" s="62"/>
      <c r="R801" s="62"/>
      <c r="S801" s="62"/>
      <c r="T801" s="62"/>
      <c r="V801" s="62"/>
      <c r="W801" s="62"/>
    </row>
    <row r="802" spans="14:23" x14ac:dyDescent="0.3">
      <c r="N802" s="62"/>
      <c r="O802" s="62"/>
      <c r="P802" s="62"/>
      <c r="Q802" s="62"/>
      <c r="R802" s="62"/>
      <c r="S802" s="62"/>
      <c r="T802" s="62"/>
      <c r="V802" s="62"/>
      <c r="W802" s="62"/>
    </row>
    <row r="803" spans="14:23" x14ac:dyDescent="0.3">
      <c r="N803" s="62"/>
      <c r="O803" s="62"/>
      <c r="P803" s="62"/>
      <c r="Q803" s="62"/>
      <c r="R803" s="62"/>
      <c r="S803" s="62"/>
      <c r="T803" s="62"/>
      <c r="V803" s="62"/>
      <c r="W803" s="62"/>
    </row>
    <row r="804" spans="14:23" x14ac:dyDescent="0.3">
      <c r="N804" s="62"/>
      <c r="O804" s="62"/>
      <c r="P804" s="62"/>
      <c r="Q804" s="62"/>
      <c r="R804" s="62"/>
      <c r="S804" s="62"/>
      <c r="T804" s="62"/>
      <c r="V804" s="62"/>
      <c r="W804" s="62"/>
    </row>
    <row r="805" spans="14:23" x14ac:dyDescent="0.3">
      <c r="N805" s="62"/>
      <c r="O805" s="62"/>
      <c r="P805" s="62"/>
      <c r="Q805" s="62"/>
      <c r="R805" s="62"/>
      <c r="S805" s="62"/>
      <c r="T805" s="62"/>
      <c r="V805" s="62"/>
      <c r="W805" s="62"/>
    </row>
    <row r="806" spans="14:23" x14ac:dyDescent="0.3">
      <c r="N806" s="62"/>
      <c r="O806" s="62"/>
      <c r="P806" s="62"/>
      <c r="Q806" s="62"/>
      <c r="R806" s="62"/>
      <c r="S806" s="62"/>
      <c r="T806" s="62"/>
      <c r="V806" s="62"/>
      <c r="W806" s="62"/>
    </row>
    <row r="807" spans="14:23" x14ac:dyDescent="0.3">
      <c r="N807" s="62"/>
      <c r="O807" s="62"/>
      <c r="P807" s="62"/>
      <c r="Q807" s="62"/>
      <c r="R807" s="62"/>
      <c r="S807" s="62"/>
      <c r="T807" s="62"/>
      <c r="V807" s="62"/>
      <c r="W807" s="62"/>
    </row>
    <row r="808" spans="14:23" x14ac:dyDescent="0.3">
      <c r="N808" s="62"/>
      <c r="O808" s="62"/>
      <c r="P808" s="62"/>
      <c r="Q808" s="62"/>
      <c r="R808" s="62"/>
      <c r="S808" s="62"/>
      <c r="T808" s="62"/>
      <c r="V808" s="62"/>
      <c r="W808" s="62"/>
    </row>
    <row r="809" spans="14:23" x14ac:dyDescent="0.3">
      <c r="N809" s="62"/>
      <c r="O809" s="62"/>
      <c r="P809" s="62"/>
      <c r="Q809" s="62"/>
      <c r="R809" s="62"/>
      <c r="S809" s="62"/>
      <c r="T809" s="62"/>
      <c r="V809" s="62"/>
      <c r="W809" s="62"/>
    </row>
    <row r="810" spans="14:23" x14ac:dyDescent="0.3">
      <c r="N810" s="62"/>
      <c r="O810" s="62"/>
      <c r="P810" s="62"/>
      <c r="Q810" s="62"/>
      <c r="R810" s="62"/>
      <c r="S810" s="62"/>
      <c r="T810" s="62"/>
      <c r="V810" s="62"/>
      <c r="W810" s="62"/>
    </row>
    <row r="811" spans="14:23" x14ac:dyDescent="0.3">
      <c r="N811" s="62"/>
      <c r="O811" s="62"/>
      <c r="P811" s="62"/>
      <c r="Q811" s="62"/>
      <c r="R811" s="62"/>
      <c r="S811" s="62"/>
      <c r="T811" s="62"/>
      <c r="V811" s="62"/>
      <c r="W811" s="62"/>
    </row>
    <row r="812" spans="14:23" x14ac:dyDescent="0.3">
      <c r="N812" s="62"/>
      <c r="O812" s="62"/>
      <c r="P812" s="62"/>
      <c r="Q812" s="62"/>
      <c r="R812" s="62"/>
      <c r="S812" s="62"/>
      <c r="T812" s="62"/>
      <c r="V812" s="62"/>
      <c r="W812" s="62"/>
    </row>
    <row r="813" spans="14:23" x14ac:dyDescent="0.3">
      <c r="N813" s="62"/>
      <c r="O813" s="62"/>
      <c r="P813" s="62"/>
      <c r="Q813" s="62"/>
      <c r="R813" s="62"/>
      <c r="S813" s="62"/>
      <c r="T813" s="62"/>
      <c r="V813" s="62"/>
      <c r="W813" s="62"/>
    </row>
    <row r="814" spans="14:23" x14ac:dyDescent="0.3">
      <c r="N814" s="62"/>
      <c r="O814" s="62"/>
      <c r="P814" s="62"/>
      <c r="Q814" s="62"/>
      <c r="R814" s="62"/>
      <c r="S814" s="62"/>
      <c r="T814" s="62"/>
      <c r="V814" s="62"/>
      <c r="W814" s="62"/>
    </row>
    <row r="815" spans="14:23" x14ac:dyDescent="0.3">
      <c r="N815" s="62"/>
      <c r="O815" s="62"/>
      <c r="P815" s="62"/>
      <c r="Q815" s="62"/>
      <c r="R815" s="62"/>
      <c r="S815" s="62"/>
      <c r="T815" s="62"/>
      <c r="V815" s="62"/>
      <c r="W815" s="62"/>
    </row>
    <row r="816" spans="14:23" x14ac:dyDescent="0.3">
      <c r="N816" s="62"/>
      <c r="O816" s="62"/>
      <c r="P816" s="62"/>
      <c r="Q816" s="62"/>
      <c r="R816" s="62"/>
      <c r="S816" s="62"/>
      <c r="T816" s="62"/>
      <c r="V816" s="62"/>
      <c r="W816" s="62"/>
    </row>
    <row r="817" spans="14:23" x14ac:dyDescent="0.3">
      <c r="N817" s="62"/>
      <c r="O817" s="62"/>
      <c r="P817" s="62"/>
      <c r="Q817" s="62"/>
      <c r="R817" s="62"/>
      <c r="S817" s="62"/>
      <c r="T817" s="62"/>
      <c r="V817" s="62"/>
      <c r="W817" s="62"/>
    </row>
    <row r="818" spans="14:23" x14ac:dyDescent="0.3">
      <c r="N818" s="62"/>
      <c r="O818" s="62"/>
      <c r="P818" s="62"/>
      <c r="Q818" s="62"/>
      <c r="R818" s="62"/>
      <c r="S818" s="62"/>
      <c r="T818" s="62"/>
      <c r="V818" s="62"/>
      <c r="W818" s="62"/>
    </row>
    <row r="819" spans="14:23" x14ac:dyDescent="0.3">
      <c r="N819" s="62"/>
      <c r="O819" s="62"/>
      <c r="P819" s="62"/>
      <c r="Q819" s="62"/>
      <c r="R819" s="62"/>
      <c r="S819" s="62"/>
      <c r="T819" s="62"/>
      <c r="V819" s="62"/>
      <c r="W819" s="62"/>
    </row>
    <row r="820" spans="14:23" x14ac:dyDescent="0.3">
      <c r="N820" s="62"/>
      <c r="O820" s="62"/>
      <c r="P820" s="62"/>
      <c r="Q820" s="62"/>
      <c r="R820" s="62"/>
      <c r="S820" s="62"/>
      <c r="T820" s="62"/>
      <c r="V820" s="62"/>
      <c r="W820" s="62"/>
    </row>
    <row r="821" spans="14:23" x14ac:dyDescent="0.3">
      <c r="N821" s="62"/>
      <c r="O821" s="62"/>
      <c r="P821" s="62"/>
      <c r="Q821" s="62"/>
      <c r="R821" s="62"/>
      <c r="S821" s="62"/>
      <c r="T821" s="62"/>
      <c r="V821" s="62"/>
      <c r="W821" s="62"/>
    </row>
    <row r="822" spans="14:23" x14ac:dyDescent="0.3">
      <c r="N822" s="62"/>
      <c r="O822" s="62"/>
      <c r="P822" s="62"/>
      <c r="Q822" s="62"/>
      <c r="R822" s="62"/>
      <c r="S822" s="62"/>
      <c r="T822" s="62"/>
      <c r="V822" s="62"/>
      <c r="W822" s="62"/>
    </row>
    <row r="823" spans="14:23" x14ac:dyDescent="0.3">
      <c r="N823" s="62"/>
      <c r="O823" s="62"/>
      <c r="P823" s="62"/>
      <c r="Q823" s="62"/>
      <c r="R823" s="62"/>
      <c r="S823" s="62"/>
      <c r="T823" s="62"/>
      <c r="V823" s="62"/>
      <c r="W823" s="62"/>
    </row>
    <row r="824" spans="14:23" x14ac:dyDescent="0.3">
      <c r="N824" s="62"/>
      <c r="O824" s="62"/>
      <c r="P824" s="62"/>
      <c r="Q824" s="62"/>
      <c r="R824" s="62"/>
      <c r="S824" s="62"/>
      <c r="T824" s="62"/>
      <c r="V824" s="62"/>
      <c r="W824" s="62"/>
    </row>
    <row r="825" spans="14:23" x14ac:dyDescent="0.3">
      <c r="N825" s="62"/>
      <c r="O825" s="62"/>
      <c r="P825" s="62"/>
      <c r="Q825" s="62"/>
      <c r="R825" s="62"/>
      <c r="S825" s="62"/>
      <c r="T825" s="62"/>
      <c r="V825" s="62"/>
      <c r="W825" s="62"/>
    </row>
    <row r="826" spans="14:23" x14ac:dyDescent="0.3">
      <c r="N826" s="62"/>
      <c r="O826" s="62"/>
      <c r="P826" s="62"/>
      <c r="Q826" s="62"/>
      <c r="R826" s="62"/>
      <c r="S826" s="62"/>
      <c r="T826" s="62"/>
      <c r="V826" s="62"/>
      <c r="W826" s="62"/>
    </row>
    <row r="827" spans="14:23" x14ac:dyDescent="0.3">
      <c r="N827" s="62"/>
      <c r="O827" s="62"/>
      <c r="P827" s="62"/>
      <c r="Q827" s="62"/>
      <c r="R827" s="62"/>
      <c r="S827" s="62"/>
      <c r="T827" s="62"/>
      <c r="V827" s="62"/>
      <c r="W827" s="62"/>
    </row>
    <row r="828" spans="14:23" x14ac:dyDescent="0.3">
      <c r="N828" s="62"/>
      <c r="O828" s="62"/>
      <c r="P828" s="62"/>
      <c r="Q828" s="62"/>
      <c r="R828" s="62"/>
      <c r="S828" s="62"/>
      <c r="T828" s="62"/>
      <c r="V828" s="62"/>
      <c r="W828" s="62"/>
    </row>
    <row r="829" spans="14:23" x14ac:dyDescent="0.3">
      <c r="N829" s="62"/>
      <c r="O829" s="62"/>
      <c r="P829" s="62"/>
      <c r="Q829" s="62"/>
      <c r="R829" s="62"/>
      <c r="S829" s="62"/>
      <c r="T829" s="62"/>
      <c r="V829" s="62"/>
      <c r="W829" s="62"/>
    </row>
    <row r="830" spans="14:23" x14ac:dyDescent="0.3">
      <c r="N830" s="62"/>
      <c r="O830" s="62"/>
      <c r="P830" s="62"/>
      <c r="Q830" s="62"/>
      <c r="R830" s="62"/>
      <c r="S830" s="62"/>
      <c r="T830" s="62"/>
      <c r="V830" s="62"/>
      <c r="W830" s="62"/>
    </row>
    <row r="831" spans="14:23" x14ac:dyDescent="0.3">
      <c r="N831" s="62"/>
      <c r="O831" s="62"/>
      <c r="P831" s="62"/>
      <c r="Q831" s="62"/>
      <c r="R831" s="62"/>
      <c r="S831" s="62"/>
      <c r="T831" s="62"/>
      <c r="V831" s="62"/>
      <c r="W831" s="62"/>
    </row>
    <row r="832" spans="14:23" x14ac:dyDescent="0.3">
      <c r="N832" s="62"/>
      <c r="O832" s="62"/>
      <c r="P832" s="62"/>
      <c r="Q832" s="62"/>
      <c r="R832" s="62"/>
      <c r="S832" s="62"/>
      <c r="T832" s="62"/>
      <c r="V832" s="62"/>
      <c r="W832" s="62"/>
    </row>
    <row r="833" spans="14:23" x14ac:dyDescent="0.3">
      <c r="N833" s="62"/>
      <c r="O833" s="62"/>
      <c r="P833" s="62"/>
      <c r="Q833" s="62"/>
      <c r="R833" s="62"/>
      <c r="S833" s="62"/>
      <c r="T833" s="62"/>
      <c r="V833" s="62"/>
      <c r="W833" s="62"/>
    </row>
    <row r="834" spans="14:23" x14ac:dyDescent="0.3">
      <c r="N834" s="62"/>
      <c r="O834" s="62"/>
      <c r="P834" s="62"/>
      <c r="Q834" s="62"/>
      <c r="R834" s="62"/>
      <c r="S834" s="62"/>
      <c r="T834" s="62"/>
      <c r="V834" s="62"/>
      <c r="W834" s="62"/>
    </row>
    <row r="835" spans="14:23" x14ac:dyDescent="0.3">
      <c r="N835" s="62"/>
      <c r="O835" s="62"/>
      <c r="P835" s="62"/>
      <c r="Q835" s="62"/>
      <c r="R835" s="62"/>
      <c r="S835" s="62"/>
      <c r="T835" s="62"/>
      <c r="V835" s="62"/>
      <c r="W835" s="62"/>
    </row>
    <row r="836" spans="14:23" x14ac:dyDescent="0.3">
      <c r="N836" s="62"/>
      <c r="O836" s="62"/>
      <c r="P836" s="62"/>
      <c r="Q836" s="62"/>
      <c r="R836" s="62"/>
      <c r="S836" s="62"/>
      <c r="T836" s="62"/>
      <c r="V836" s="62"/>
      <c r="W836" s="62"/>
    </row>
    <row r="837" spans="14:23" x14ac:dyDescent="0.3">
      <c r="N837" s="62"/>
      <c r="O837" s="62"/>
      <c r="P837" s="62"/>
      <c r="Q837" s="62"/>
      <c r="R837" s="62"/>
      <c r="S837" s="62"/>
      <c r="T837" s="62"/>
      <c r="V837" s="62"/>
      <c r="W837" s="62"/>
    </row>
    <row r="838" spans="14:23" x14ac:dyDescent="0.3">
      <c r="N838" s="62"/>
      <c r="O838" s="62"/>
      <c r="P838" s="62"/>
      <c r="Q838" s="62"/>
      <c r="R838" s="62"/>
      <c r="S838" s="62"/>
      <c r="T838" s="62"/>
      <c r="V838" s="62"/>
      <c r="W838" s="62"/>
    </row>
    <row r="839" spans="14:23" x14ac:dyDescent="0.3">
      <c r="N839" s="62"/>
      <c r="O839" s="62"/>
      <c r="P839" s="62"/>
      <c r="Q839" s="62"/>
      <c r="R839" s="62"/>
      <c r="S839" s="62"/>
      <c r="T839" s="62"/>
      <c r="V839" s="62"/>
      <c r="W839" s="62"/>
    </row>
    <row r="840" spans="14:23" x14ac:dyDescent="0.3">
      <c r="N840" s="62"/>
      <c r="O840" s="62"/>
      <c r="P840" s="62"/>
      <c r="Q840" s="62"/>
      <c r="R840" s="62"/>
      <c r="S840" s="62"/>
      <c r="T840" s="62"/>
      <c r="V840" s="62"/>
      <c r="W840" s="62"/>
    </row>
    <row r="841" spans="14:23" x14ac:dyDescent="0.3">
      <c r="N841" s="62"/>
      <c r="O841" s="62"/>
      <c r="P841" s="62"/>
      <c r="Q841" s="62"/>
      <c r="R841" s="62"/>
      <c r="S841" s="62"/>
      <c r="T841" s="62"/>
      <c r="V841" s="62"/>
      <c r="W841" s="62"/>
    </row>
    <row r="842" spans="14:23" x14ac:dyDescent="0.3">
      <c r="N842" s="62"/>
      <c r="O842" s="62"/>
      <c r="P842" s="62"/>
      <c r="Q842" s="62"/>
      <c r="R842" s="62"/>
      <c r="S842" s="62"/>
      <c r="T842" s="62"/>
      <c r="V842" s="62"/>
      <c r="W842" s="62"/>
    </row>
    <row r="843" spans="14:23" x14ac:dyDescent="0.3">
      <c r="N843" s="62"/>
      <c r="O843" s="62"/>
      <c r="P843" s="62"/>
      <c r="Q843" s="62"/>
      <c r="R843" s="62"/>
      <c r="S843" s="62"/>
      <c r="T843" s="62"/>
      <c r="V843" s="62"/>
      <c r="W843" s="62"/>
    </row>
    <row r="844" spans="14:23" x14ac:dyDescent="0.3">
      <c r="N844" s="62"/>
      <c r="O844" s="62"/>
      <c r="P844" s="62"/>
      <c r="Q844" s="62"/>
      <c r="R844" s="62"/>
      <c r="S844" s="62"/>
      <c r="T844" s="62"/>
      <c r="V844" s="62"/>
      <c r="W844" s="62"/>
    </row>
    <row r="845" spans="14:23" x14ac:dyDescent="0.3">
      <c r="N845" s="62"/>
      <c r="O845" s="62"/>
      <c r="P845" s="62"/>
      <c r="Q845" s="62"/>
      <c r="R845" s="62"/>
      <c r="S845" s="62"/>
      <c r="T845" s="62"/>
      <c r="V845" s="62"/>
      <c r="W845" s="62"/>
    </row>
    <row r="846" spans="14:23" x14ac:dyDescent="0.3">
      <c r="N846" s="62"/>
      <c r="O846" s="62"/>
      <c r="P846" s="62"/>
      <c r="Q846" s="62"/>
      <c r="R846" s="62"/>
      <c r="S846" s="62"/>
      <c r="T846" s="62"/>
      <c r="V846" s="62"/>
      <c r="W846" s="62"/>
    </row>
    <row r="847" spans="14:23" x14ac:dyDescent="0.3">
      <c r="N847" s="62"/>
      <c r="O847" s="62"/>
      <c r="P847" s="62"/>
      <c r="Q847" s="62"/>
      <c r="R847" s="62"/>
      <c r="S847" s="62"/>
      <c r="T847" s="62"/>
      <c r="V847" s="62"/>
      <c r="W847" s="62"/>
    </row>
    <row r="848" spans="14:23" x14ac:dyDescent="0.3">
      <c r="N848" s="62"/>
      <c r="O848" s="62"/>
      <c r="P848" s="62"/>
      <c r="Q848" s="62"/>
      <c r="R848" s="62"/>
      <c r="S848" s="62"/>
      <c r="T848" s="62"/>
      <c r="V848" s="62"/>
      <c r="W848" s="62"/>
    </row>
  </sheetData>
  <sheetProtection selectLockedCells="1" sort="0" autoFilter="0" pivotTables="0"/>
  <dataConsolidate link="1"/>
  <mergeCells count="24">
    <mergeCell ref="K6:M6"/>
    <mergeCell ref="H6:J6"/>
    <mergeCell ref="B156:G156"/>
    <mergeCell ref="H156:M156"/>
    <mergeCell ref="B159:E159"/>
    <mergeCell ref="F159:G159"/>
    <mergeCell ref="H159:K159"/>
    <mergeCell ref="L159:M159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0:E160"/>
    <mergeCell ref="F160:G160"/>
    <mergeCell ref="H160:K160"/>
    <mergeCell ref="L160:M160"/>
    <mergeCell ref="B161:E161"/>
    <mergeCell ref="F161:G161"/>
    <mergeCell ref="H161:K161"/>
    <mergeCell ref="L161:M161"/>
  </mergeCells>
  <phoneticPr fontId="12" type="noConversion"/>
  <conditionalFormatting sqref="X8:Z153">
    <cfRule type="cellIs" dxfId="44" priority="119" operator="greaterThan">
      <formula>1</formula>
    </cfRule>
    <cfRule type="cellIs" dxfId="43" priority="120" operator="equal">
      <formula>1</formula>
    </cfRule>
    <cfRule type="cellIs" dxfId="42" priority="121" operator="equal">
      <formula>0</formula>
    </cfRule>
  </conditionalFormatting>
  <conditionalFormatting sqref="AH1:AH1048576">
    <cfRule type="containsText" dxfId="41" priority="1" operator="containsText" text="IN">
      <formula>NOT(ISERROR(SEARCH("IN",AH1)))</formula>
    </cfRule>
    <cfRule type="containsText" dxfId="40" priority="2" operator="containsText" text="INSERVICE">
      <formula>NOT(ISERROR(SEARCH("INSERVICE",AH1)))</formula>
    </cfRule>
  </conditionalFormatting>
  <dataValidations count="5">
    <dataValidation type="list" allowBlank="1" showInputMessage="1" showErrorMessage="1" error="Please Select a right value from the list" sqref="E116:E153 E8:E111">
      <formula1>$E$3:$E$31</formula1>
    </dataValidation>
    <dataValidation type="list" allowBlank="1" showInputMessage="1" showErrorMessage="1" error="Please Select a right value from the list" sqref="G108:G113 G118:G124 G91:G93 G115:G116 G83 G78:G81 G84 G95:G106 G126:G153 G8:G75">
      <formula1>$R$3:$R$14</formula1>
    </dataValidation>
    <dataValidation type="list" allowBlank="1" showInputMessage="1" showErrorMessage="1" error="Please Select a right value from the list" sqref="A142:A145 A147:A153">
      <formula1>$B$3:$B$145</formula1>
    </dataValidation>
    <dataValidation type="list" allowBlank="1" showInputMessage="1" showErrorMessage="1" error="Please Select a right value from the list" sqref="D154:D1048576">
      <formula1>$K$3:$K$10</formula1>
    </dataValidation>
    <dataValidation type="whole" operator="greaterThan" allowBlank="1" showInputMessage="1" showErrorMessage="1" errorTitle="Wrong Number" error="This number should not contain fractures and can't be a negative number" sqref="X8:Z153">
      <formula1>-1</formula1>
    </dataValidation>
  </dataValidations>
  <pageMargins left="0.25" right="0.25" top="0.75" bottom="0.75" header="0.3" footer="0.3"/>
  <pageSetup paperSize="9" fitToWidth="0" orientation="landscape" r:id="rId1"/>
  <rowBreaks count="1" manualBreakCount="1">
    <brk id="43" max="16383" man="1"/>
  </rowBreaks>
  <colBreaks count="3" manualBreakCount="3">
    <brk id="13" max="1048575" man="1"/>
    <brk id="22" max="1048575" man="1"/>
    <brk id="35" max="1048575" man="1"/>
  </colBreaks>
  <ignoredErrors>
    <ignoredError sqref="F147:F153 AH147:AH153 AH89:AH91 F89:F91 F9 AH8:AH9 F75:F80 AH75:AH80 F82:F83 AH82:AH83 F85:F87 AH85:AH87 F94:F99 AH94:AH99 F101:F104 AH101:AH104 F106:F122 AH106:AH122 AH136:AH137 F136:F137 F124:F134 AH124:AH134 F11:F45 AH11:AH45 AH47:AH60 F47:F60 AH142:AH145 F142:F145 AH61:AH71 F61:F71" unlockedFormula="1"/>
    <ignoredError sqref="A152:A153" listDataValidatio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0" operator="equal" id="{B3A56422-A0B4-45D0-AB61-9BAC3C3C678B}">
            <xm:f>'Z:\Users\EP07775\AppData\Local\Microsoft\Windows\INetCache\Content.Outlook\76KDPLA8\[Sucker Rod Database.xlsx]SR Data Lists'!#REF!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111" operator="equal" id="{08B90C85-2903-4309-B501-1F122362C40B}">
            <xm:f>'Z:\Users\EP07775\AppData\Local\Microsoft\Windows\INetCache\Content.Outlook\76KDPLA8\[Sucker Rod Database.xlsx]SR Data Lists'!#REF!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112" operator="equal" id="{46CA11E1-2A99-46E0-8A88-614893A16433}">
            <xm:f>'Z:\Users\EP07775\AppData\Local\Microsoft\Windows\INetCache\Content.Outlook\76KDPLA8\[Sucker Rod Database.xlsx]SR Data Lists'!#REF!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13" operator="equal" id="{D987D09D-0A7D-4018-83FE-3533075478F5}">
            <xm:f>'Z:\Users\EP07775\AppData\Local\Microsoft\Windows\INetCache\Content.Outlook\76KDPLA8\[Sucker Rod Database.xlsx]SR Data Lists'!#REF!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I137:I147 I115:I135 I8:I74</xm:sqref>
        </x14:conditionalFormatting>
        <x14:conditionalFormatting xmlns:xm="http://schemas.microsoft.com/office/excel/2006/main">
          <x14:cfRule type="cellIs" priority="108" operator="equal" id="{56021D8D-2940-4D35-A545-F7D2431F7A58}">
            <xm:f>' Data Lists'!$Q$4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9" operator="equal" id="{D58386CA-71D9-4666-A154-6B6827D666CA}">
            <xm:f>' Data Lists'!$Q$3</xm:f>
            <x14:dxf>
              <font>
                <b/>
                <i val="0"/>
                <color theme="1"/>
              </font>
              <fill>
                <patternFill>
                  <fgColor auto="1"/>
                  <bgColor theme="6" tint="0.39994506668294322"/>
                </patternFill>
              </fill>
            </x14:dxf>
          </x14:cfRule>
          <xm:sqref>C8:D153</xm:sqref>
        </x14:conditionalFormatting>
        <x14:conditionalFormatting xmlns:xm="http://schemas.microsoft.com/office/excel/2006/main">
          <x14:cfRule type="cellIs" priority="139" operator="equal" id="{0C2FB89F-B19E-4605-AF4C-785F1583A61C}">
            <xm:f>' Data Lists'!$C$6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140" operator="equal" id="{AA203E17-A036-4612-A98C-62BCABE93150}">
            <xm:f>' Data Lists'!#REF!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141" operator="equal" id="{8BFC4B77-05F6-48D9-B8EA-C1C3C398A97B}">
            <xm:f>' Data Lists'!$C$4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42" operator="equal" id="{747C2FD2-8E09-44A6-8815-39E2C1115AF6}">
            <xm:f>' Data Lists'!$C$3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J137:M147 H8:H74 AF8:AF153 AB8:AD153 J8:M135 B8:D153</xm:sqref>
        </x14:conditionalFormatting>
        <x14:conditionalFormatting xmlns:xm="http://schemas.microsoft.com/office/excel/2006/main">
          <x14:cfRule type="cellIs" priority="40" operator="equal" id="{0FED8B70-656F-46CC-BA90-741C2FB8CCA7}">
            <xm:f>'Z:\Users\EP07775\AppData\Local\Microsoft\Windows\INetCache\Content.Outlook\76KDPLA8\[Sucker Rod Database.xlsx]SR Data Lists'!#REF!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41" operator="equal" id="{BE5543BB-0FC8-4A82-9324-CBF4878D3D8A}">
            <xm:f>'Z:\Users\EP07775\AppData\Local\Microsoft\Windows\INetCache\Content.Outlook\76KDPLA8\[Sucker Rod Database.xlsx]SR Data Lists'!#REF!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42" operator="equal" id="{EFC28804-17AE-4C17-80A1-C71799D1D57D}">
            <xm:f>'Z:\Users\EP07775\AppData\Local\Microsoft\Windows\INetCache\Content.Outlook\76KDPLA8\[Sucker Rod Database.xlsx]SR Data Lists'!#REF!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43" operator="equal" id="{D91FCFDA-EE74-4609-8A4A-817F73376C99}">
            <xm:f>'Z:\Users\EP07775\AppData\Local\Microsoft\Windows\INetCache\Content.Outlook\76KDPLA8\[Sucker Rod Database.xlsx]SR Data Lists'!#REF!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H75:I114</xm:sqref>
        </x14:conditionalFormatting>
        <x14:conditionalFormatting xmlns:xm="http://schemas.microsoft.com/office/excel/2006/main">
          <x14:cfRule type="cellIs" priority="32" operator="equal" id="{F3EB6E02-A308-4047-B120-22066909C044}">
            <xm:f>'Z:\Users\EP07775\AppData\Local\Microsoft\Windows\INetCache\Content.Outlook\76KDPLA8\[Sucker Rod Database.xlsx]SR Data Lists'!#REF!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33" operator="equal" id="{0FB086C5-0ADD-4ADC-85D0-9838389D6D65}">
            <xm:f>'Z:\Users\EP07775\AppData\Local\Microsoft\Windows\INetCache\Content.Outlook\76KDPLA8\[Sucker Rod Database.xlsx]SR Data Lists'!#REF!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34" operator="equal" id="{5AE8D1D8-6D68-4AED-B4D3-1E8BD74DE7C9}">
            <xm:f>'Z:\Users\EP07775\AppData\Local\Microsoft\Windows\INetCache\Content.Outlook\76KDPLA8\[Sucker Rod Database.xlsx]SR Data Lists'!#REF!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35" operator="equal" id="{73CFC40B-BE28-41D0-ABAC-9530FFCAD37E}">
            <xm:f>'Z:\Users\EP07775\AppData\Local\Microsoft\Windows\INetCache\Content.Outlook\76KDPLA8\[Sucker Rod Database.xlsx]SR Data Lists'!#REF!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H137:H147 H115:H135</xm:sqref>
        </x14:conditionalFormatting>
        <x14:conditionalFormatting xmlns:xm="http://schemas.microsoft.com/office/excel/2006/main">
          <x14:cfRule type="cellIs" priority="15" operator="equal" id="{ACDCA8E7-66BD-47A6-8C07-10CD274A6BE1}">
            <xm:f>'Z:\Users\EP07775\AppData\Local\Microsoft\Windows\INetCache\Content.Outlook\76KDPLA8\[Sucker Rod Database.xlsx]SR Data Lists'!#REF!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16" operator="equal" id="{69F286D0-AEA4-408E-8CCD-7DDF75BF98F0}">
            <xm:f>'Z:\Users\EP07775\AppData\Local\Microsoft\Windows\INetCache\Content.Outlook\76KDPLA8\[Sucker Rod Database.xlsx]SR Data Lists'!#REF!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17" operator="equal" id="{66AAE231-A796-489C-905E-3EAB691336D2}">
            <xm:f>'Z:\Users\EP07775\AppData\Local\Microsoft\Windows\INetCache\Content.Outlook\76KDPLA8\[Sucker Rod Database.xlsx]SR Data Lists'!#REF!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8" operator="equal" id="{16C90675-7988-4CE2-B850-9C70E3BF618D}">
            <xm:f>'Z:\Users\EP07775\AppData\Local\Microsoft\Windows\INetCache\Content.Outlook\76KDPLA8\[Sucker Rod Database.xlsx]SR Data Lists'!#REF!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I136</xm:sqref>
        </x14:conditionalFormatting>
        <x14:conditionalFormatting xmlns:xm="http://schemas.microsoft.com/office/excel/2006/main">
          <x14:cfRule type="cellIs" priority="19" operator="equal" id="{63C7B10D-03D9-475C-91A9-A1F90A1B7A42}">
            <xm:f>' Data Lists'!$C$6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20" operator="equal" id="{2D89B3D1-A864-47FE-B1D9-268AACA2F2DB}">
            <xm:f>' Data Lists'!#REF!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21" operator="equal" id="{5D630AB9-E902-48A4-AD15-8B476CD271AB}">
            <xm:f>' Data Lists'!$C$4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22" operator="equal" id="{420C05A7-8935-49CD-805E-49E5480CB210}">
            <xm:f>' Data Lists'!$C$3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J136:M136</xm:sqref>
        </x14:conditionalFormatting>
        <x14:conditionalFormatting xmlns:xm="http://schemas.microsoft.com/office/excel/2006/main">
          <x14:cfRule type="cellIs" priority="11" operator="equal" id="{5D615C56-17BD-4772-BDD5-95FB63CB0A73}">
            <xm:f>'Z:\Users\EP07775\AppData\Local\Microsoft\Windows\INetCache\Content.Outlook\76KDPLA8\[Sucker Rod Database.xlsx]SR Data Lists'!#REF!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12" operator="equal" id="{D1115E06-8FEB-4452-9533-01964642AE1D}">
            <xm:f>'Z:\Users\EP07775\AppData\Local\Microsoft\Windows\INetCache\Content.Outlook\76KDPLA8\[Sucker Rod Database.xlsx]SR Data Lists'!#REF!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13" operator="equal" id="{000E70ED-3EC6-4070-B2E7-A69401B04E19}">
            <xm:f>'Z:\Users\EP07775\AppData\Local\Microsoft\Windows\INetCache\Content.Outlook\76KDPLA8\[Sucker Rod Database.xlsx]SR Data Lists'!#REF!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4" operator="equal" id="{AC2EFBCB-380F-4AB4-B16B-9BADD5D31D91}">
            <xm:f>'Z:\Users\EP07775\AppData\Local\Microsoft\Windows\INetCache\Content.Outlook\76KDPLA8\[Sucker Rod Database.xlsx]SR Data Lists'!#REF!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H136</xm:sqref>
        </x14:conditionalFormatting>
        <x14:conditionalFormatting xmlns:xm="http://schemas.microsoft.com/office/excel/2006/main">
          <x14:cfRule type="containsText" priority="666" operator="containsText" id="{9BBA56AE-9740-4B18-9BB4-8A51686648CF}">
            <xm:f>NOT(ISERROR(SEARCH(' Data Lists'!$U$11,F8)))</xm:f>
            <xm:f>' Data Lists'!$U$11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67" operator="containsText" id="{AEBCBB2B-A329-431B-8CCC-A3A75155E20F}">
            <xm:f>NOT(ISERROR(SEARCH(' Data Lists'!$U$31,F8)))</xm:f>
            <xm:f>' Data Lists'!$U$31</xm:f>
            <x14:dxf>
              <fill>
                <patternFill>
                  <bgColor rgb="FF92D050"/>
                </patternFill>
              </fill>
            </x14:dxf>
          </x14:cfRule>
          <x14:cfRule type="containsText" priority="668" operator="containsText" id="{A403C11C-EB55-4A01-8C3E-5DF2D6F207CE}">
            <xm:f>NOT(ISERROR(SEARCH(' Data Lists'!$U$13,F8)))</xm:f>
            <xm:f>' Data Lists'!$U$13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669" operator="containsText" id="{AAAA1FD5-A82C-4DA3-BE50-626F5AD922A1}">
            <xm:f>NOT(ISERROR(SEARCH($F$144,F8)))</xm:f>
            <xm:f>$F$144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70" operator="containsText" id="{3CB3DC75-196C-4D1E-9C33-20400775D5B6}">
            <xm:f>NOT(ISERROR(SEARCH(#REF!,F8)))</xm:f>
            <xm:f>#REF!</xm:f>
            <x14:dxf>
              <fill>
                <patternFill>
                  <bgColor theme="2" tint="-0.24994659260841701"/>
                </patternFill>
              </fill>
            </x14:dxf>
          </x14:cfRule>
          <xm:sqref>F8:F153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error="Please Select a right value from the list">
          <x14:formula1>
            <xm:f>' Data Lists'!$E$3:$E$31</xm:f>
          </x14:formula1>
          <xm:sqref>E113:E114</xm:sqref>
        </x14:dataValidation>
        <x14:dataValidation type="list" allowBlank="1" showInputMessage="1" showErrorMessage="1" error="Please Select a right value from the list">
          <x14:formula1>
            <xm:f>' Data Lists'!$R$3:$R$14</xm:f>
          </x14:formula1>
          <xm:sqref>G85:G89</xm:sqref>
        </x14:dataValidation>
        <x14:dataValidation type="list" allowBlank="1" showInputMessage="1" showErrorMessage="1" error="Please Select a right value from the list">
          <x14:formula1>
            <xm:f>' Data Lists'!$K$3:$K$9</xm:f>
          </x14:formula1>
          <xm:sqref>D1:D6 D8:D153</xm:sqref>
        </x14:dataValidation>
        <x14:dataValidation type="list" allowBlank="1" showInputMessage="1" showErrorMessage="1" error="Please Select a right value from the list">
          <x14:formula1>
            <xm:f>' Data Lists'!$Q$3:$Q$4</xm:f>
          </x14:formula1>
          <xm:sqref>C8:C153</xm:sqref>
        </x14:dataValidation>
        <x14:dataValidation type="list" allowBlank="1" showInputMessage="1" showErrorMessage="1">
          <x14:formula1>
            <xm:f>' Data Lists'!$G$3:$G$9</xm:f>
          </x14:formula1>
          <xm:sqref>AA8:AA153</xm:sqref>
        </x14:dataValidation>
        <x14:dataValidation type="list" allowBlank="1" showInputMessage="1" showErrorMessage="1" error="Please Select a right value from the list">
          <x14:formula1>
            <xm:f>' Data Lists'!$C$3:$C$7</xm:f>
          </x14:formula1>
          <xm:sqref>B8:B153</xm:sqref>
        </x14:dataValidation>
        <x14:dataValidation type="list" allowBlank="1" showInputMessage="1" showErrorMessage="1">
          <x14:formula1>
            <xm:f>' Data Lists'!$M$3:$M$4</xm:f>
          </x14:formula1>
          <xm:sqref>AB8:AB153</xm:sqref>
        </x14:dataValidation>
        <x14:dataValidation type="list" allowBlank="1" showInputMessage="1" showErrorMessage="1">
          <x14:formula1>
            <xm:f>' Data Lists'!$N$3:$N$8</xm:f>
          </x14:formula1>
          <xm:sqref>AD8:AD153</xm:sqref>
        </x14:dataValidation>
        <x14:dataValidation type="list" allowBlank="1" showInputMessage="1" showErrorMessage="1">
          <x14:formula1>
            <xm:f>' Data Lists'!$P$3:$P$6</xm:f>
          </x14:formula1>
          <xm:sqref>AC8:AC153</xm:sqref>
        </x14:dataValidation>
        <x14:dataValidation type="list" allowBlank="1" showInputMessage="1" showErrorMessage="1">
          <x14:formula1>
            <xm:f>' Data Lists'!$F$3:$F$4</xm:f>
          </x14:formula1>
          <xm:sqref>AE8:AE153</xm:sqref>
        </x14:dataValidation>
        <x14:dataValidation type="list" allowBlank="1" showInputMessage="1" showErrorMessage="1">
          <x14:formula1>
            <xm:f>' Data Lists'!$O$3:$O$7</xm:f>
          </x14:formula1>
          <xm:sqref>AF8:AF153</xm:sqref>
        </x14:dataValidation>
        <x14:dataValidation type="list" allowBlank="1" showInputMessage="1" showErrorMessage="1">
          <x14:formula1>
            <xm:f>' Data Lists'!$H$3:$H$57</xm:f>
          </x14:formula1>
          <xm:sqref>U8:U153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A8:A138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view="pageBreakPreview" topLeftCell="A20" zoomScale="60" zoomScaleNormal="100" workbookViewId="0">
      <selection activeCell="K16" sqref="K16:K18"/>
    </sheetView>
  </sheetViews>
  <sheetFormatPr defaultRowHeight="28.5" x14ac:dyDescent="0.45"/>
  <cols>
    <col min="1" max="1" width="17.85546875" customWidth="1"/>
    <col min="2" max="3" width="13.140625" customWidth="1"/>
    <col min="4" max="4" width="13.7109375" customWidth="1"/>
    <col min="5" max="5" width="14.28515625" style="477" customWidth="1"/>
    <col min="6" max="6" width="15.140625" customWidth="1"/>
    <col min="7" max="7" width="14.140625" customWidth="1"/>
    <col min="8" max="8" width="11.85546875" customWidth="1"/>
    <col min="9" max="9" width="12.5703125" customWidth="1"/>
    <col min="10" max="10" width="14.5703125" customWidth="1"/>
    <col min="11" max="11" width="15.7109375" customWidth="1"/>
  </cols>
  <sheetData>
    <row r="1" spans="1:11" ht="85.5" customHeight="1" thickBot="1" x14ac:dyDescent="0.3">
      <c r="A1" s="779" t="s">
        <v>378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</row>
    <row r="2" spans="1:11" ht="32.25" thickTop="1" x14ac:dyDescent="0.25">
      <c r="A2" s="435" t="s">
        <v>344</v>
      </c>
      <c r="B2" s="436" t="s">
        <v>131</v>
      </c>
      <c r="C2" s="436" t="s">
        <v>132</v>
      </c>
      <c r="D2" s="438" t="s">
        <v>181</v>
      </c>
      <c r="E2" s="439" t="s">
        <v>134</v>
      </c>
      <c r="F2" s="435" t="s">
        <v>344</v>
      </c>
      <c r="G2" s="436" t="s">
        <v>131</v>
      </c>
      <c r="H2" s="436" t="s">
        <v>132</v>
      </c>
      <c r="I2" s="438" t="s">
        <v>181</v>
      </c>
      <c r="J2" s="439" t="s">
        <v>134</v>
      </c>
      <c r="K2" s="439" t="s">
        <v>262</v>
      </c>
    </row>
    <row r="3" spans="1:11" ht="30" customHeight="1" x14ac:dyDescent="0.25">
      <c r="A3" s="610" t="s">
        <v>106</v>
      </c>
      <c r="B3" s="481">
        <f>'PLT. WELL BLANCE'!E16</f>
        <v>290</v>
      </c>
      <c r="C3" s="482"/>
      <c r="D3" s="483">
        <f>'PLT. WELL BLANCE'!G16</f>
        <v>129.59</v>
      </c>
      <c r="E3" s="478">
        <f>'PLT. WELL BLANCE'!$K$16</f>
        <v>0</v>
      </c>
      <c r="F3" s="606" t="s">
        <v>113</v>
      </c>
      <c r="G3" s="485">
        <f>'PLT. WELL BLANCE'!E77</f>
        <v>310</v>
      </c>
      <c r="H3" s="482">
        <f>(1-I3/G3)*100</f>
        <v>12.125806451612908</v>
      </c>
      <c r="I3" s="483">
        <f>'PLT. WELL BLANCE'!G77</f>
        <v>272.40999999999997</v>
      </c>
      <c r="J3" s="478">
        <f>'PLT. WELL BLANCE'!$K$77</f>
        <v>0.22</v>
      </c>
      <c r="K3" s="810" t="s">
        <v>93</v>
      </c>
    </row>
    <row r="4" spans="1:11" ht="30" customHeight="1" x14ac:dyDescent="0.25">
      <c r="A4" s="610" t="s">
        <v>107</v>
      </c>
      <c r="B4" s="481">
        <f>'PLT. WELL BLANCE'!E23</f>
        <v>410</v>
      </c>
      <c r="C4" s="482">
        <f t="shared" ref="C4:C20" si="0">(1-D4/B4)*100</f>
        <v>73.358536585365869</v>
      </c>
      <c r="D4" s="483">
        <f>'PLT. WELL BLANCE'!G23</f>
        <v>109.22999999999999</v>
      </c>
      <c r="E4" s="478">
        <f>'PLT. WELL BLANCE'!$K$23</f>
        <v>0.62</v>
      </c>
      <c r="F4" s="606" t="s">
        <v>115</v>
      </c>
      <c r="G4" s="485">
        <f>'PLT. WELL BLANCE'!E87</f>
        <v>150</v>
      </c>
      <c r="H4" s="482">
        <f>(1-I4/G4)*100</f>
        <v>52.413333333333334</v>
      </c>
      <c r="I4" s="483">
        <f>'PLT. WELL BLANCE'!G87</f>
        <v>71.38</v>
      </c>
      <c r="J4" s="478">
        <f>'PLT. WELL BLANCE'!$K$87</f>
        <v>0.97</v>
      </c>
      <c r="K4" s="810"/>
    </row>
    <row r="5" spans="1:11" ht="30" customHeight="1" x14ac:dyDescent="0.25">
      <c r="A5" s="610" t="s">
        <v>103</v>
      </c>
      <c r="B5" s="484">
        <f>'PLT. WELL BLANCE'!E28</f>
        <v>130</v>
      </c>
      <c r="C5" s="482">
        <f t="shared" si="0"/>
        <v>70.569230769230757</v>
      </c>
      <c r="D5" s="483">
        <f>'PLT. WELL BLANCE'!G28</f>
        <v>38.260000000000005</v>
      </c>
      <c r="E5" s="478">
        <f>'PLT. WELL BLANCE'!$K$28</f>
        <v>0.62</v>
      </c>
      <c r="F5" s="606" t="s">
        <v>116</v>
      </c>
      <c r="G5" s="485">
        <f>'PLT. WELL BLANCE'!E97</f>
        <v>655</v>
      </c>
      <c r="H5" s="482">
        <f>(1-I5/G5)*100</f>
        <v>63.729770992366412</v>
      </c>
      <c r="I5" s="483">
        <f>'PLT. WELL BLANCE'!G97</f>
        <v>237.57</v>
      </c>
      <c r="J5" s="478">
        <f>'PLT. WELL BLANCE'!$K$97</f>
        <v>1.4300000000000002</v>
      </c>
      <c r="K5" s="810"/>
    </row>
    <row r="6" spans="1:11" ht="30" customHeight="1" x14ac:dyDescent="0.25">
      <c r="A6" s="610" t="s">
        <v>105</v>
      </c>
      <c r="B6" s="485">
        <f>'PLT. WELL BLANCE'!E35</f>
        <v>420</v>
      </c>
      <c r="C6" s="482">
        <f t="shared" si="0"/>
        <v>54.930952380952377</v>
      </c>
      <c r="D6" s="483">
        <f>'PLT. WELL BLANCE'!G35</f>
        <v>189.29000000000002</v>
      </c>
      <c r="E6" s="478">
        <f>'PLT. WELL BLANCE'!$K$35</f>
        <v>1.4239999999999999</v>
      </c>
      <c r="F6" s="606" t="s">
        <v>303</v>
      </c>
      <c r="G6" s="485">
        <f>'PLT. WELL BLANCE'!E101</f>
        <v>50</v>
      </c>
      <c r="H6" s="482">
        <f>(1-I6/G6)*100</f>
        <v>33.099999999999994</v>
      </c>
      <c r="I6" s="483">
        <f>'PLT. WELL BLANCE'!G101</f>
        <v>33.450000000000003</v>
      </c>
      <c r="J6" s="478">
        <f>'PLT. WELL BLANCE'!$K$101</f>
        <v>0.04</v>
      </c>
      <c r="K6" s="810"/>
    </row>
    <row r="7" spans="1:11" ht="30" customHeight="1" x14ac:dyDescent="0.25">
      <c r="A7" s="610" t="s">
        <v>104</v>
      </c>
      <c r="B7" s="485">
        <f>'PLT. WELL BLANCE'!E44</f>
        <v>550</v>
      </c>
      <c r="C7" s="482">
        <f t="shared" si="0"/>
        <v>58.447272727272725</v>
      </c>
      <c r="D7" s="483">
        <f>'PLT. WELL BLANCE'!G44</f>
        <v>228.54</v>
      </c>
      <c r="E7" s="478">
        <f>'PLT. WELL BLANCE'!$K$44</f>
        <v>1.33</v>
      </c>
      <c r="F7" s="606" t="s">
        <v>118</v>
      </c>
      <c r="G7" s="485">
        <f>'PLT. WELL BLANCE'!E109</f>
        <v>400</v>
      </c>
      <c r="H7" s="482">
        <f>(1-I7/G7)*100</f>
        <v>97.5</v>
      </c>
      <c r="I7" s="483">
        <f>'PLT. WELL BLANCE'!G109</f>
        <v>10.000000000000009</v>
      </c>
      <c r="J7" s="478">
        <f>'PLT. WELL BLANCE'!$K$109</f>
        <v>0.05</v>
      </c>
      <c r="K7" s="810"/>
    </row>
    <row r="8" spans="1:11" ht="30" customHeight="1" x14ac:dyDescent="0.25">
      <c r="A8" s="610" t="s">
        <v>108</v>
      </c>
      <c r="B8" s="485">
        <f>'PLT. WELL BLANCE'!E46</f>
        <v>210</v>
      </c>
      <c r="C8" s="482">
        <f>(1-D8/B8)*100</f>
        <v>79.599999999999994</v>
      </c>
      <c r="D8" s="483">
        <f>'PLT. WELL BLANCE'!G46</f>
        <v>42.840000000000018</v>
      </c>
      <c r="E8" s="478">
        <f>'PLT. WELL BLANCE'!$K$46</f>
        <v>0.14000000000000001</v>
      </c>
      <c r="F8" s="606" t="s">
        <v>119</v>
      </c>
      <c r="G8" s="481">
        <f>'PLT. WELL BLANCE'!E111</f>
        <v>80</v>
      </c>
      <c r="H8" s="482"/>
      <c r="I8" s="483">
        <f>'PLT. WELL BLANCE'!G111</f>
        <v>14.320000000000004</v>
      </c>
      <c r="J8" s="478">
        <f>'PLT. WELL BLANCE'!$K$112</f>
        <v>0</v>
      </c>
      <c r="K8" s="810"/>
    </row>
    <row r="9" spans="1:11" ht="30" customHeight="1" x14ac:dyDescent="0.25">
      <c r="A9" s="610" t="s">
        <v>111</v>
      </c>
      <c r="B9" s="485">
        <f>'PLT. WELL BLANCE'!E67</f>
        <v>200</v>
      </c>
      <c r="C9" s="482"/>
      <c r="D9" s="483">
        <f>'PLT. WELL BLANCE'!G67</f>
        <v>5.600000000000005</v>
      </c>
      <c r="E9" s="478">
        <f>'PLT. WELL BLANCE'!$K$67</f>
        <v>0</v>
      </c>
      <c r="F9" s="617" t="s">
        <v>120</v>
      </c>
      <c r="G9" s="486">
        <f>'PLT. WELL BLANCE'!E118</f>
        <v>260</v>
      </c>
      <c r="H9" s="487">
        <f>(1-I9/G9)*100</f>
        <v>52.307692307692299</v>
      </c>
      <c r="I9" s="488">
        <f>'PLT. WELL BLANCE'!G118</f>
        <v>124</v>
      </c>
      <c r="J9" s="479">
        <f>'PLT. WELL BLANCE'!$K$118</f>
        <v>0.56000000000000005</v>
      </c>
      <c r="K9" s="810"/>
    </row>
    <row r="10" spans="1:11" ht="30.75" customHeight="1" thickBot="1" x14ac:dyDescent="0.3">
      <c r="A10" s="610" t="s">
        <v>112</v>
      </c>
      <c r="B10" s="485">
        <f>'PLT. WELL BLANCE'!E69</f>
        <v>35</v>
      </c>
      <c r="C10" s="482">
        <f t="shared" ref="C10" si="1">(1-D10/B10)*100</f>
        <v>67.8</v>
      </c>
      <c r="D10" s="483">
        <f>'PLT. WELL BLANCE'!G69</f>
        <v>11.270000000000003</v>
      </c>
      <c r="E10" s="478">
        <f>'PLT. WELL BLANCE'!$K$69</f>
        <v>0</v>
      </c>
      <c r="F10" s="617"/>
      <c r="G10" s="486"/>
      <c r="H10" s="487"/>
      <c r="I10" s="488"/>
      <c r="J10" s="478"/>
      <c r="K10" s="811"/>
    </row>
    <row r="11" spans="1:11" ht="71.25" hidden="1" customHeight="1" thickTop="1" thickBot="1" x14ac:dyDescent="0.3">
      <c r="A11" s="611"/>
      <c r="B11" s="457">
        <f>SUM(B3:B10)</f>
        <v>2245</v>
      </c>
      <c r="C11" s="455"/>
      <c r="D11" s="456">
        <f>SUM(D3:D10)</f>
        <v>754.62</v>
      </c>
      <c r="E11" s="489">
        <f>SUM(E3:E10)</f>
        <v>4.1339999999999995</v>
      </c>
      <c r="F11" s="618"/>
      <c r="G11" s="457">
        <f>SUM(G3:G10)</f>
        <v>1905</v>
      </c>
      <c r="H11" s="455"/>
      <c r="I11" s="456">
        <f>SUM(I3:I10)</f>
        <v>763.13</v>
      </c>
      <c r="J11" s="489">
        <f>SUM(J3:J10)</f>
        <v>3.27</v>
      </c>
      <c r="K11" s="508"/>
    </row>
    <row r="12" spans="1:11" ht="30.75" customHeight="1" thickTop="1" x14ac:dyDescent="0.25">
      <c r="A12" s="612" t="s">
        <v>97</v>
      </c>
      <c r="B12" s="510">
        <f>'PLT. WELL BLANCE'!E7</f>
        <v>455</v>
      </c>
      <c r="C12" s="511">
        <f>(1-D12/B12)*100</f>
        <v>46.832967032967041</v>
      </c>
      <c r="D12" s="512">
        <f>'PLT. WELL BLANCE'!G7</f>
        <v>241.90999999999997</v>
      </c>
      <c r="E12" s="513">
        <f>'PLT. WELL BLANCE'!$K$7</f>
        <v>0.13</v>
      </c>
      <c r="F12" s="607" t="s">
        <v>110</v>
      </c>
      <c r="G12" s="514">
        <f>'PLT. WELL BLANCE'!E64</f>
        <v>315</v>
      </c>
      <c r="H12" s="511">
        <f>(1-I12/G12)*100</f>
        <v>36.673015873015871</v>
      </c>
      <c r="I12" s="512">
        <f>'PLT. WELL BLANCE'!G64</f>
        <v>199.48000000000002</v>
      </c>
      <c r="J12" s="513">
        <f>'PLT. WELL BLANCE'!$K$64</f>
        <v>0.37</v>
      </c>
      <c r="K12" s="812" t="s">
        <v>94</v>
      </c>
    </row>
    <row r="13" spans="1:11" ht="30" customHeight="1" x14ac:dyDescent="0.25">
      <c r="A13" s="610" t="s">
        <v>102</v>
      </c>
      <c r="B13" s="485">
        <f>'PLT. WELL BLANCE'!E12</f>
        <v>810</v>
      </c>
      <c r="C13" s="482">
        <f>(1-D13/B13)*100</f>
        <v>85.980864197530863</v>
      </c>
      <c r="D13" s="483">
        <f>'PLT. WELL BLANCE'!G12</f>
        <v>113.55500000000004</v>
      </c>
      <c r="E13" s="478">
        <f>'PLT. WELL BLANCE'!$K$12</f>
        <v>0.6</v>
      </c>
      <c r="F13" s="606" t="s">
        <v>95</v>
      </c>
      <c r="G13" s="485">
        <f>'PLT. WELL BLANCE'!E125</f>
        <v>940</v>
      </c>
      <c r="H13" s="482">
        <f>(1-I13/G13)*100</f>
        <v>78.844680851063814</v>
      </c>
      <c r="I13" s="483">
        <f>'PLT. WELL BLANCE'!G125</f>
        <v>198.86000000000004</v>
      </c>
      <c r="J13" s="478">
        <f>'PLT. WELL BLANCE'!$K$125</f>
        <v>0.95</v>
      </c>
      <c r="K13" s="810"/>
    </row>
    <row r="14" spans="1:11" ht="30.75" customHeight="1" thickBot="1" x14ac:dyDescent="0.3">
      <c r="A14" s="613" t="s">
        <v>109</v>
      </c>
      <c r="B14" s="515">
        <f>'PLT. WELL BLANCE'!E60</f>
        <v>1480</v>
      </c>
      <c r="C14" s="516">
        <f t="shared" si="0"/>
        <v>66.608783783783792</v>
      </c>
      <c r="D14" s="517">
        <f>'PLT. WELL BLANCE'!G60</f>
        <v>494.19</v>
      </c>
      <c r="E14" s="518">
        <f>'PLT. WELL BLANCE'!$K$60</f>
        <v>1.6419999999999999</v>
      </c>
      <c r="F14" s="608" t="s">
        <v>124</v>
      </c>
      <c r="G14" s="515">
        <f>'total pltf'!E24</f>
        <v>155</v>
      </c>
      <c r="H14" s="605">
        <f>'total pltf'!F24</f>
        <v>69.932258064516134</v>
      </c>
      <c r="I14" s="517">
        <f>'total pltf'!G24</f>
        <v>46.604999999999997</v>
      </c>
      <c r="J14" s="518">
        <f>'total pltf'!$I$24</f>
        <v>0.41</v>
      </c>
      <c r="K14" s="811"/>
    </row>
    <row r="15" spans="1:11" ht="60" hidden="1" customHeight="1" thickTop="1" thickBot="1" x14ac:dyDescent="0.3">
      <c r="A15" s="614"/>
      <c r="B15" s="506">
        <f>SUM(B12:B14)</f>
        <v>2745</v>
      </c>
      <c r="C15" s="507"/>
      <c r="D15" s="508">
        <f>SUM(D12:D14)</f>
        <v>849.65499999999997</v>
      </c>
      <c r="E15" s="509">
        <f>SUM(E12:E14)</f>
        <v>2.3719999999999999</v>
      </c>
      <c r="F15" s="619"/>
      <c r="G15" s="506">
        <f>SUM(G12:G14)</f>
        <v>1410</v>
      </c>
      <c r="H15" s="507"/>
      <c r="I15" s="508">
        <f>SUM(I12:I14)</f>
        <v>444.94500000000005</v>
      </c>
      <c r="J15" s="509">
        <f>SUM(J12:J14)</f>
        <v>1.7299999999999998</v>
      </c>
      <c r="K15" s="508"/>
    </row>
    <row r="16" spans="1:11" ht="30.75" customHeight="1" thickTop="1" x14ac:dyDescent="0.25">
      <c r="A16" s="612" t="s">
        <v>114</v>
      </c>
      <c r="B16" s="514">
        <f>'PLT. WELL BLANCE'!E82</f>
        <v>300</v>
      </c>
      <c r="C16" s="511">
        <f t="shared" si="0"/>
        <v>48.940000000000005</v>
      </c>
      <c r="D16" s="512">
        <f>'PLT. WELL BLANCE'!G82</f>
        <v>153.17999999999998</v>
      </c>
      <c r="E16" s="513">
        <f>'PLT. WELL BLANCE'!$K$82</f>
        <v>1.05</v>
      </c>
      <c r="F16" s="607" t="s">
        <v>121</v>
      </c>
      <c r="G16" s="514">
        <f>'PLT. WELL BLANCE'!E144</f>
        <v>505</v>
      </c>
      <c r="H16" s="511">
        <f>(1-I16/G16)*100</f>
        <v>88.303960396039599</v>
      </c>
      <c r="I16" s="512">
        <f>'PLT. WELL BLANCE'!G144</f>
        <v>59.064999999999991</v>
      </c>
      <c r="J16" s="513">
        <f>'PLT. WELL BLANCE'!$K$144</f>
        <v>0.68</v>
      </c>
      <c r="K16" s="812" t="s">
        <v>101</v>
      </c>
    </row>
    <row r="17" spans="1:11" ht="30" customHeight="1" x14ac:dyDescent="0.25">
      <c r="A17" s="610" t="s">
        <v>117</v>
      </c>
      <c r="B17" s="485">
        <f>'PLT. WELL BLANCE'!E107</f>
        <v>120</v>
      </c>
      <c r="C17" s="482">
        <f t="shared" si="0"/>
        <v>71</v>
      </c>
      <c r="D17" s="483">
        <f>'PLT. WELL BLANCE'!G107</f>
        <v>34.799999999999997</v>
      </c>
      <c r="E17" s="478">
        <f>'PLT. WELL BLANCE'!$K$107</f>
        <v>0</v>
      </c>
      <c r="F17" s="606" t="s">
        <v>122</v>
      </c>
      <c r="G17" s="485">
        <f>'PLT. WELL BLANCE'!E159</f>
        <v>1265</v>
      </c>
      <c r="H17" s="482">
        <f>(1-I17/G17)*100</f>
        <v>55.446640316205531</v>
      </c>
      <c r="I17" s="483">
        <f>'PLT. WELL BLANCE'!G159</f>
        <v>563.6</v>
      </c>
      <c r="J17" s="478">
        <f>'PLT. WELL BLANCE'!$K$159</f>
        <v>2.8200000000000003</v>
      </c>
      <c r="K17" s="810"/>
    </row>
    <row r="18" spans="1:11" ht="30.75" customHeight="1" thickBot="1" x14ac:dyDescent="0.3">
      <c r="A18" s="613" t="s">
        <v>96</v>
      </c>
      <c r="B18" s="515">
        <f>'PLT. WELL BLANCE'!E137</f>
        <v>480</v>
      </c>
      <c r="C18" s="516">
        <f t="shared" si="0"/>
        <v>51.24166666666666</v>
      </c>
      <c r="D18" s="517">
        <f>'PLT. WELL BLANCE'!G137</f>
        <v>234.04000000000002</v>
      </c>
      <c r="E18" s="518">
        <f>'PLT. WELL BLANCE'!$K$137</f>
        <v>2.35</v>
      </c>
      <c r="F18" s="608" t="s">
        <v>123</v>
      </c>
      <c r="G18" s="515" t="e">
        <f>'PLT. WELL BLANCE'!E169</f>
        <v>#REF!</v>
      </c>
      <c r="H18" s="516" t="e">
        <f>(1-I18/G18)*100</f>
        <v>#REF!</v>
      </c>
      <c r="I18" s="517" t="e">
        <f>'PLT. WELL BLANCE'!G169</f>
        <v>#REF!</v>
      </c>
      <c r="J18" s="518" t="e">
        <f>'PLT. WELL BLANCE'!$K$169</f>
        <v>#REF!</v>
      </c>
      <c r="K18" s="811"/>
    </row>
    <row r="19" spans="1:11" ht="45.75" hidden="1" customHeight="1" thickTop="1" thickBot="1" x14ac:dyDescent="0.3">
      <c r="A19" s="615"/>
      <c r="B19" s="506">
        <f>SUM(B16:B18)</f>
        <v>900</v>
      </c>
      <c r="C19" s="507"/>
      <c r="D19" s="508">
        <f>SUM(D16:D18)</f>
        <v>422.02</v>
      </c>
      <c r="E19" s="509">
        <f>SUM(E16:E18)</f>
        <v>3.4000000000000004</v>
      </c>
      <c r="F19" s="619"/>
      <c r="G19" s="506" t="e">
        <f>SUM(G16:G18)</f>
        <v>#REF!</v>
      </c>
      <c r="H19" s="507"/>
      <c r="I19" s="508" t="e">
        <f>SUM(I16:I18)</f>
        <v>#REF!</v>
      </c>
      <c r="J19" s="509" t="e">
        <f>SUM(J16:J18)</f>
        <v>#REF!</v>
      </c>
      <c r="K19" s="491"/>
    </row>
    <row r="20" spans="1:11" ht="33" thickTop="1" thickBot="1" x14ac:dyDescent="0.3">
      <c r="A20" s="616" t="s">
        <v>125</v>
      </c>
      <c r="B20" s="519">
        <f>'PLT. WELL BLANCE'!E181</f>
        <v>1700</v>
      </c>
      <c r="C20" s="520">
        <f t="shared" si="0"/>
        <v>88.167058823529416</v>
      </c>
      <c r="D20" s="521">
        <f>'PLT. WELL BLANCE'!G181</f>
        <v>201.16000000000003</v>
      </c>
      <c r="E20" s="522">
        <f>'PLT. WELL BLANCE'!$K$181</f>
        <v>1.27</v>
      </c>
      <c r="F20" s="609"/>
      <c r="G20" s="519"/>
      <c r="H20" s="520"/>
      <c r="I20" s="521"/>
      <c r="J20" s="522"/>
      <c r="K20" s="523" t="str">
        <f>VLOOKUP(A20,' Data Lists'!$T$3:$U$31,2,)</f>
        <v>R/G</v>
      </c>
    </row>
    <row r="21" spans="1:11" ht="37.5" customHeight="1" thickTop="1" thickBot="1" x14ac:dyDescent="0.3">
      <c r="A21" s="505"/>
      <c r="B21" s="500"/>
      <c r="C21" s="501"/>
      <c r="D21" s="502"/>
      <c r="E21" s="503"/>
      <c r="F21" s="500"/>
      <c r="G21" s="500"/>
      <c r="H21" s="501"/>
      <c r="I21" s="502"/>
      <c r="J21" s="503"/>
      <c r="K21" s="504"/>
    </row>
    <row r="22" spans="1:11" ht="57" customHeight="1" thickTop="1" x14ac:dyDescent="0.25">
      <c r="A22" s="302" t="s">
        <v>344</v>
      </c>
      <c r="B22" s="804" t="s">
        <v>353</v>
      </c>
      <c r="C22" s="805"/>
      <c r="D22" s="538" t="s">
        <v>351</v>
      </c>
      <c r="E22" s="539" t="s">
        <v>352</v>
      </c>
      <c r="F22" s="802" t="s">
        <v>181</v>
      </c>
      <c r="G22" s="803"/>
      <c r="H22" s="796" t="s">
        <v>134</v>
      </c>
      <c r="I22" s="797"/>
      <c r="J22" s="492"/>
      <c r="K22" s="363"/>
    </row>
    <row r="23" spans="1:11" ht="31.5" x14ac:dyDescent="0.25">
      <c r="A23" s="763" t="s">
        <v>93</v>
      </c>
      <c r="B23" s="393">
        <f>B11+G11</f>
        <v>4150</v>
      </c>
      <c r="C23" s="526" t="s">
        <v>349</v>
      </c>
      <c r="D23" s="788">
        <f>(1-F23/B23)*100</f>
        <v>63.42771084337349</v>
      </c>
      <c r="E23" s="792" t="s">
        <v>350</v>
      </c>
      <c r="F23" s="529">
        <f>D11+I11</f>
        <v>1517.75</v>
      </c>
      <c r="G23" s="530" t="s">
        <v>349</v>
      </c>
      <c r="H23" s="780">
        <f>E11+J11</f>
        <v>7.4039999999999999</v>
      </c>
      <c r="I23" s="781"/>
      <c r="J23" s="492"/>
      <c r="K23" s="363"/>
    </row>
    <row r="24" spans="1:11" ht="32.25" thickBot="1" x14ac:dyDescent="0.3">
      <c r="A24" s="764"/>
      <c r="B24" s="490">
        <f>B23*6.289</f>
        <v>26099.35</v>
      </c>
      <c r="C24" s="527" t="s">
        <v>346</v>
      </c>
      <c r="D24" s="789"/>
      <c r="E24" s="793"/>
      <c r="F24" s="531">
        <f>F23*6.289</f>
        <v>9545.1297500000001</v>
      </c>
      <c r="G24" s="527" t="s">
        <v>346</v>
      </c>
      <c r="H24" s="782"/>
      <c r="I24" s="783"/>
      <c r="J24" s="492"/>
      <c r="K24" s="363"/>
    </row>
    <row r="25" spans="1:11" ht="32.25" thickTop="1" x14ac:dyDescent="0.25">
      <c r="A25" s="765" t="s">
        <v>94</v>
      </c>
      <c r="B25" s="534">
        <f>B15+G15</f>
        <v>4155</v>
      </c>
      <c r="C25" s="535" t="s">
        <v>349</v>
      </c>
      <c r="D25" s="790">
        <f>(1-F25/B25)*100</f>
        <v>68.842358604091459</v>
      </c>
      <c r="E25" s="794" t="s">
        <v>350</v>
      </c>
      <c r="F25" s="536">
        <f>D15+I15</f>
        <v>1294.5999999999999</v>
      </c>
      <c r="G25" s="537" t="s">
        <v>349</v>
      </c>
      <c r="H25" s="784">
        <f>E15+J15</f>
        <v>4.1019999999999994</v>
      </c>
      <c r="I25" s="785"/>
      <c r="J25" s="492"/>
      <c r="K25" s="363"/>
    </row>
    <row r="26" spans="1:11" ht="32.25" thickBot="1" x14ac:dyDescent="0.3">
      <c r="A26" s="764"/>
      <c r="B26" s="490">
        <f>B25*6.289</f>
        <v>26130.794999999998</v>
      </c>
      <c r="C26" s="527" t="s">
        <v>346</v>
      </c>
      <c r="D26" s="789"/>
      <c r="E26" s="793"/>
      <c r="F26" s="531">
        <f>F25*6.289</f>
        <v>8141.7393999999995</v>
      </c>
      <c r="G26" s="527" t="s">
        <v>346</v>
      </c>
      <c r="H26" s="782"/>
      <c r="I26" s="783"/>
      <c r="J26" s="492"/>
      <c r="K26" s="363"/>
    </row>
    <row r="27" spans="1:11" ht="32.25" thickTop="1" x14ac:dyDescent="0.25">
      <c r="A27" s="766" t="s">
        <v>101</v>
      </c>
      <c r="B27" s="525" t="e">
        <f>B19+G19</f>
        <v>#REF!</v>
      </c>
      <c r="C27" s="528" t="s">
        <v>349</v>
      </c>
      <c r="D27" s="791" t="e">
        <f>(1-F27/B27)*100</f>
        <v>#REF!</v>
      </c>
      <c r="E27" s="795" t="s">
        <v>350</v>
      </c>
      <c r="F27" s="532" t="e">
        <f>D19+I19</f>
        <v>#REF!</v>
      </c>
      <c r="G27" s="533" t="s">
        <v>349</v>
      </c>
      <c r="H27" s="786" t="e">
        <f>E19+J19</f>
        <v>#REF!</v>
      </c>
      <c r="I27" s="787"/>
      <c r="J27" s="492"/>
      <c r="K27" s="363"/>
    </row>
    <row r="28" spans="1:11" ht="32.25" thickBot="1" x14ac:dyDescent="0.3">
      <c r="A28" s="764"/>
      <c r="B28" s="490" t="e">
        <f>B27*6.289</f>
        <v>#REF!</v>
      </c>
      <c r="C28" s="527" t="s">
        <v>346</v>
      </c>
      <c r="D28" s="789"/>
      <c r="E28" s="793"/>
      <c r="F28" s="531" t="e">
        <f>F27*6.289</f>
        <v>#REF!</v>
      </c>
      <c r="G28" s="527" t="s">
        <v>346</v>
      </c>
      <c r="H28" s="782"/>
      <c r="I28" s="783"/>
      <c r="J28" s="492"/>
      <c r="K28" s="363"/>
    </row>
    <row r="29" spans="1:11" ht="33" thickTop="1" thickBot="1" x14ac:dyDescent="0.3">
      <c r="A29" s="494"/>
      <c r="B29" s="495"/>
      <c r="C29" s="496"/>
      <c r="D29" s="497"/>
      <c r="E29" s="498"/>
      <c r="F29" s="499"/>
      <c r="G29" s="499"/>
      <c r="H29" s="524"/>
      <c r="I29" s="493"/>
      <c r="K29" s="363"/>
    </row>
    <row r="30" spans="1:11" ht="43.5" thickTop="1" x14ac:dyDescent="0.35">
      <c r="A30" s="767" t="s">
        <v>321</v>
      </c>
      <c r="B30" s="768"/>
      <c r="C30" s="769" t="e">
        <f>'WELLS BLANCE'!$C$164</f>
        <v>#REF!</v>
      </c>
      <c r="D30" s="770"/>
      <c r="E30" s="540" t="s">
        <v>328</v>
      </c>
      <c r="F30" s="775" t="e">
        <f>C30*6.289</f>
        <v>#REF!</v>
      </c>
      <c r="G30" s="776"/>
      <c r="H30" s="759" t="s">
        <v>276</v>
      </c>
      <c r="I30" s="760"/>
      <c r="J30" s="493"/>
      <c r="K30" s="363"/>
    </row>
    <row r="31" spans="1:11" ht="42.75" x14ac:dyDescent="0.35">
      <c r="A31" s="771" t="s">
        <v>325</v>
      </c>
      <c r="B31" s="772"/>
      <c r="C31" s="773" t="e">
        <f>'WELLS BLANCE'!$C$165</f>
        <v>#REF!</v>
      </c>
      <c r="D31" s="774"/>
      <c r="E31" s="541" t="s">
        <v>328</v>
      </c>
      <c r="F31" s="727" t="e">
        <f>C31*6.283</f>
        <v>#REF!</v>
      </c>
      <c r="G31" s="728"/>
      <c r="H31" s="761" t="s">
        <v>276</v>
      </c>
      <c r="I31" s="762"/>
      <c r="J31" s="493"/>
      <c r="K31" s="363"/>
    </row>
    <row r="32" spans="1:11" ht="42.75" x14ac:dyDescent="0.35">
      <c r="A32" s="753" t="s">
        <v>322</v>
      </c>
      <c r="B32" s="754"/>
      <c r="C32" s="743" t="e">
        <f>'WELLS BLANCE'!$C$166</f>
        <v>#REF!</v>
      </c>
      <c r="D32" s="744"/>
      <c r="E32" s="541" t="s">
        <v>328</v>
      </c>
      <c r="F32" s="777" t="e">
        <f t="shared" ref="F32:F38" si="2">C32*6.289</f>
        <v>#REF!</v>
      </c>
      <c r="G32" s="778"/>
      <c r="H32" s="761" t="s">
        <v>276</v>
      </c>
      <c r="I32" s="762"/>
      <c r="J32" s="493"/>
      <c r="K32" s="363"/>
    </row>
    <row r="33" spans="1:11" ht="42.75" x14ac:dyDescent="0.35">
      <c r="A33" s="753" t="s">
        <v>323</v>
      </c>
      <c r="B33" s="754"/>
      <c r="C33" s="743" t="e">
        <f>'WELLS BLANCE'!$C$167</f>
        <v>#REF!</v>
      </c>
      <c r="D33" s="744"/>
      <c r="E33" s="541" t="s">
        <v>328</v>
      </c>
      <c r="F33" s="727" t="e">
        <f t="shared" si="2"/>
        <v>#REF!</v>
      </c>
      <c r="G33" s="728"/>
      <c r="H33" s="761" t="s">
        <v>276</v>
      </c>
      <c r="I33" s="762"/>
      <c r="J33" s="493"/>
      <c r="K33" s="363"/>
    </row>
    <row r="34" spans="1:11" ht="42.75" x14ac:dyDescent="0.35">
      <c r="A34" s="753" t="s">
        <v>329</v>
      </c>
      <c r="B34" s="754"/>
      <c r="C34" s="743">
        <f>'WELLS BLANCE'!$C$168</f>
        <v>201.16000000000003</v>
      </c>
      <c r="D34" s="744"/>
      <c r="E34" s="541" t="s">
        <v>328</v>
      </c>
      <c r="F34" s="777">
        <f t="shared" si="2"/>
        <v>1265.0952400000001</v>
      </c>
      <c r="G34" s="778"/>
      <c r="H34" s="761" t="s">
        <v>276</v>
      </c>
      <c r="I34" s="762"/>
      <c r="J34" s="493"/>
      <c r="K34" s="363"/>
    </row>
    <row r="35" spans="1:11" ht="42.75" x14ac:dyDescent="0.35">
      <c r="A35" s="753" t="s">
        <v>324</v>
      </c>
      <c r="B35" s="754"/>
      <c r="C35" s="745" t="e">
        <f>'WELLS BLANCE'!$C$169</f>
        <v>#REF!</v>
      </c>
      <c r="D35" s="746"/>
      <c r="E35" s="541" t="s">
        <v>328</v>
      </c>
      <c r="F35" s="727" t="e">
        <f t="shared" si="2"/>
        <v>#REF!</v>
      </c>
      <c r="G35" s="728"/>
      <c r="H35" s="761" t="s">
        <v>276</v>
      </c>
      <c r="I35" s="762"/>
      <c r="J35" s="493"/>
      <c r="K35" s="363"/>
    </row>
    <row r="36" spans="1:11" ht="41.25" customHeight="1" x14ac:dyDescent="0.25">
      <c r="A36" s="755" t="s">
        <v>381</v>
      </c>
      <c r="B36" s="756"/>
      <c r="C36" s="757" t="e">
        <f>'PLT. WELL BLANCE'!K185</f>
        <v>#REF!</v>
      </c>
      <c r="D36" s="725"/>
      <c r="E36" s="758"/>
      <c r="F36" s="724" t="s">
        <v>382</v>
      </c>
      <c r="G36" s="725"/>
      <c r="H36" s="725"/>
      <c r="I36" s="726"/>
      <c r="J36" s="493"/>
      <c r="K36" s="363"/>
    </row>
    <row r="37" spans="1:11" ht="42.75" x14ac:dyDescent="0.35">
      <c r="A37" s="749" t="s">
        <v>327</v>
      </c>
      <c r="B37" s="750"/>
      <c r="C37" s="751" t="e">
        <f>C32-C33</f>
        <v>#REF!</v>
      </c>
      <c r="D37" s="752"/>
      <c r="E37" s="542" t="s">
        <v>328</v>
      </c>
      <c r="F37" s="806" t="e">
        <f t="shared" si="2"/>
        <v>#REF!</v>
      </c>
      <c r="G37" s="807"/>
      <c r="H37" s="798" t="s">
        <v>276</v>
      </c>
      <c r="I37" s="799"/>
      <c r="J37" s="493"/>
      <c r="K37" s="363"/>
    </row>
    <row r="38" spans="1:11" ht="43.5" thickBot="1" x14ac:dyDescent="0.4">
      <c r="A38" s="741" t="s">
        <v>326</v>
      </c>
      <c r="B38" s="742"/>
      <c r="C38" s="747" t="e">
        <f>C31-C33</f>
        <v>#REF!</v>
      </c>
      <c r="D38" s="748"/>
      <c r="E38" s="543" t="s">
        <v>328</v>
      </c>
      <c r="F38" s="808" t="e">
        <f t="shared" si="2"/>
        <v>#REF!</v>
      </c>
      <c r="G38" s="809"/>
      <c r="H38" s="800" t="s">
        <v>276</v>
      </c>
      <c r="I38" s="801"/>
      <c r="J38" s="493"/>
      <c r="K38" s="364"/>
    </row>
    <row r="39" spans="1:11" ht="33" thickTop="1" thickBot="1" x14ac:dyDescent="0.3">
      <c r="A39" s="545"/>
      <c r="B39" s="546"/>
      <c r="C39" s="547"/>
      <c r="D39" s="548"/>
      <c r="E39" s="549"/>
      <c r="F39" s="524"/>
      <c r="G39" s="524"/>
      <c r="H39" s="524"/>
      <c r="I39" s="524"/>
      <c r="J39" s="524"/>
      <c r="K39" s="544"/>
    </row>
    <row r="40" spans="1:11" ht="54.75" customHeight="1" thickTop="1" thickBot="1" x14ac:dyDescent="0.3">
      <c r="A40" s="682" t="s">
        <v>355</v>
      </c>
      <c r="B40" s="683"/>
      <c r="C40" s="683"/>
      <c r="D40" s="683"/>
      <c r="E40" s="684"/>
      <c r="F40" s="686" t="s">
        <v>356</v>
      </c>
      <c r="G40" s="686"/>
      <c r="H40" s="686"/>
      <c r="I40" s="686"/>
      <c r="J40" s="686"/>
      <c r="K40" s="687"/>
    </row>
    <row r="41" spans="1:11" ht="55.5" customHeight="1" thickTop="1" x14ac:dyDescent="0.25">
      <c r="A41" s="692" t="s">
        <v>357</v>
      </c>
      <c r="B41" s="693"/>
      <c r="C41" s="693"/>
      <c r="D41" s="729">
        <f>'DATA BASE'!F157</f>
        <v>128</v>
      </c>
      <c r="E41" s="730"/>
      <c r="F41" s="698" t="s">
        <v>357</v>
      </c>
      <c r="G41" s="698"/>
      <c r="H41" s="698"/>
      <c r="I41" s="699"/>
      <c r="J41" s="735">
        <f>'DATA BASE'!$L$157</f>
        <v>18</v>
      </c>
      <c r="K41" s="736"/>
    </row>
    <row r="42" spans="1:11" ht="55.5" customHeight="1" x14ac:dyDescent="0.25">
      <c r="A42" s="702" t="s">
        <v>358</v>
      </c>
      <c r="B42" s="703"/>
      <c r="C42" s="703"/>
      <c r="D42" s="731">
        <f>'DATA BASE'!$F$158</f>
        <v>98</v>
      </c>
      <c r="E42" s="732"/>
      <c r="F42" s="706" t="s">
        <v>354</v>
      </c>
      <c r="G42" s="706"/>
      <c r="H42" s="706"/>
      <c r="I42" s="707"/>
      <c r="J42" s="737">
        <f>'DATA BASE'!$L$158</f>
        <v>12</v>
      </c>
      <c r="K42" s="738"/>
    </row>
    <row r="43" spans="1:11" ht="55.5" customHeight="1" thickBot="1" x14ac:dyDescent="0.3">
      <c r="A43" s="666" t="s">
        <v>359</v>
      </c>
      <c r="B43" s="667"/>
      <c r="C43" s="667"/>
      <c r="D43" s="733">
        <f>'DATA BASE'!$F$159</f>
        <v>29</v>
      </c>
      <c r="E43" s="734"/>
      <c r="F43" s="672" t="s">
        <v>359</v>
      </c>
      <c r="G43" s="672"/>
      <c r="H43" s="672"/>
      <c r="I43" s="673"/>
      <c r="J43" s="739">
        <f>'DATA BASE'!$L$159</f>
        <v>6</v>
      </c>
      <c r="K43" s="740"/>
    </row>
    <row r="44" spans="1:11" ht="55.5" customHeight="1" thickTop="1" thickBot="1" x14ac:dyDescent="0.3">
      <c r="A44" s="666" t="s">
        <v>360</v>
      </c>
      <c r="B44" s="667"/>
      <c r="C44" s="667"/>
      <c r="D44" s="718">
        <f>'DATA BASE'!$F$160</f>
        <v>1</v>
      </c>
      <c r="E44" s="719"/>
      <c r="F44" s="672" t="s">
        <v>361</v>
      </c>
      <c r="G44" s="672"/>
      <c r="H44" s="672"/>
      <c r="I44" s="673"/>
      <c r="J44" s="720">
        <f>'DATA BASE'!$L$160</f>
        <v>0</v>
      </c>
      <c r="K44" s="721"/>
    </row>
    <row r="45" spans="1:11" ht="55.5" customHeight="1" thickTop="1" thickBot="1" x14ac:dyDescent="0.3">
      <c r="A45" s="666" t="s">
        <v>362</v>
      </c>
      <c r="B45" s="667"/>
      <c r="C45" s="667"/>
      <c r="D45" s="722">
        <f>'DATA BASE'!$F$161</f>
        <v>0</v>
      </c>
      <c r="E45" s="723"/>
      <c r="F45" s="672" t="s">
        <v>363</v>
      </c>
      <c r="G45" s="672"/>
      <c r="H45" s="672"/>
      <c r="I45" s="673"/>
      <c r="J45" s="720">
        <f>'DATA BASE'!$L$161</f>
        <v>0</v>
      </c>
      <c r="K45" s="721"/>
    </row>
    <row r="46" spans="1:11" ht="34.5" customHeight="1" thickTop="1" thickBot="1" x14ac:dyDescent="0.3">
      <c r="A46" s="369" t="s">
        <v>364</v>
      </c>
      <c r="B46" s="551" t="s">
        <v>365</v>
      </c>
      <c r="C46" s="552" t="s">
        <v>366</v>
      </c>
      <c r="D46" s="551" t="s">
        <v>365</v>
      </c>
      <c r="E46" s="553" t="s">
        <v>366</v>
      </c>
      <c r="F46" s="551" t="s">
        <v>365</v>
      </c>
      <c r="G46" s="554" t="s">
        <v>366</v>
      </c>
      <c r="H46" s="551" t="s">
        <v>365</v>
      </c>
      <c r="I46" s="554" t="s">
        <v>366</v>
      </c>
      <c r="J46" s="551" t="s">
        <v>365</v>
      </c>
      <c r="K46" s="555"/>
    </row>
    <row r="47" spans="1:11" ht="34.5" customHeight="1" thickTop="1" x14ac:dyDescent="0.35">
      <c r="A47" s="556" t="s">
        <v>27</v>
      </c>
      <c r="B47" s="568" t="str">
        <f>'DATA BASE'!D8</f>
        <v>PROD.</v>
      </c>
      <c r="C47" s="556" t="s">
        <v>56</v>
      </c>
      <c r="D47" s="570" t="str">
        <f>'DATA BASE'!D38</f>
        <v>PROD.</v>
      </c>
      <c r="E47" s="557" t="s">
        <v>85</v>
      </c>
      <c r="F47" s="562" t="str">
        <f>'DATA BASE'!D64</f>
        <v>PROD.</v>
      </c>
      <c r="G47" s="556" t="s">
        <v>211</v>
      </c>
      <c r="H47" s="562" t="str">
        <f>'DATA BASE'!D95</f>
        <v>PROD.</v>
      </c>
      <c r="I47" s="556" t="s">
        <v>258</v>
      </c>
      <c r="J47" s="716" t="str">
        <f>'DATA BASE'!$D$126</f>
        <v>PROD.</v>
      </c>
      <c r="K47" s="717"/>
    </row>
    <row r="48" spans="1:11" ht="34.5" customHeight="1" x14ac:dyDescent="0.35">
      <c r="A48" s="556" t="s">
        <v>28</v>
      </c>
      <c r="B48" s="569" t="str">
        <f>'DATA BASE'!D9</f>
        <v>PROD.</v>
      </c>
      <c r="C48" s="556" t="s">
        <v>57</v>
      </c>
      <c r="D48" s="571" t="str">
        <f>'DATA BASE'!D39</f>
        <v>PROD.</v>
      </c>
      <c r="E48" s="556" t="s">
        <v>180</v>
      </c>
      <c r="F48" s="563" t="str">
        <f>'DATA BASE'!D65</f>
        <v>PROD.</v>
      </c>
      <c r="G48" s="556" t="s">
        <v>212</v>
      </c>
      <c r="H48" s="563" t="str">
        <f>'DATA BASE'!D96</f>
        <v>PROD.</v>
      </c>
      <c r="I48" s="556" t="s">
        <v>232</v>
      </c>
      <c r="J48" s="710" t="str">
        <f>'DATA BASE'!D127</f>
        <v>PROD.</v>
      </c>
      <c r="K48" s="711"/>
    </row>
    <row r="49" spans="1:11" ht="34.5" customHeight="1" x14ac:dyDescent="0.35">
      <c r="A49" s="556" t="s">
        <v>395</v>
      </c>
      <c r="B49" s="569" t="str">
        <f>'DATA BASE'!$B$10</f>
        <v>Producer</v>
      </c>
      <c r="C49" s="556" t="s">
        <v>58</v>
      </c>
      <c r="D49" s="571" t="str">
        <f>'DATA BASE'!D40</f>
        <v>PROD.</v>
      </c>
      <c r="E49" s="557" t="s">
        <v>86</v>
      </c>
      <c r="F49" s="563" t="str">
        <f>'DATA BASE'!D66</f>
        <v>PROD.</v>
      </c>
      <c r="G49" s="556" t="s">
        <v>213</v>
      </c>
      <c r="H49" s="563" t="str">
        <f>'DATA BASE'!D97</f>
        <v>PROD.</v>
      </c>
      <c r="I49" s="556" t="s">
        <v>233</v>
      </c>
      <c r="J49" s="710" t="str">
        <f>'DATA BASE'!$D$128</f>
        <v>PROD.</v>
      </c>
      <c r="K49" s="711"/>
    </row>
    <row r="50" spans="1:11" ht="34.5" customHeight="1" x14ac:dyDescent="0.35">
      <c r="A50" s="556" t="s">
        <v>29</v>
      </c>
      <c r="B50" s="569" t="str">
        <f>'DATA BASE'!D11</f>
        <v>PROD.</v>
      </c>
      <c r="C50" s="556" t="s">
        <v>59</v>
      </c>
      <c r="D50" s="571" t="str">
        <f>'DATA BASE'!D41</f>
        <v>PROD.</v>
      </c>
      <c r="E50" s="557" t="s">
        <v>87</v>
      </c>
      <c r="F50" s="563" t="str">
        <f>'DATA BASE'!D67</f>
        <v>PROD.</v>
      </c>
      <c r="G50" s="556" t="s">
        <v>250</v>
      </c>
      <c r="H50" s="563" t="str">
        <f>'DATA BASE'!D98</f>
        <v>PROD.</v>
      </c>
      <c r="I50" s="556" t="s">
        <v>259</v>
      </c>
      <c r="J50" s="712" t="str">
        <f>'DATA BASE'!$D$129</f>
        <v>PROD.</v>
      </c>
      <c r="K50" s="713"/>
    </row>
    <row r="51" spans="1:11" ht="34.5" customHeight="1" x14ac:dyDescent="0.35">
      <c r="A51" s="556" t="s">
        <v>30</v>
      </c>
      <c r="B51" s="569" t="str">
        <f>'DATA BASE'!D12</f>
        <v>PROD.</v>
      </c>
      <c r="C51" s="556" t="s">
        <v>60</v>
      </c>
      <c r="D51" s="571" t="str">
        <f>'DATA BASE'!D42</f>
        <v>PROD.</v>
      </c>
      <c r="E51" s="556" t="s">
        <v>88</v>
      </c>
      <c r="F51" s="563" t="str">
        <f>'DATA BASE'!D68</f>
        <v>PROD.</v>
      </c>
      <c r="G51" s="556" t="s">
        <v>251</v>
      </c>
      <c r="H51" s="563" t="str">
        <f>'DATA BASE'!D99</f>
        <v>PROD.</v>
      </c>
      <c r="I51" s="556" t="s">
        <v>234</v>
      </c>
      <c r="J51" s="710" t="e">
        <f>'DATA BASE'!#REF!</f>
        <v>#REF!</v>
      </c>
      <c r="K51" s="711"/>
    </row>
    <row r="52" spans="1:11" ht="34.5" customHeight="1" x14ac:dyDescent="0.35">
      <c r="A52" s="556" t="s">
        <v>31</v>
      </c>
      <c r="B52" s="569" t="str">
        <f>'DATA BASE'!D13</f>
        <v>PROD.</v>
      </c>
      <c r="C52" s="556" t="s">
        <v>61</v>
      </c>
      <c r="D52" s="571" t="str">
        <f>'DATA BASE'!D43</f>
        <v>PROD.</v>
      </c>
      <c r="E52" s="557" t="s">
        <v>89</v>
      </c>
      <c r="F52" s="563" t="str">
        <f>'DATA BASE'!D69</f>
        <v>PROD.</v>
      </c>
      <c r="G52" s="556" t="s">
        <v>214</v>
      </c>
      <c r="H52" s="563" t="str">
        <f>'DATA BASE'!D101</f>
        <v>PROD.</v>
      </c>
      <c r="I52" s="556" t="s">
        <v>235</v>
      </c>
      <c r="J52" s="712" t="str">
        <f>'DATA BASE'!$D$130</f>
        <v>PROD.</v>
      </c>
      <c r="K52" s="713"/>
    </row>
    <row r="53" spans="1:11" ht="34.5" customHeight="1" x14ac:dyDescent="0.35">
      <c r="A53" s="557" t="s">
        <v>32</v>
      </c>
      <c r="B53" s="569" t="str">
        <f>'DATA BASE'!D14</f>
        <v>PROD.</v>
      </c>
      <c r="C53" s="556" t="s">
        <v>62</v>
      </c>
      <c r="D53" s="571" t="str">
        <f>'DATA BASE'!D44</f>
        <v>PROD.</v>
      </c>
      <c r="E53" s="557" t="s">
        <v>90</v>
      </c>
      <c r="F53" s="563" t="str">
        <f>'DATA BASE'!D70</f>
        <v>PROD.</v>
      </c>
      <c r="G53" s="556" t="s">
        <v>215</v>
      </c>
      <c r="H53" s="563" t="str">
        <f>'DATA BASE'!D102</f>
        <v>PROD.</v>
      </c>
      <c r="I53" s="556" t="s">
        <v>236</v>
      </c>
      <c r="J53" s="712" t="str">
        <f>'DATA BASE'!$D$131</f>
        <v>PROD.</v>
      </c>
      <c r="K53" s="713"/>
    </row>
    <row r="54" spans="1:11" ht="34.5" customHeight="1" x14ac:dyDescent="0.35">
      <c r="A54" s="556" t="s">
        <v>33</v>
      </c>
      <c r="B54" s="569" t="str">
        <f>'DATA BASE'!D15</f>
        <v>PROD.</v>
      </c>
      <c r="C54" s="556" t="s">
        <v>63</v>
      </c>
      <c r="D54" s="571" t="str">
        <f>'DATA BASE'!D45</f>
        <v>PROD.</v>
      </c>
      <c r="E54" s="557" t="s">
        <v>91</v>
      </c>
      <c r="F54" s="563" t="str">
        <f>'DATA BASE'!D71</f>
        <v>PROD.</v>
      </c>
      <c r="G54" s="556" t="s">
        <v>216</v>
      </c>
      <c r="H54" s="563" t="str">
        <f>'DATA BASE'!D103</f>
        <v>PROD.</v>
      </c>
      <c r="I54" s="556" t="s">
        <v>237</v>
      </c>
      <c r="J54" s="710" t="str">
        <f>'DATA BASE'!$D$132</f>
        <v>PROD.</v>
      </c>
      <c r="K54" s="711"/>
    </row>
    <row r="55" spans="1:11" ht="34.5" customHeight="1" x14ac:dyDescent="0.35">
      <c r="A55" s="556" t="s">
        <v>34</v>
      </c>
      <c r="B55" s="569" t="str">
        <f>'DATA BASE'!D16</f>
        <v>PROD.</v>
      </c>
      <c r="C55" s="557" t="s">
        <v>64</v>
      </c>
      <c r="D55" s="571" t="str">
        <f>'DATA BASE'!D47</f>
        <v>PROD.</v>
      </c>
      <c r="E55" s="557"/>
      <c r="F55" s="563"/>
      <c r="G55" s="556" t="s">
        <v>217</v>
      </c>
      <c r="H55" s="563" t="str">
        <f>'DATA BASE'!D104</f>
        <v>PROD.</v>
      </c>
      <c r="I55" s="556" t="s">
        <v>238</v>
      </c>
      <c r="J55" s="710" t="str">
        <f>'DATA BASE'!$D$133</f>
        <v>PROD.</v>
      </c>
      <c r="K55" s="711"/>
    </row>
    <row r="56" spans="1:11" ht="34.5" customHeight="1" x14ac:dyDescent="0.35">
      <c r="A56" s="556" t="s">
        <v>35</v>
      </c>
      <c r="B56" s="569" t="str">
        <f>'DATA BASE'!D17</f>
        <v>PROD.</v>
      </c>
      <c r="C56" s="557" t="s">
        <v>65</v>
      </c>
      <c r="D56" s="571" t="str">
        <f>'DATA BASE'!D48</f>
        <v>PROD.</v>
      </c>
      <c r="E56" s="557"/>
      <c r="F56" s="563"/>
      <c r="G56" s="556" t="s">
        <v>252</v>
      </c>
      <c r="H56" s="563" t="e">
        <f>'DATA BASE'!#REF!</f>
        <v>#REF!</v>
      </c>
      <c r="I56" s="556" t="s">
        <v>239</v>
      </c>
      <c r="J56" s="710" t="str">
        <f>'DATA BASE'!$D$134</f>
        <v>PROD.</v>
      </c>
      <c r="K56" s="711"/>
    </row>
    <row r="57" spans="1:11" ht="34.5" customHeight="1" x14ac:dyDescent="0.35">
      <c r="A57" s="556" t="s">
        <v>36</v>
      </c>
      <c r="B57" s="569" t="str">
        <f>'DATA BASE'!D18</f>
        <v>PROD.</v>
      </c>
      <c r="C57" s="557" t="s">
        <v>66</v>
      </c>
      <c r="D57" s="571" t="str">
        <f>'DATA BASE'!D49</f>
        <v>PROD.</v>
      </c>
      <c r="E57" s="557"/>
      <c r="F57" s="563"/>
      <c r="G57" s="556" t="s">
        <v>218</v>
      </c>
      <c r="H57" s="563" t="str">
        <f>'DATA BASE'!D106</f>
        <v>PROD.</v>
      </c>
      <c r="I57" s="556" t="s">
        <v>240</v>
      </c>
      <c r="J57" s="712" t="str">
        <f>'DATA BASE'!$D$136</f>
        <v>PROD.</v>
      </c>
      <c r="K57" s="713"/>
    </row>
    <row r="58" spans="1:11" ht="34.5" customHeight="1" x14ac:dyDescent="0.35">
      <c r="A58" s="556" t="s">
        <v>37</v>
      </c>
      <c r="B58" s="569" t="str">
        <f>'DATA BASE'!D19</f>
        <v>PROD.</v>
      </c>
      <c r="C58" s="556" t="s">
        <v>67</v>
      </c>
      <c r="D58" s="571" t="str">
        <f>'DATA BASE'!D50</f>
        <v>PROD.</v>
      </c>
      <c r="E58" s="557"/>
      <c r="F58" s="563"/>
      <c r="G58" s="556" t="s">
        <v>253</v>
      </c>
      <c r="H58" s="563" t="str">
        <f>'DATA BASE'!D107</f>
        <v>PROD.</v>
      </c>
      <c r="I58" s="556" t="s">
        <v>260</v>
      </c>
      <c r="J58" s="710" t="str">
        <f>'DATA BASE'!$D$137</f>
        <v>PROD.</v>
      </c>
      <c r="K58" s="711"/>
    </row>
    <row r="59" spans="1:11" ht="34.5" customHeight="1" x14ac:dyDescent="0.35">
      <c r="A59" s="556" t="s">
        <v>38</v>
      </c>
      <c r="B59" s="569" t="str">
        <f>'DATA BASE'!D20</f>
        <v>PROD.</v>
      </c>
      <c r="C59" s="557" t="s">
        <v>68</v>
      </c>
      <c r="D59" s="571" t="str">
        <f>'DATA BASE'!D51</f>
        <v>PROD.</v>
      </c>
      <c r="E59" s="556" t="s">
        <v>199</v>
      </c>
      <c r="F59" s="563" t="str">
        <f>'DATA BASE'!D75</f>
        <v>PROD.</v>
      </c>
      <c r="G59" s="556" t="s">
        <v>219</v>
      </c>
      <c r="H59" s="563" t="str">
        <f>'DATA BASE'!D108</f>
        <v>PROD.</v>
      </c>
      <c r="I59" s="556" t="s">
        <v>261</v>
      </c>
      <c r="J59" s="710" t="str">
        <f>'DATA BASE'!$D$142</f>
        <v>PROD.</v>
      </c>
      <c r="K59" s="711"/>
    </row>
    <row r="60" spans="1:11" ht="34.5" customHeight="1" x14ac:dyDescent="0.35">
      <c r="A60" s="556" t="s">
        <v>39</v>
      </c>
      <c r="B60" s="569" t="str">
        <f>'DATA BASE'!D21</f>
        <v>PROD.</v>
      </c>
      <c r="C60" s="557" t="s">
        <v>69</v>
      </c>
      <c r="D60" s="571" t="str">
        <f>'DATA BASE'!D52</f>
        <v>PROD.</v>
      </c>
      <c r="E60" s="556" t="s">
        <v>200</v>
      </c>
      <c r="F60" s="563" t="str">
        <f>'DATA BASE'!D76</f>
        <v>PROD.</v>
      </c>
      <c r="G60" s="556" t="s">
        <v>220</v>
      </c>
      <c r="H60" s="563" t="str">
        <f>'DATA BASE'!D109</f>
        <v>PROD.</v>
      </c>
      <c r="I60" s="556" t="s">
        <v>241</v>
      </c>
      <c r="J60" s="710" t="str">
        <f>'DATA BASE'!$D$143</f>
        <v>PROD.</v>
      </c>
      <c r="K60" s="711"/>
    </row>
    <row r="61" spans="1:11" ht="34.5" customHeight="1" x14ac:dyDescent="0.35">
      <c r="A61" s="556" t="s">
        <v>40</v>
      </c>
      <c r="B61" s="569" t="str">
        <f>'DATA BASE'!D22</f>
        <v>PROD.</v>
      </c>
      <c r="C61" s="557" t="s">
        <v>70</v>
      </c>
      <c r="D61" s="571" t="str">
        <f>'DATA BASE'!D53</f>
        <v>PROD.</v>
      </c>
      <c r="E61" s="556" t="s">
        <v>245</v>
      </c>
      <c r="F61" s="563" t="str">
        <f>'DATA BASE'!D77</f>
        <v>PROD.</v>
      </c>
      <c r="G61" s="556" t="s">
        <v>221</v>
      </c>
      <c r="H61" s="563" t="str">
        <f>'DATA BASE'!D110</f>
        <v>PROD.</v>
      </c>
      <c r="I61" s="556" t="s">
        <v>242</v>
      </c>
      <c r="J61" s="710" t="str">
        <f>'DATA BASE'!$D$144</f>
        <v>PROD.</v>
      </c>
      <c r="K61" s="711"/>
    </row>
    <row r="62" spans="1:11" ht="34.5" customHeight="1" x14ac:dyDescent="0.35">
      <c r="A62" s="556" t="s">
        <v>41</v>
      </c>
      <c r="B62" s="569" t="str">
        <f>'DATA BASE'!D23</f>
        <v>PROD.</v>
      </c>
      <c r="C62" s="557" t="s">
        <v>71</v>
      </c>
      <c r="D62" s="563" t="str">
        <f>'DATA BASE'!D54</f>
        <v>PROD.</v>
      </c>
      <c r="E62" s="556" t="s">
        <v>246</v>
      </c>
      <c r="F62" s="563" t="str">
        <f>'DATA BASE'!D78</f>
        <v>PROD.</v>
      </c>
      <c r="G62" s="556" t="s">
        <v>222</v>
      </c>
      <c r="H62" s="563" t="str">
        <f>'DATA BASE'!D111</f>
        <v>PROD.</v>
      </c>
      <c r="I62" s="556" t="s">
        <v>243</v>
      </c>
      <c r="J62" s="710" t="str">
        <f>'DATA BASE'!$D$145</f>
        <v>PROD.</v>
      </c>
      <c r="K62" s="711"/>
    </row>
    <row r="63" spans="1:11" ht="34.5" customHeight="1" x14ac:dyDescent="0.35">
      <c r="A63" s="556" t="s">
        <v>42</v>
      </c>
      <c r="B63" s="566" t="str">
        <f>'DATA BASE'!D24</f>
        <v>PROD.</v>
      </c>
      <c r="C63" s="557" t="s">
        <v>72</v>
      </c>
      <c r="D63" s="563" t="str">
        <f>'DATA BASE'!D55</f>
        <v>PROD.</v>
      </c>
      <c r="E63" s="556" t="s">
        <v>201</v>
      </c>
      <c r="F63" s="563" t="str">
        <f>'DATA BASE'!D79</f>
        <v>PROD.</v>
      </c>
      <c r="G63" s="556" t="s">
        <v>254</v>
      </c>
      <c r="H63" s="563" t="str">
        <f>'DATA BASE'!D112</f>
        <v>PROD.</v>
      </c>
      <c r="I63" s="556" t="s">
        <v>244</v>
      </c>
      <c r="J63" s="710" t="str">
        <f>'DATA BASE'!$D$147</f>
        <v>PROD.</v>
      </c>
      <c r="K63" s="711"/>
    </row>
    <row r="64" spans="1:11" ht="34.5" customHeight="1" x14ac:dyDescent="0.35">
      <c r="A64" s="556" t="s">
        <v>43</v>
      </c>
      <c r="B64" s="566" t="str">
        <f>'DATA BASE'!D25</f>
        <v>PROD.</v>
      </c>
      <c r="C64" s="556" t="s">
        <v>73</v>
      </c>
      <c r="D64" s="563" t="e">
        <f>'DATA BASE'!#REF!</f>
        <v>#REF!</v>
      </c>
      <c r="E64" s="556" t="s">
        <v>202</v>
      </c>
      <c r="F64" s="563" t="str">
        <f>'DATA BASE'!D80</f>
        <v>PROD.</v>
      </c>
      <c r="G64" s="556" t="s">
        <v>255</v>
      </c>
      <c r="H64" s="563" t="str">
        <f>'DATA BASE'!D113</f>
        <v>PROD.</v>
      </c>
      <c r="I64" s="556"/>
      <c r="J64" s="710"/>
      <c r="K64" s="711"/>
    </row>
    <row r="65" spans="1:11" ht="34.5" customHeight="1" x14ac:dyDescent="0.35">
      <c r="A65" s="556" t="s">
        <v>44</v>
      </c>
      <c r="B65" s="566" t="str">
        <f>'DATA BASE'!D26</f>
        <v>PROD.</v>
      </c>
      <c r="C65" s="557" t="s">
        <v>74</v>
      </c>
      <c r="D65" s="563" t="str">
        <f>'DATA BASE'!D56</f>
        <v>PROD.</v>
      </c>
      <c r="E65" s="556" t="s">
        <v>203</v>
      </c>
      <c r="F65" s="563" t="str">
        <f>'DATA BASE'!D82</f>
        <v>PROD.</v>
      </c>
      <c r="G65" s="556" t="s">
        <v>223</v>
      </c>
      <c r="H65" s="563" t="str">
        <f>'DATA BASE'!D114</f>
        <v>PROD.</v>
      </c>
      <c r="I65" s="556"/>
      <c r="J65" s="710"/>
      <c r="K65" s="711"/>
    </row>
    <row r="66" spans="1:11" ht="34.5" customHeight="1" x14ac:dyDescent="0.35">
      <c r="A66" s="556" t="s">
        <v>45</v>
      </c>
      <c r="B66" s="566" t="str">
        <f>'DATA BASE'!D27</f>
        <v>PROD.</v>
      </c>
      <c r="C66" s="557" t="s">
        <v>75</v>
      </c>
      <c r="D66" s="563" t="e">
        <f>'DATA BASE'!#REF!</f>
        <v>#REF!</v>
      </c>
      <c r="E66" s="556" t="s">
        <v>247</v>
      </c>
      <c r="F66" s="563" t="str">
        <f>'DATA BASE'!D83</f>
        <v>PROD.</v>
      </c>
      <c r="G66" s="556" t="s">
        <v>224</v>
      </c>
      <c r="H66" s="563" t="str">
        <f>'DATA BASE'!D115</f>
        <v>PROD.</v>
      </c>
      <c r="I66" s="556"/>
      <c r="J66" s="710"/>
      <c r="K66" s="711"/>
    </row>
    <row r="67" spans="1:11" ht="34.5" customHeight="1" x14ac:dyDescent="0.35">
      <c r="A67" s="556" t="s">
        <v>46</v>
      </c>
      <c r="B67" s="566" t="str">
        <f>'DATA BASE'!D28</f>
        <v>PROD.</v>
      </c>
      <c r="C67" s="557" t="s">
        <v>76</v>
      </c>
      <c r="D67" s="563" t="str">
        <f>'DATA BASE'!D57</f>
        <v>PROD.</v>
      </c>
      <c r="E67" s="556" t="s">
        <v>204</v>
      </c>
      <c r="F67" s="563" t="e">
        <f>'DATA BASE'!#REF!</f>
        <v>#REF!</v>
      </c>
      <c r="G67" s="556" t="s">
        <v>225</v>
      </c>
      <c r="H67" s="563" t="str">
        <f>'DATA BASE'!D116</f>
        <v>PROD.</v>
      </c>
      <c r="I67" s="556"/>
      <c r="J67" s="710"/>
      <c r="K67" s="711"/>
    </row>
    <row r="68" spans="1:11" ht="34.5" customHeight="1" x14ac:dyDescent="0.35">
      <c r="A68" s="556" t="s">
        <v>334</v>
      </c>
      <c r="B68" s="566" t="str">
        <f>'DATA BASE'!D29</f>
        <v>PROD.</v>
      </c>
      <c r="C68" s="557" t="s">
        <v>77</v>
      </c>
      <c r="D68" s="563" t="e">
        <f>'DATA BASE'!#REF!</f>
        <v>#REF!</v>
      </c>
      <c r="E68" s="556" t="s">
        <v>205</v>
      </c>
      <c r="F68" s="563" t="str">
        <f>'DATA BASE'!D85</f>
        <v>PROD.</v>
      </c>
      <c r="G68" s="556" t="s">
        <v>226</v>
      </c>
      <c r="H68" s="563" t="str">
        <f>'DATA BASE'!D117</f>
        <v>PROD.</v>
      </c>
      <c r="I68" s="556"/>
      <c r="J68" s="710"/>
      <c r="K68" s="711"/>
    </row>
    <row r="69" spans="1:11" ht="34.5" customHeight="1" x14ac:dyDescent="0.35">
      <c r="A69" s="556" t="s">
        <v>48</v>
      </c>
      <c r="B69" s="566" t="str">
        <f>'DATA BASE'!D30</f>
        <v>PROD.</v>
      </c>
      <c r="C69" s="557" t="s">
        <v>78</v>
      </c>
      <c r="D69" s="563" t="str">
        <f>'DATA BASE'!D58</f>
        <v>PROD.</v>
      </c>
      <c r="E69" s="556" t="s">
        <v>206</v>
      </c>
      <c r="F69" s="563" t="str">
        <f>'DATA BASE'!D86</f>
        <v>PROD.</v>
      </c>
      <c r="G69" s="556" t="s">
        <v>227</v>
      </c>
      <c r="H69" s="563" t="str">
        <f>'DATA BASE'!D118</f>
        <v>PROD.</v>
      </c>
      <c r="I69" s="556" t="s">
        <v>304</v>
      </c>
      <c r="J69" s="710" t="str">
        <f>'DATA BASE'!$D$148</f>
        <v>PROD.</v>
      </c>
      <c r="K69" s="711"/>
    </row>
    <row r="70" spans="1:11" ht="34.5" customHeight="1" x14ac:dyDescent="0.35">
      <c r="A70" s="556" t="s">
        <v>49</v>
      </c>
      <c r="B70" s="566" t="str">
        <f>'DATA BASE'!D31</f>
        <v>PROD.</v>
      </c>
      <c r="C70" s="557" t="s">
        <v>79</v>
      </c>
      <c r="D70" s="563" t="str">
        <f>'DATA BASE'!D59</f>
        <v>PROD.</v>
      </c>
      <c r="E70" s="556" t="s">
        <v>207</v>
      </c>
      <c r="F70" s="563" t="str">
        <f>'DATA BASE'!D87</f>
        <v>PROD.</v>
      </c>
      <c r="G70" s="556" t="s">
        <v>228</v>
      </c>
      <c r="H70" s="563" t="str">
        <f>'DATA BASE'!D119</f>
        <v>PROD.</v>
      </c>
      <c r="I70" s="556" t="s">
        <v>313</v>
      </c>
      <c r="J70" s="710" t="str">
        <f>'DATA BASE'!$D$149</f>
        <v>PROD.</v>
      </c>
      <c r="K70" s="711"/>
    </row>
    <row r="71" spans="1:11" ht="34.5" customHeight="1" x14ac:dyDescent="0.35">
      <c r="A71" s="556" t="s">
        <v>50</v>
      </c>
      <c r="B71" s="566" t="str">
        <f>'DATA BASE'!D32</f>
        <v>PROD.</v>
      </c>
      <c r="C71" s="557" t="s">
        <v>80</v>
      </c>
      <c r="D71" s="563" t="str">
        <f>'DATA BASE'!D60</f>
        <v>PROD.</v>
      </c>
      <c r="E71" s="556" t="s">
        <v>208</v>
      </c>
      <c r="F71" s="563" t="str">
        <f>'DATA BASE'!D89</f>
        <v>PROD.</v>
      </c>
      <c r="G71" s="556" t="s">
        <v>229</v>
      </c>
      <c r="H71" s="563" t="str">
        <f>'DATA BASE'!D120</f>
        <v>PROD.</v>
      </c>
      <c r="I71" s="556" t="s">
        <v>305</v>
      </c>
      <c r="J71" s="710" t="str">
        <f>'DATA BASE'!$D$150</f>
        <v>PROD.</v>
      </c>
      <c r="K71" s="711"/>
    </row>
    <row r="72" spans="1:11" ht="34.5" customHeight="1" x14ac:dyDescent="0.35">
      <c r="A72" s="556" t="s">
        <v>52</v>
      </c>
      <c r="B72" s="566" t="str">
        <f>'DATA BASE'!D33</f>
        <v>PROD.</v>
      </c>
      <c r="C72" s="557" t="s">
        <v>81</v>
      </c>
      <c r="D72" s="563" t="e">
        <f>'DATA BASE'!#REF!</f>
        <v>#REF!</v>
      </c>
      <c r="E72" s="556" t="s">
        <v>248</v>
      </c>
      <c r="F72" s="563" t="str">
        <f>'DATA BASE'!D90</f>
        <v>PROD.</v>
      </c>
      <c r="G72" s="556" t="s">
        <v>256</v>
      </c>
      <c r="H72" s="563" t="str">
        <f>'DATA BASE'!D121</f>
        <v>PROD.</v>
      </c>
      <c r="I72" s="556" t="s">
        <v>306</v>
      </c>
      <c r="J72" s="710" t="str">
        <f>'DATA BASE'!$D$151</f>
        <v>PROD.</v>
      </c>
      <c r="K72" s="711"/>
    </row>
    <row r="73" spans="1:11" ht="36" customHeight="1" x14ac:dyDescent="0.35">
      <c r="A73" s="556" t="s">
        <v>51</v>
      </c>
      <c r="B73" s="566" t="str">
        <f>'DATA BASE'!D34</f>
        <v>PROD.</v>
      </c>
      <c r="C73" s="557" t="s">
        <v>82</v>
      </c>
      <c r="D73" s="563" t="str">
        <f>'DATA BASE'!D61</f>
        <v>PROD.</v>
      </c>
      <c r="E73" s="556" t="s">
        <v>209</v>
      </c>
      <c r="F73" s="563" t="str">
        <f>'DATA BASE'!D91</f>
        <v>PROD.</v>
      </c>
      <c r="G73" s="556" t="s">
        <v>230</v>
      </c>
      <c r="H73" s="563" t="str">
        <f>'DATA BASE'!D122</f>
        <v>PROD.</v>
      </c>
      <c r="I73" s="556" t="s">
        <v>308</v>
      </c>
      <c r="J73" s="710" t="str">
        <f>'DATA BASE'!$D$152</f>
        <v>PROD.</v>
      </c>
      <c r="K73" s="711"/>
    </row>
    <row r="74" spans="1:11" ht="34.5" customHeight="1" x14ac:dyDescent="0.35">
      <c r="A74" s="556" t="s">
        <v>53</v>
      </c>
      <c r="B74" s="566" t="str">
        <f>'DATA BASE'!D35</f>
        <v>PROD.</v>
      </c>
      <c r="C74" s="557" t="s">
        <v>83</v>
      </c>
      <c r="D74" s="563" t="str">
        <f>'DATA BASE'!D62</f>
        <v>PROD.</v>
      </c>
      <c r="E74" s="556" t="s">
        <v>210</v>
      </c>
      <c r="F74" s="563" t="e">
        <f>'DATA BASE'!#REF!</f>
        <v>#REF!</v>
      </c>
      <c r="G74" s="556" t="s">
        <v>257</v>
      </c>
      <c r="H74" s="563" t="str">
        <f>'DATA BASE'!D124</f>
        <v>PROD.</v>
      </c>
      <c r="I74" s="556" t="s">
        <v>307</v>
      </c>
      <c r="J74" s="710" t="str">
        <f>'DATA BASE'!$D$153</f>
        <v>PROD.</v>
      </c>
      <c r="K74" s="711"/>
    </row>
    <row r="75" spans="1:11" ht="34.5" customHeight="1" x14ac:dyDescent="0.35">
      <c r="A75" s="556" t="s">
        <v>54</v>
      </c>
      <c r="B75" s="566" t="str">
        <f>'DATA BASE'!D36</f>
        <v>PROD.</v>
      </c>
      <c r="C75" s="557" t="s">
        <v>84</v>
      </c>
      <c r="D75" s="564" t="str">
        <f>'DATA BASE'!D63</f>
        <v>PROD.</v>
      </c>
      <c r="E75" s="556" t="s">
        <v>249</v>
      </c>
      <c r="F75" s="564" t="str">
        <f>'DATA BASE'!D94</f>
        <v>PROD.</v>
      </c>
      <c r="G75" s="556" t="s">
        <v>231</v>
      </c>
      <c r="H75" s="564" t="str">
        <f>'DATA BASE'!$D$125</f>
        <v>PROD.</v>
      </c>
      <c r="I75" s="556"/>
      <c r="J75" s="714"/>
      <c r="K75" s="715"/>
    </row>
    <row r="76" spans="1:11" ht="34.5" customHeight="1" x14ac:dyDescent="0.35">
      <c r="A76" s="556" t="s">
        <v>55</v>
      </c>
      <c r="B76" s="567" t="str">
        <f>'DATA BASE'!D37</f>
        <v>PROD.</v>
      </c>
      <c r="C76" s="557"/>
      <c r="D76" s="558"/>
      <c r="E76" s="556"/>
      <c r="F76" s="558"/>
      <c r="G76" s="558"/>
      <c r="H76" s="558"/>
      <c r="J76" s="558"/>
      <c r="K76" s="558"/>
    </row>
    <row r="77" spans="1:11" ht="21" x14ac:dyDescent="0.35">
      <c r="B77" s="558"/>
      <c r="C77" s="558"/>
      <c r="D77" s="558"/>
      <c r="E77" s="559"/>
      <c r="F77" s="558"/>
      <c r="G77" s="558"/>
      <c r="H77" s="558"/>
      <c r="J77" s="558"/>
      <c r="K77" s="558"/>
    </row>
    <row r="78" spans="1:11" ht="21" x14ac:dyDescent="0.35">
      <c r="A78" s="558"/>
      <c r="B78" s="558"/>
      <c r="C78" s="558"/>
      <c r="D78" s="558"/>
      <c r="E78" s="559"/>
      <c r="F78" s="558"/>
      <c r="G78" s="558"/>
      <c r="H78" s="558"/>
      <c r="J78" s="558"/>
      <c r="K78" s="558"/>
    </row>
    <row r="79" spans="1:11" ht="21" x14ac:dyDescent="0.35">
      <c r="A79" s="558"/>
      <c r="B79" s="558"/>
      <c r="C79" s="558"/>
      <c r="D79" s="558"/>
      <c r="E79" s="559"/>
      <c r="F79" s="558"/>
      <c r="G79" s="558"/>
      <c r="H79" s="558"/>
      <c r="J79" s="558"/>
      <c r="K79" s="558"/>
    </row>
    <row r="80" spans="1:11" ht="21" x14ac:dyDescent="0.35">
      <c r="A80" s="558"/>
      <c r="B80" s="558"/>
      <c r="C80" s="558"/>
      <c r="D80" s="558"/>
      <c r="E80" s="559"/>
      <c r="F80" s="558"/>
      <c r="G80" s="558"/>
      <c r="H80" s="558"/>
      <c r="I80" s="558"/>
      <c r="J80" s="558"/>
      <c r="K80" s="558"/>
    </row>
    <row r="81" spans="1:2" x14ac:dyDescent="0.45">
      <c r="A81" s="558"/>
      <c r="B81" s="558"/>
    </row>
  </sheetData>
  <mergeCells count="105">
    <mergeCell ref="A1:K1"/>
    <mergeCell ref="A40:E40"/>
    <mergeCell ref="H23:I24"/>
    <mergeCell ref="H25:I26"/>
    <mergeCell ref="H27:I28"/>
    <mergeCell ref="D23:D24"/>
    <mergeCell ref="D25:D26"/>
    <mergeCell ref="D27:D28"/>
    <mergeCell ref="E23:E24"/>
    <mergeCell ref="E25:E26"/>
    <mergeCell ref="E27:E28"/>
    <mergeCell ref="H22:I22"/>
    <mergeCell ref="H35:I35"/>
    <mergeCell ref="H37:I37"/>
    <mergeCell ref="H38:I38"/>
    <mergeCell ref="F22:G22"/>
    <mergeCell ref="B22:C22"/>
    <mergeCell ref="F37:G37"/>
    <mergeCell ref="F38:G38"/>
    <mergeCell ref="F33:G33"/>
    <mergeCell ref="F34:G34"/>
    <mergeCell ref="K3:K10"/>
    <mergeCell ref="K12:K14"/>
    <mergeCell ref="K16:K18"/>
    <mergeCell ref="H30:I30"/>
    <mergeCell ref="H31:I31"/>
    <mergeCell ref="H32:I32"/>
    <mergeCell ref="H33:I33"/>
    <mergeCell ref="H34:I34"/>
    <mergeCell ref="A23:A24"/>
    <mergeCell ref="A25:A26"/>
    <mergeCell ref="A33:B33"/>
    <mergeCell ref="A34:B34"/>
    <mergeCell ref="A27:A28"/>
    <mergeCell ref="A30:B30"/>
    <mergeCell ref="C30:D30"/>
    <mergeCell ref="A32:B32"/>
    <mergeCell ref="A31:B31"/>
    <mergeCell ref="C31:D31"/>
    <mergeCell ref="C32:D32"/>
    <mergeCell ref="F30:G30"/>
    <mergeCell ref="F31:G31"/>
    <mergeCell ref="F32:G32"/>
    <mergeCell ref="C33:D33"/>
    <mergeCell ref="C34:D34"/>
    <mergeCell ref="C35:D35"/>
    <mergeCell ref="C38:D38"/>
    <mergeCell ref="A37:B37"/>
    <mergeCell ref="C37:D37"/>
    <mergeCell ref="A35:B35"/>
    <mergeCell ref="A36:B36"/>
    <mergeCell ref="C36:E36"/>
    <mergeCell ref="F36:I36"/>
    <mergeCell ref="F35:G35"/>
    <mergeCell ref="F40:K40"/>
    <mergeCell ref="A41:C41"/>
    <mergeCell ref="A42:C42"/>
    <mergeCell ref="A43:C43"/>
    <mergeCell ref="D41:E41"/>
    <mergeCell ref="D42:E42"/>
    <mergeCell ref="D43:E43"/>
    <mergeCell ref="J41:K41"/>
    <mergeCell ref="J42:K42"/>
    <mergeCell ref="J43:K43"/>
    <mergeCell ref="F41:I41"/>
    <mergeCell ref="F42:I42"/>
    <mergeCell ref="F43:I43"/>
    <mergeCell ref="A38:B38"/>
    <mergeCell ref="J53:K53"/>
    <mergeCell ref="J54:K54"/>
    <mergeCell ref="J55:K55"/>
    <mergeCell ref="J47:K47"/>
    <mergeCell ref="J48:K48"/>
    <mergeCell ref="J49:K49"/>
    <mergeCell ref="J50:K50"/>
    <mergeCell ref="A44:C44"/>
    <mergeCell ref="D44:E44"/>
    <mergeCell ref="F44:I44"/>
    <mergeCell ref="J44:K44"/>
    <mergeCell ref="A45:C45"/>
    <mergeCell ref="D45:E45"/>
    <mergeCell ref="F45:I45"/>
    <mergeCell ref="J45:K45"/>
    <mergeCell ref="J51:K51"/>
    <mergeCell ref="J52:K52"/>
    <mergeCell ref="J71:K71"/>
    <mergeCell ref="J72:K72"/>
    <mergeCell ref="J73:K73"/>
    <mergeCell ref="J74:K74"/>
    <mergeCell ref="J75:K75"/>
    <mergeCell ref="J66:K66"/>
    <mergeCell ref="J67:K67"/>
    <mergeCell ref="J68:K68"/>
    <mergeCell ref="J69:K69"/>
    <mergeCell ref="J70:K70"/>
    <mergeCell ref="J61:K61"/>
    <mergeCell ref="J62:K62"/>
    <mergeCell ref="J63:K63"/>
    <mergeCell ref="J64:K64"/>
    <mergeCell ref="J65:K65"/>
    <mergeCell ref="J56:K56"/>
    <mergeCell ref="J57:K57"/>
    <mergeCell ref="J58:K58"/>
    <mergeCell ref="J59:K59"/>
    <mergeCell ref="J60:K60"/>
  </mergeCells>
  <conditionalFormatting sqref="J63:K63 A47:K48 C49:K62 C64:K75 C63:H63 A49:B76">
    <cfRule type="containsText" dxfId="9" priority="5" operator="containsText" text="D.H">
      <formula>NOT(ISERROR(SEARCH("D.H",A47)))</formula>
    </cfRule>
  </conditionalFormatting>
  <conditionalFormatting sqref="J63:K63 B47:K48 C49:K62 C64:K75 C63:H63 B49:B76">
    <cfRule type="containsText" dxfId="8" priority="4" operator="containsText" text="W/OUT ">
      <formula>NOT(ISERROR(SEARCH("W/OUT ",B47)))</formula>
    </cfRule>
  </conditionalFormatting>
  <conditionalFormatting sqref="I63">
    <cfRule type="containsText" dxfId="7" priority="3" operator="containsText" text="D.H">
      <formula>NOT(ISERROR(SEARCH("D.H",I63)))</formula>
    </cfRule>
  </conditionalFormatting>
  <conditionalFormatting sqref="I63">
    <cfRule type="containsText" dxfId="6" priority="2" operator="containsText" text="W/OUT ">
      <formula>NOT(ISERROR(SEARCH("W/OUT ",I63)))</formula>
    </cfRule>
  </conditionalFormatting>
  <conditionalFormatting sqref="A47:K48 C49:K75 A49:B76">
    <cfRule type="containsText" dxfId="5" priority="1" operator="containsText" text="RIG">
      <formula>NOT(ISERROR(SEARCH("RIG",A47)))</formula>
    </cfRule>
  </conditionalFormatting>
  <dataValidations count="2">
    <dataValidation allowBlank="1" showInputMessage="1" showErrorMessage="1" error="Please Select a right value from the list" sqref="A46 I46 H46:H61 G46 F46:F61 E46 D46:D61 C46 K46 K48:K61 J46:J61 B46:B62"/>
    <dataValidation type="list" allowBlank="1" showInputMessage="1" showErrorMessage="1" error="Please Select a right value from the list" sqref="F18 A12:A14 F12 A3:A10 F3:F8">
      <formula1>$E$3:$E$31</formula1>
    </dataValidation>
  </dataValidations>
  <pageMargins left="0.7" right="0.7" top="0.75" bottom="0.75" header="0.3" footer="0.3"/>
  <pageSetup paperSize="9" scale="53" orientation="portrait" r:id="rId1"/>
  <rowBreaks count="1" manualBreakCount="1">
    <brk id="38" max="16383" man="1"/>
  </rowBreak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="Please Select a right value from the list">
          <x14:formula1>
            <xm:f>' Data Lists'!$E$3:$E$31</xm:f>
          </x14:formula1>
          <xm:sqref>A16:A17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C47:C75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A47:A76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I68:I74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I47:I63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G47:G75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E59:E75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E47:E54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26"/>
  <sheetViews>
    <sheetView view="pageBreakPreview" topLeftCell="A61" zoomScale="60" zoomScaleNormal="100" workbookViewId="0">
      <selection activeCell="H78" sqref="H78"/>
    </sheetView>
  </sheetViews>
  <sheetFormatPr defaultRowHeight="15" x14ac:dyDescent="0.25"/>
  <cols>
    <col min="1" max="1" width="23.42578125" customWidth="1"/>
    <col min="2" max="2" width="11.42578125" customWidth="1"/>
    <col min="3" max="3" width="11.140625" customWidth="1"/>
    <col min="4" max="4" width="12" bestFit="1" customWidth="1"/>
    <col min="6" max="6" width="9.85546875" customWidth="1"/>
    <col min="8" max="8" width="23.42578125" customWidth="1"/>
    <col min="10" max="10" width="28.42578125" customWidth="1"/>
  </cols>
  <sheetData>
    <row r="1" spans="1:10" ht="87" customHeight="1" thickTop="1" thickBot="1" x14ac:dyDescent="0.3">
      <c r="A1" s="334" t="s">
        <v>316</v>
      </c>
      <c r="B1" s="335" t="s">
        <v>373</v>
      </c>
      <c r="C1" s="335" t="s">
        <v>136</v>
      </c>
      <c r="D1" s="600" t="s">
        <v>134</v>
      </c>
      <c r="E1" s="601" t="s">
        <v>133</v>
      </c>
      <c r="F1" s="334" t="s">
        <v>374</v>
      </c>
      <c r="G1" s="337" t="s">
        <v>136</v>
      </c>
      <c r="H1" s="337" t="s">
        <v>375</v>
      </c>
      <c r="I1" s="602" t="s">
        <v>376</v>
      </c>
      <c r="J1" s="337" t="s">
        <v>377</v>
      </c>
    </row>
    <row r="2" spans="1:10" ht="44.25" customHeight="1" thickTop="1" x14ac:dyDescent="0.45">
      <c r="A2" s="333" t="str">
        <f>'DATA BASE'!A8</f>
        <v>113M-01 RE.</v>
      </c>
      <c r="B2" s="593">
        <f>'DATA BASE'!P8</f>
        <v>400</v>
      </c>
      <c r="C2" s="594">
        <f>'DATA BASE'!Q8</f>
        <v>30</v>
      </c>
      <c r="D2" s="595">
        <f>'DATA BASE'!O8</f>
        <v>0.06</v>
      </c>
      <c r="E2" s="596">
        <f>'DATA BASE'!N8</f>
        <v>60</v>
      </c>
      <c r="F2" s="597">
        <f>'DATA BASE'!S8</f>
        <v>99</v>
      </c>
      <c r="G2" s="598">
        <f>'DATA BASE'!T8</f>
        <v>36</v>
      </c>
      <c r="H2" s="587" t="str">
        <f>'DATA BASE'!U8</f>
        <v>P-6</v>
      </c>
      <c r="I2" s="599">
        <f>'DATA BASE'!V8</f>
        <v>376</v>
      </c>
      <c r="J2" s="576">
        <f>'DATA BASE'!Z8</f>
        <v>43444</v>
      </c>
    </row>
    <row r="3" spans="1:10" ht="44.25" customHeight="1" x14ac:dyDescent="0.45">
      <c r="A3" s="304" t="str">
        <f>'DATA BASE'!A9</f>
        <v>113M-02</v>
      </c>
      <c r="B3" s="572">
        <f>'DATA BASE'!P9</f>
        <v>400</v>
      </c>
      <c r="C3" s="573">
        <f>'DATA BASE'!Q9</f>
        <v>20</v>
      </c>
      <c r="D3" s="574">
        <f>'DATA BASE'!O9</f>
        <v>0.11</v>
      </c>
      <c r="E3" s="575">
        <f>'DATA BASE'!N9</f>
        <v>87</v>
      </c>
      <c r="F3" s="583">
        <f>'DATA BASE'!S9</f>
        <v>83.5</v>
      </c>
      <c r="G3" s="588">
        <f>'DATA BASE'!T9</f>
        <v>29</v>
      </c>
      <c r="H3" s="589" t="str">
        <f>'DATA BASE'!U9</f>
        <v>D800N</v>
      </c>
      <c r="I3" s="585">
        <f>'DATA BASE'!V9</f>
        <v>260</v>
      </c>
      <c r="J3" s="577">
        <f>'DATA BASE'!Z9</f>
        <v>44083</v>
      </c>
    </row>
    <row r="4" spans="1:10" ht="44.25" customHeight="1" x14ac:dyDescent="0.45">
      <c r="A4" s="304" t="str">
        <f>'DATA BASE'!A11</f>
        <v>113M-04</v>
      </c>
      <c r="B4" s="572">
        <f>'DATA BASE'!P11</f>
        <v>400</v>
      </c>
      <c r="C4" s="573">
        <f>'DATA BASE'!Q11</f>
        <v>36</v>
      </c>
      <c r="D4" s="574">
        <f>'DATA BASE'!O11</f>
        <v>0.05</v>
      </c>
      <c r="E4" s="575">
        <f>'DATA BASE'!N11</f>
        <v>91</v>
      </c>
      <c r="F4" s="583">
        <f>'DATA BASE'!S11</f>
        <v>99</v>
      </c>
      <c r="G4" s="588">
        <f>'DATA BASE'!T11</f>
        <v>36</v>
      </c>
      <c r="H4" s="589" t="str">
        <f>'DATA BASE'!U11</f>
        <v>FLEX-10</v>
      </c>
      <c r="I4" s="585">
        <f>'DATA BASE'!V11</f>
        <v>245</v>
      </c>
      <c r="J4" s="577">
        <f>'DATA BASE'!Z11</f>
        <v>43684</v>
      </c>
    </row>
    <row r="5" spans="1:10" ht="44.25" customHeight="1" x14ac:dyDescent="0.45">
      <c r="A5" s="304" t="str">
        <f>'DATA BASE'!A12</f>
        <v>113M-08 BIS</v>
      </c>
      <c r="B5" s="572">
        <f>'DATA BASE'!P12</f>
        <v>180</v>
      </c>
      <c r="C5" s="573">
        <f>'DATA BASE'!Q12</f>
        <v>44</v>
      </c>
      <c r="D5" s="574">
        <f>'DATA BASE'!O12</f>
        <v>0.32</v>
      </c>
      <c r="E5" s="575">
        <f>'DATA BASE'!N12</f>
        <v>163</v>
      </c>
      <c r="F5" s="583">
        <f>'DATA BASE'!S12</f>
        <v>187</v>
      </c>
      <c r="G5" s="588">
        <f>'DATA BASE'!T12</f>
        <v>64</v>
      </c>
      <c r="H5" s="589" t="str">
        <f>'DATA BASE'!U12</f>
        <v>GN-1600</v>
      </c>
      <c r="I5" s="585">
        <f>'DATA BASE'!V12</f>
        <v>198</v>
      </c>
      <c r="J5" s="577">
        <f>'DATA BASE'!Z12</f>
        <v>43145</v>
      </c>
    </row>
    <row r="6" spans="1:10" ht="44.25" customHeight="1" x14ac:dyDescent="0.45">
      <c r="A6" s="304" t="str">
        <f>'DATA BASE'!A13</f>
        <v>113M-18</v>
      </c>
      <c r="B6" s="572">
        <f>'DATA BASE'!P13</f>
        <v>400</v>
      </c>
      <c r="C6" s="573">
        <f>'DATA BASE'!Q13</f>
        <v>90</v>
      </c>
      <c r="D6" s="574">
        <f>'DATA BASE'!O13</f>
        <v>0.26</v>
      </c>
      <c r="E6" s="575">
        <f>'DATA BASE'!N13</f>
        <v>75</v>
      </c>
      <c r="F6" s="583">
        <f>'DATA BASE'!S13</f>
        <v>334</v>
      </c>
      <c r="G6" s="588">
        <f>'DATA BASE'!T13</f>
        <v>111</v>
      </c>
      <c r="H6" s="589" t="str">
        <f>'DATA BASE'!U13</f>
        <v>GN-3200</v>
      </c>
      <c r="I6" s="585">
        <f>'DATA BASE'!V13</f>
        <v>270</v>
      </c>
      <c r="J6" s="577">
        <f>'DATA BASE'!Z13</f>
        <v>44101</v>
      </c>
    </row>
    <row r="7" spans="1:10" ht="44.25" customHeight="1" x14ac:dyDescent="0.45">
      <c r="A7" s="305" t="str">
        <f>'DATA BASE'!A14</f>
        <v>113M-26</v>
      </c>
      <c r="B7" s="572">
        <f>'DATA BASE'!P14</f>
        <v>400</v>
      </c>
      <c r="C7" s="573">
        <f>'DATA BASE'!Q14</f>
        <v>39</v>
      </c>
      <c r="D7" s="574">
        <f>'DATA BASE'!O14</f>
        <v>0.03</v>
      </c>
      <c r="E7" s="575">
        <f>'DATA BASE'!N14</f>
        <v>86</v>
      </c>
      <c r="F7" s="583">
        <f>'DATA BASE'!S14</f>
        <v>100</v>
      </c>
      <c r="G7" s="588">
        <f>'DATA BASE'!T14</f>
        <v>34</v>
      </c>
      <c r="H7" s="589" t="str">
        <f>'DATA BASE'!U14</f>
        <v>FLEX-10</v>
      </c>
      <c r="I7" s="585">
        <f>'DATA BASE'!V14</f>
        <v>238</v>
      </c>
      <c r="J7" s="577">
        <f>'DATA BASE'!Z14</f>
        <v>43830</v>
      </c>
    </row>
    <row r="8" spans="1:10" ht="44.25" customHeight="1" x14ac:dyDescent="0.45">
      <c r="A8" s="304" t="str">
        <f>'DATA BASE'!A15</f>
        <v>113M-29</v>
      </c>
      <c r="B8" s="572">
        <f>'DATA BASE'!P15</f>
        <v>100</v>
      </c>
      <c r="C8" s="573">
        <f>'DATA BASE'!Q15</f>
        <v>50</v>
      </c>
      <c r="D8" s="574">
        <f>'DATA BASE'!O15</f>
        <v>0.28999999999999998</v>
      </c>
      <c r="E8" s="575">
        <f>'DATA BASE'!N15</f>
        <v>141</v>
      </c>
      <c r="F8" s="583">
        <f>'DATA BASE'!S15</f>
        <v>0</v>
      </c>
      <c r="G8" s="590">
        <f>'DATA BASE'!T15</f>
        <v>0</v>
      </c>
      <c r="H8" s="589" t="str">
        <f>'DATA BASE'!U15</f>
        <v>FLEX-10</v>
      </c>
      <c r="I8" s="585">
        <f>'DATA BASE'!V15</f>
        <v>293</v>
      </c>
      <c r="J8" s="577">
        <f>'DATA BASE'!Z15</f>
        <v>43172</v>
      </c>
    </row>
    <row r="9" spans="1:10" ht="44.25" customHeight="1" x14ac:dyDescent="0.45">
      <c r="A9" s="304" t="str">
        <f>'DATA BASE'!A16</f>
        <v>113M-30</v>
      </c>
      <c r="B9" s="572">
        <f>'DATA BASE'!P16</f>
        <v>0</v>
      </c>
      <c r="C9" s="573">
        <f>'DATA BASE'!Q16</f>
        <v>0</v>
      </c>
      <c r="D9" s="574">
        <f>'DATA BASE'!O16</f>
        <v>0</v>
      </c>
      <c r="E9" s="575">
        <f>'DATA BASE'!N16</f>
        <v>0</v>
      </c>
      <c r="F9" s="583">
        <f>'DATA BASE'!S16</f>
        <v>208</v>
      </c>
      <c r="G9" s="590">
        <f>'DATA BASE'!T16</f>
        <v>65</v>
      </c>
      <c r="H9" s="589" t="str">
        <f>'DATA BASE'!U16</f>
        <v>GN-2100</v>
      </c>
      <c r="I9" s="585">
        <f>'DATA BASE'!V16</f>
        <v>249</v>
      </c>
      <c r="J9" s="577">
        <f>'DATA BASE'!Z16</f>
        <v>42619</v>
      </c>
    </row>
    <row r="10" spans="1:10" ht="44.25" customHeight="1" x14ac:dyDescent="0.45">
      <c r="A10" s="304" t="str">
        <f>'DATA BASE'!A17</f>
        <v>113M-35</v>
      </c>
      <c r="B10" s="572">
        <f>'DATA BASE'!P17</f>
        <v>150</v>
      </c>
      <c r="C10" s="573">
        <f>'DATA BASE'!Q17</f>
        <v>38</v>
      </c>
      <c r="D10" s="574">
        <f>'DATA BASE'!O17</f>
        <v>0</v>
      </c>
      <c r="E10" s="575">
        <f>'DATA BASE'!N17</f>
        <v>0</v>
      </c>
      <c r="F10" s="583">
        <f>'DATA BASE'!S17</f>
        <v>138</v>
      </c>
      <c r="G10" s="590">
        <f>'DATA BASE'!T17</f>
        <v>44</v>
      </c>
      <c r="H10" s="589" t="str">
        <f>'DATA BASE'!U17</f>
        <v>GC-1200</v>
      </c>
      <c r="I10" s="585">
        <f>'DATA BASE'!V17</f>
        <v>240</v>
      </c>
      <c r="J10" s="577">
        <f>'DATA BASE'!Z17</f>
        <v>42722</v>
      </c>
    </row>
    <row r="11" spans="1:10" ht="44.25" customHeight="1" x14ac:dyDescent="0.45">
      <c r="A11" s="304" t="str">
        <f>'DATA BASE'!A18</f>
        <v>113M-40</v>
      </c>
      <c r="B11" s="572">
        <f>'DATA BASE'!P18</f>
        <v>0</v>
      </c>
      <c r="C11" s="573">
        <f>'DATA BASE'!Q18</f>
        <v>0</v>
      </c>
      <c r="D11" s="574">
        <f>'DATA BASE'!O18</f>
        <v>0</v>
      </c>
      <c r="E11" s="575">
        <f>'DATA BASE'!N18</f>
        <v>0</v>
      </c>
      <c r="F11" s="583">
        <f>'DATA BASE'!S18</f>
        <v>100</v>
      </c>
      <c r="G11" s="590">
        <f>'DATA BASE'!T18</f>
        <v>36</v>
      </c>
      <c r="H11" s="589" t="str">
        <f>'DATA BASE'!U18</f>
        <v>P-6</v>
      </c>
      <c r="I11" s="585">
        <f>'DATA BASE'!V18</f>
        <v>310</v>
      </c>
      <c r="J11" s="577">
        <f>'DATA BASE'!Z18</f>
        <v>42740</v>
      </c>
    </row>
    <row r="12" spans="1:10" ht="44.25" customHeight="1" x14ac:dyDescent="0.45">
      <c r="A12" s="304" t="str">
        <f>'DATA BASE'!A19</f>
        <v>113M-42</v>
      </c>
      <c r="B12" s="572">
        <f>'DATA BASE'!P19</f>
        <v>100</v>
      </c>
      <c r="C12" s="573">
        <f>'DATA BASE'!Q19</f>
        <v>119</v>
      </c>
      <c r="D12" s="574">
        <f>'DATA BASE'!O19</f>
        <v>0</v>
      </c>
      <c r="E12" s="575">
        <f>'DATA BASE'!N19</f>
        <v>0</v>
      </c>
      <c r="F12" s="583">
        <f>'DATA BASE'!S19</f>
        <v>374</v>
      </c>
      <c r="G12" s="590">
        <f>'DATA BASE'!T19</f>
        <v>127</v>
      </c>
      <c r="H12" s="589" t="str">
        <f>'DATA BASE'!U19</f>
        <v>GC-3500</v>
      </c>
      <c r="I12" s="585">
        <f>'DATA BASE'!V19</f>
        <v>234</v>
      </c>
      <c r="J12" s="577">
        <f>'DATA BASE'!Z19</f>
        <v>42629</v>
      </c>
    </row>
    <row r="13" spans="1:10" ht="44.25" customHeight="1" x14ac:dyDescent="0.45">
      <c r="A13" s="304" t="str">
        <f>'DATA BASE'!A20</f>
        <v>113M-45</v>
      </c>
      <c r="B13" s="572">
        <f>'DATA BASE'!P20</f>
        <v>100</v>
      </c>
      <c r="C13" s="573">
        <f>'DATA BASE'!Q20</f>
        <v>21</v>
      </c>
      <c r="D13" s="574">
        <f>'DATA BASE'!O20</f>
        <v>0.12</v>
      </c>
      <c r="E13" s="575">
        <f>'DATA BASE'!N20</f>
        <v>342</v>
      </c>
      <c r="F13" s="583">
        <f>'DATA BASE'!S20</f>
        <v>73</v>
      </c>
      <c r="G13" s="590">
        <f>'DATA BASE'!T20</f>
        <v>27</v>
      </c>
      <c r="H13" s="589" t="str">
        <f>'DATA BASE'!U20</f>
        <v>P-4</v>
      </c>
      <c r="I13" s="585">
        <f>'DATA BASE'!V20</f>
        <v>320</v>
      </c>
      <c r="J13" s="577">
        <f>'DATA BASE'!Z20</f>
        <v>42026</v>
      </c>
    </row>
    <row r="14" spans="1:10" ht="44.25" customHeight="1" x14ac:dyDescent="0.45">
      <c r="A14" s="304" t="str">
        <f>'DATA BASE'!A21</f>
        <v>113M-46</v>
      </c>
      <c r="B14" s="572">
        <f>'DATA BASE'!P21</f>
        <v>400</v>
      </c>
      <c r="C14" s="573">
        <f>'DATA BASE'!Q21</f>
        <v>62</v>
      </c>
      <c r="D14" s="574">
        <f>'DATA BASE'!O21</f>
        <v>0.11</v>
      </c>
      <c r="E14" s="575">
        <f>'DATA BASE'!N21</f>
        <v>90</v>
      </c>
      <c r="F14" s="583">
        <f>'DATA BASE'!S21</f>
        <v>187</v>
      </c>
      <c r="G14" s="590">
        <f>'DATA BASE'!T21</f>
        <v>59</v>
      </c>
      <c r="H14" s="589" t="str">
        <f>'DATA BASE'!U21</f>
        <v>GC-1700</v>
      </c>
      <c r="I14" s="585">
        <f>'DATA BASE'!V21</f>
        <v>238</v>
      </c>
      <c r="J14" s="577">
        <f>'DATA BASE'!Z21</f>
        <v>43638</v>
      </c>
    </row>
    <row r="15" spans="1:10" ht="44.25" customHeight="1" x14ac:dyDescent="0.45">
      <c r="A15" s="304" t="str">
        <f>'DATA BASE'!A22</f>
        <v>113M-48</v>
      </c>
      <c r="B15" s="572">
        <f>'DATA BASE'!P22</f>
        <v>400</v>
      </c>
      <c r="C15" s="573">
        <f>'DATA BASE'!Q22</f>
        <v>22</v>
      </c>
      <c r="D15" s="574">
        <f>'DATA BASE'!O22</f>
        <v>0.16</v>
      </c>
      <c r="E15" s="575">
        <f>'DATA BASE'!N22</f>
        <v>110</v>
      </c>
      <c r="F15" s="583">
        <f>'DATA BASE'!S22</f>
        <v>133</v>
      </c>
      <c r="G15" s="590">
        <f>'DATA BASE'!T22</f>
        <v>30.5</v>
      </c>
      <c r="H15" s="589" t="str">
        <f>'DATA BASE'!U22</f>
        <v>D800N</v>
      </c>
      <c r="I15" s="585">
        <f>'DATA BASE'!V22</f>
        <v>309</v>
      </c>
      <c r="J15" s="577">
        <f>'DATA BASE'!Z22</f>
        <v>43414</v>
      </c>
    </row>
    <row r="16" spans="1:10" ht="44.25" customHeight="1" x14ac:dyDescent="0.45">
      <c r="A16" s="304" t="str">
        <f>'DATA BASE'!A23</f>
        <v>113M-49</v>
      </c>
      <c r="B16" s="572">
        <f>'DATA BASE'!P23</f>
        <v>120</v>
      </c>
      <c r="C16" s="573">
        <f>'DATA BASE'!Q23</f>
        <v>33</v>
      </c>
      <c r="D16" s="574">
        <f>'DATA BASE'!O23</f>
        <v>0.22</v>
      </c>
      <c r="E16" s="575">
        <f>'DATA BASE'!N23</f>
        <v>100</v>
      </c>
      <c r="F16" s="583">
        <f>'DATA BASE'!S23</f>
        <v>133</v>
      </c>
      <c r="G16" s="590">
        <f>'DATA BASE'!T23</f>
        <v>46</v>
      </c>
      <c r="H16" s="589" t="str">
        <f>'DATA BASE'!U23</f>
        <v>D1150N</v>
      </c>
      <c r="I16" s="585">
        <f>'DATA BASE'!V23</f>
        <v>299</v>
      </c>
      <c r="J16" s="577">
        <f>'DATA BASE'!Z23</f>
        <v>42642</v>
      </c>
    </row>
    <row r="17" spans="1:10" ht="44.25" customHeight="1" x14ac:dyDescent="0.45">
      <c r="A17" s="304" t="str">
        <f>'DATA BASE'!A24</f>
        <v>113M-50</v>
      </c>
      <c r="B17" s="572">
        <f>'DATA BASE'!P24</f>
        <v>400</v>
      </c>
      <c r="C17" s="573">
        <f>'DATA BASE'!Q24</f>
        <v>12</v>
      </c>
      <c r="D17" s="574">
        <f>'DATA BASE'!O24</f>
        <v>0.03</v>
      </c>
      <c r="E17" s="575">
        <f>'DATA BASE'!N24</f>
        <v>63</v>
      </c>
      <c r="F17" s="583">
        <f>'DATA BASE'!S24</f>
        <v>67</v>
      </c>
      <c r="G17" s="590">
        <f>'DATA BASE'!T24</f>
        <v>24</v>
      </c>
      <c r="H17" s="589" t="str">
        <f>'DATA BASE'!U24</f>
        <v>WD-450</v>
      </c>
      <c r="I17" s="585">
        <f>'DATA BASE'!V24</f>
        <v>450</v>
      </c>
      <c r="J17" s="577">
        <f>'DATA BASE'!Z24</f>
        <v>43973</v>
      </c>
    </row>
    <row r="18" spans="1:10" ht="44.25" customHeight="1" x14ac:dyDescent="0.45">
      <c r="A18" s="304" t="str">
        <f>'DATA BASE'!A25</f>
        <v>113M-55</v>
      </c>
      <c r="B18" s="572">
        <f>'DATA BASE'!P25</f>
        <v>400</v>
      </c>
      <c r="C18" s="573">
        <f>'DATA BASE'!Q25</f>
        <v>13</v>
      </c>
      <c r="D18" s="574">
        <f>'DATA BASE'!O25</f>
        <v>0.03</v>
      </c>
      <c r="E18" s="575">
        <f>'DATA BASE'!N25</f>
        <v>27</v>
      </c>
      <c r="F18" s="583">
        <f>'DATA BASE'!S25</f>
        <v>66.7</v>
      </c>
      <c r="G18" s="590">
        <f>'DATA BASE'!T25</f>
        <v>24</v>
      </c>
      <c r="H18" s="589" t="str">
        <f>'DATA BASE'!U25</f>
        <v>WD-450</v>
      </c>
      <c r="I18" s="585">
        <f>'DATA BASE'!V25</f>
        <v>436</v>
      </c>
      <c r="J18" s="577">
        <f>'DATA BASE'!Z25</f>
        <v>44094</v>
      </c>
    </row>
    <row r="19" spans="1:10" ht="44.25" customHeight="1" x14ac:dyDescent="0.45">
      <c r="A19" s="304" t="str">
        <f>'DATA BASE'!A26</f>
        <v>113M-57</v>
      </c>
      <c r="B19" s="572">
        <f>'DATA BASE'!P26</f>
        <v>400</v>
      </c>
      <c r="C19" s="573">
        <f>'DATA BASE'!Q26</f>
        <v>40</v>
      </c>
      <c r="D19" s="574">
        <f>'DATA BASE'!O26</f>
        <v>0.03</v>
      </c>
      <c r="E19" s="575">
        <f>'DATA BASE'!N26</f>
        <v>42</v>
      </c>
      <c r="F19" s="583">
        <f>'DATA BASE'!S26</f>
        <v>150</v>
      </c>
      <c r="G19" s="590">
        <f>'DATA BASE'!T26</f>
        <v>50</v>
      </c>
      <c r="H19" s="589" t="str">
        <f>'DATA BASE'!U26</f>
        <v>WG-1600</v>
      </c>
      <c r="I19" s="585">
        <f>'DATA BASE'!V26</f>
        <v>195</v>
      </c>
      <c r="J19" s="577">
        <f>'DATA BASE'!Z26</f>
        <v>43825</v>
      </c>
    </row>
    <row r="20" spans="1:10" ht="44.25" customHeight="1" x14ac:dyDescent="0.45">
      <c r="A20" s="304" t="str">
        <f>'DATA BASE'!A27</f>
        <v>113M-58</v>
      </c>
      <c r="B20" s="572">
        <f>'DATA BASE'!P27</f>
        <v>400</v>
      </c>
      <c r="C20" s="573">
        <f>'DATA BASE'!Q27</f>
        <v>29</v>
      </c>
      <c r="D20" s="574">
        <f>'DATA BASE'!O27</f>
        <v>0.08</v>
      </c>
      <c r="E20" s="575">
        <f>'DATA BASE'!N27</f>
        <v>83</v>
      </c>
      <c r="F20" s="583">
        <f>'DATA BASE'!S27</f>
        <v>133</v>
      </c>
      <c r="G20" s="590">
        <f>'DATA BASE'!T27</f>
        <v>46</v>
      </c>
      <c r="H20" s="589" t="str">
        <f>'DATA BASE'!U27</f>
        <v>WD-1300</v>
      </c>
      <c r="I20" s="585">
        <f>'DATA BASE'!V27</f>
        <v>358</v>
      </c>
      <c r="J20" s="577">
        <f>'DATA BASE'!Z27</f>
        <v>44055</v>
      </c>
    </row>
    <row r="21" spans="1:10" ht="44.25" customHeight="1" x14ac:dyDescent="0.45">
      <c r="A21" s="304" t="str">
        <f>'DATA BASE'!A28</f>
        <v>113M-59</v>
      </c>
      <c r="B21" s="572">
        <f>'DATA BASE'!P28</f>
        <v>400</v>
      </c>
      <c r="C21" s="573">
        <f>'DATA BASE'!Q28</f>
        <v>44</v>
      </c>
      <c r="D21" s="574">
        <f>'DATA BASE'!O28</f>
        <v>2.5000000000000001E-2</v>
      </c>
      <c r="E21" s="575">
        <f>'DATA BASE'!N28</f>
        <v>103</v>
      </c>
      <c r="F21" s="583">
        <f>'DATA BASE'!S28</f>
        <v>167</v>
      </c>
      <c r="G21" s="590">
        <f>'DATA BASE'!T28</f>
        <v>60</v>
      </c>
      <c r="H21" s="589" t="str">
        <f>'DATA BASE'!U28</f>
        <v>B400-1750</v>
      </c>
      <c r="I21" s="585">
        <f>'DATA BASE'!V28</f>
        <v>458</v>
      </c>
      <c r="J21" s="577">
        <f>'DATA BASE'!Z28</f>
        <v>43721</v>
      </c>
    </row>
    <row r="22" spans="1:10" ht="44.25" customHeight="1" x14ac:dyDescent="0.45">
      <c r="A22" s="304" t="str">
        <f>'DATA BASE'!A29</f>
        <v>113M-65</v>
      </c>
      <c r="B22" s="572">
        <f>'DATA BASE'!P29</f>
        <v>400</v>
      </c>
      <c r="C22" s="573">
        <f>'DATA BASE'!Q29</f>
        <v>31</v>
      </c>
      <c r="D22" s="574">
        <f>'DATA BASE'!O29</f>
        <v>0</v>
      </c>
      <c r="E22" s="575">
        <f>'DATA BASE'!N29</f>
        <v>0</v>
      </c>
      <c r="F22" s="583">
        <f>'DATA BASE'!S29</f>
        <v>116.7</v>
      </c>
      <c r="G22" s="590">
        <f>'DATA BASE'!T29</f>
        <v>39</v>
      </c>
      <c r="H22" s="589" t="str">
        <f>'DATA BASE'!U29</f>
        <v>WF400-1250</v>
      </c>
      <c r="I22" s="585">
        <f>'DATA BASE'!V29</f>
        <v>328</v>
      </c>
      <c r="J22" s="577">
        <f>'DATA BASE'!Z29</f>
        <v>43356</v>
      </c>
    </row>
    <row r="23" spans="1:10" ht="44.25" customHeight="1" x14ac:dyDescent="0.45">
      <c r="A23" s="304" t="str">
        <f>'DATA BASE'!A30</f>
        <v>113M-66</v>
      </c>
      <c r="B23" s="572">
        <f>'DATA BASE'!P30</f>
        <v>500</v>
      </c>
      <c r="C23" s="573">
        <f>'DATA BASE'!Q30</f>
        <v>32</v>
      </c>
      <c r="D23" s="574">
        <f>'DATA BASE'!O30</f>
        <v>0.06</v>
      </c>
      <c r="E23" s="575">
        <f>'DATA BASE'!N30</f>
        <v>89</v>
      </c>
      <c r="F23" s="583">
        <f>'DATA BASE'!S30</f>
        <v>133</v>
      </c>
      <c r="G23" s="590">
        <f>'DATA BASE'!T30</f>
        <v>46</v>
      </c>
      <c r="H23" s="589" t="str">
        <f>'DATA BASE'!U30</f>
        <v>WF400-1250</v>
      </c>
      <c r="I23" s="585">
        <f>'DATA BASE'!V30</f>
        <v>365</v>
      </c>
      <c r="J23" s="577">
        <f>'DATA BASE'!Z30</f>
        <v>43544</v>
      </c>
    </row>
    <row r="24" spans="1:10" ht="44.25" customHeight="1" x14ac:dyDescent="0.45">
      <c r="A24" s="304" t="str">
        <f>'DATA BASE'!A31</f>
        <v>113M-67</v>
      </c>
      <c r="B24" s="572">
        <f>'DATA BASE'!P31</f>
        <v>400</v>
      </c>
      <c r="C24" s="573">
        <f>'DATA BASE'!Q31</f>
        <v>29</v>
      </c>
      <c r="D24" s="574">
        <f>'DATA BASE'!O31</f>
        <v>0</v>
      </c>
      <c r="E24" s="575">
        <f>'DATA BASE'!N31</f>
        <v>0</v>
      </c>
      <c r="F24" s="583">
        <f>'DATA BASE'!S31</f>
        <v>100</v>
      </c>
      <c r="G24" s="590">
        <f>'DATA BASE'!T31</f>
        <v>46</v>
      </c>
      <c r="H24" s="589" t="str">
        <f>'DATA BASE'!U31</f>
        <v>D1150N</v>
      </c>
      <c r="I24" s="585">
        <f>'DATA BASE'!V31</f>
        <v>270</v>
      </c>
      <c r="J24" s="577">
        <f>'DATA BASE'!Z31</f>
        <v>43452</v>
      </c>
    </row>
    <row r="25" spans="1:10" ht="44.25" customHeight="1" x14ac:dyDescent="0.45">
      <c r="A25" s="304" t="str">
        <f>'DATA BASE'!A32</f>
        <v>113M-68 ST</v>
      </c>
      <c r="B25" s="572">
        <f>'DATA BASE'!P32</f>
        <v>0</v>
      </c>
      <c r="C25" s="573">
        <f>'DATA BASE'!Q32</f>
        <v>25</v>
      </c>
      <c r="D25" s="574">
        <f>'DATA BASE'!O32</f>
        <v>0</v>
      </c>
      <c r="E25" s="575">
        <f>'DATA BASE'!N32</f>
        <v>0</v>
      </c>
      <c r="F25" s="583">
        <f>'DATA BASE'!S32</f>
        <v>100</v>
      </c>
      <c r="G25" s="590">
        <f>'DATA BASE'!T32</f>
        <v>35</v>
      </c>
      <c r="H25" s="589" t="str">
        <f>'DATA BASE'!U32</f>
        <v>B400-700</v>
      </c>
      <c r="I25" s="585">
        <f>'DATA BASE'!V32</f>
        <v>377</v>
      </c>
      <c r="J25" s="577">
        <f>'DATA BASE'!Z32</f>
        <v>43715</v>
      </c>
    </row>
    <row r="26" spans="1:10" ht="44.25" customHeight="1" x14ac:dyDescent="0.45">
      <c r="A26" s="304" t="str">
        <f>'DATA BASE'!A33</f>
        <v>113M-70</v>
      </c>
      <c r="B26" s="572">
        <f>'DATA BASE'!P33</f>
        <v>400</v>
      </c>
      <c r="C26" s="573">
        <f>'DATA BASE'!Q33</f>
        <v>29</v>
      </c>
      <c r="D26" s="574">
        <f>'DATA BASE'!O33</f>
        <v>0.14000000000000001</v>
      </c>
      <c r="E26" s="575">
        <f>'DATA BASE'!N33</f>
        <v>69</v>
      </c>
      <c r="F26" s="583">
        <f>'DATA BASE'!S33</f>
        <v>93</v>
      </c>
      <c r="G26" s="590">
        <f>'DATA BASE'!T33</f>
        <v>32</v>
      </c>
      <c r="H26" s="589" t="str">
        <f>'DATA BASE'!U33</f>
        <v>B400-1050</v>
      </c>
      <c r="I26" s="585">
        <f>'DATA BASE'!V33</f>
        <v>332</v>
      </c>
      <c r="J26" s="577">
        <f>'DATA BASE'!Z33</f>
        <v>42845</v>
      </c>
    </row>
    <row r="27" spans="1:10" ht="44.25" customHeight="1" x14ac:dyDescent="0.45">
      <c r="A27" s="304" t="str">
        <f>'DATA BASE'!A34</f>
        <v>113M-71</v>
      </c>
      <c r="B27" s="572">
        <f>'DATA BASE'!P34</f>
        <v>400</v>
      </c>
      <c r="C27" s="573">
        <f>'DATA BASE'!Q34</f>
        <v>46</v>
      </c>
      <c r="D27" s="574">
        <f>'DATA BASE'!O34</f>
        <v>0</v>
      </c>
      <c r="E27" s="575">
        <f>'DATA BASE'!N34</f>
        <v>0</v>
      </c>
      <c r="F27" s="583">
        <f>'DATA BASE'!S34</f>
        <v>187.5</v>
      </c>
      <c r="G27" s="590">
        <f>'DATA BASE'!T34</f>
        <v>62</v>
      </c>
      <c r="H27" s="589" t="str">
        <f>'DATA BASE'!U34</f>
        <v>B516-1600</v>
      </c>
      <c r="I27" s="585">
        <f>'DATA BASE'!V34</f>
        <v>255</v>
      </c>
      <c r="J27" s="577">
        <f>'DATA BASE'!Z34</f>
        <v>43152</v>
      </c>
    </row>
    <row r="28" spans="1:10" ht="44.25" customHeight="1" x14ac:dyDescent="0.45">
      <c r="A28" s="304" t="str">
        <f>'DATA BASE'!A35</f>
        <v>113M-72</v>
      </c>
      <c r="B28" s="572">
        <f>'DATA BASE'!P35</f>
        <v>400</v>
      </c>
      <c r="C28" s="573">
        <f>'DATA BASE'!Q35</f>
        <v>18</v>
      </c>
      <c r="D28" s="574">
        <f>'DATA BASE'!O35</f>
        <v>0</v>
      </c>
      <c r="E28" s="575">
        <f>'DATA BASE'!N35</f>
        <v>0</v>
      </c>
      <c r="F28" s="583">
        <f>'DATA BASE'!S35</f>
        <v>58</v>
      </c>
      <c r="G28" s="590">
        <f>'DATA BASE'!T35</f>
        <v>22</v>
      </c>
      <c r="H28" s="589" t="str">
        <f>'DATA BASE'!U35</f>
        <v>P-4</v>
      </c>
      <c r="I28" s="585">
        <f>'DATA BASE'!V35</f>
        <v>248</v>
      </c>
      <c r="J28" s="577" t="str">
        <f>'DATA BASE'!Z35</f>
        <v>24/3/2019</v>
      </c>
    </row>
    <row r="29" spans="1:10" ht="44.25" customHeight="1" thickBot="1" x14ac:dyDescent="0.5">
      <c r="A29" s="306" t="str">
        <f>'DATA BASE'!A36</f>
        <v>113M-74</v>
      </c>
      <c r="B29" s="578">
        <f>'DATA BASE'!P36</f>
        <v>400</v>
      </c>
      <c r="C29" s="579">
        <f>'DATA BASE'!Q36</f>
        <v>30</v>
      </c>
      <c r="D29" s="580">
        <f>'DATA BASE'!O36</f>
        <v>0.08</v>
      </c>
      <c r="E29" s="581">
        <f>'DATA BASE'!N36</f>
        <v>33</v>
      </c>
      <c r="F29" s="584">
        <f>'DATA BASE'!S36</f>
        <v>150</v>
      </c>
      <c r="G29" s="591">
        <f>'DATA BASE'!T36</f>
        <v>50</v>
      </c>
      <c r="H29" s="592" t="str">
        <f>'DATA BASE'!U36</f>
        <v>WD-1300</v>
      </c>
      <c r="I29" s="586">
        <f>'DATA BASE'!V36</f>
        <v>370</v>
      </c>
      <c r="J29" s="582" t="str">
        <f>'DATA BASE'!Z36</f>
        <v>24/3/2019</v>
      </c>
    </row>
    <row r="30" spans="1:10" ht="71.25" thickTop="1" thickBot="1" x14ac:dyDescent="0.3">
      <c r="A30" s="334" t="s">
        <v>316</v>
      </c>
      <c r="B30" s="603" t="s">
        <v>373</v>
      </c>
      <c r="C30" s="601" t="s">
        <v>136</v>
      </c>
      <c r="D30" s="600" t="s">
        <v>134</v>
      </c>
      <c r="E30" s="603" t="s">
        <v>133</v>
      </c>
      <c r="F30" s="601" t="s">
        <v>374</v>
      </c>
      <c r="G30" s="337" t="s">
        <v>136</v>
      </c>
      <c r="H30" s="604" t="s">
        <v>375</v>
      </c>
      <c r="I30" s="604" t="s">
        <v>376</v>
      </c>
      <c r="J30" s="602" t="s">
        <v>377</v>
      </c>
    </row>
    <row r="31" spans="1:10" ht="42.75" customHeight="1" thickTop="1" x14ac:dyDescent="0.45">
      <c r="A31" s="333" t="str">
        <f>'DATA BASE'!A37</f>
        <v>113M-76</v>
      </c>
      <c r="B31" s="593">
        <f>'DATA BASE'!P37</f>
        <v>130</v>
      </c>
      <c r="C31" s="594">
        <f>'DATA BASE'!Q37</f>
        <v>31</v>
      </c>
      <c r="D31" s="595">
        <v>0.32</v>
      </c>
      <c r="E31" s="596">
        <f>'DATA BASE'!N37</f>
        <v>265</v>
      </c>
      <c r="F31" s="597">
        <f>'DATA BASE'!S37</f>
        <v>104</v>
      </c>
      <c r="G31" s="598">
        <f>'DATA BASE'!Q37</f>
        <v>31</v>
      </c>
      <c r="H31" s="587" t="str">
        <f>'DATA BASE'!U37</f>
        <v>FLEX-10</v>
      </c>
      <c r="I31" s="599">
        <f>'DATA BASE'!V37</f>
        <v>285</v>
      </c>
      <c r="J31" s="576">
        <f>'DATA BASE'!Z37</f>
        <v>43326</v>
      </c>
    </row>
    <row r="32" spans="1:10" ht="42.75" customHeight="1" x14ac:dyDescent="0.45">
      <c r="A32" s="304" t="str">
        <f>'DATA BASE'!A38</f>
        <v>113M-77 H</v>
      </c>
      <c r="B32" s="572">
        <f>'DATA BASE'!P38</f>
        <v>500</v>
      </c>
      <c r="C32" s="573">
        <f>'DATA BASE'!Q38</f>
        <v>37</v>
      </c>
      <c r="D32" s="574">
        <v>0.04</v>
      </c>
      <c r="E32" s="575">
        <f>'DATA BASE'!N38</f>
        <v>71</v>
      </c>
      <c r="F32" s="583">
        <f>'DATA BASE'!S38</f>
        <v>146</v>
      </c>
      <c r="G32" s="588">
        <f>'DATA BASE'!Q38</f>
        <v>37</v>
      </c>
      <c r="H32" s="589" t="str">
        <f>'DATA BASE'!U38</f>
        <v>GN-1600</v>
      </c>
      <c r="I32" s="585">
        <f>'DATA BASE'!V38</f>
        <v>201</v>
      </c>
      <c r="J32" s="577">
        <f>'DATA BASE'!Z38</f>
        <v>42538</v>
      </c>
    </row>
    <row r="33" spans="1:10" ht="42.75" customHeight="1" x14ac:dyDescent="0.45">
      <c r="A33" s="304" t="str">
        <f>'DATA BASE'!A39</f>
        <v>113M-78</v>
      </c>
      <c r="B33" s="572">
        <f>'DATA BASE'!P39</f>
        <v>400</v>
      </c>
      <c r="C33" s="573">
        <f>'DATA BASE'!Q39</f>
        <v>22</v>
      </c>
      <c r="D33" s="574">
        <v>0.08</v>
      </c>
      <c r="E33" s="575">
        <f>'DATA BASE'!N39</f>
        <v>117</v>
      </c>
      <c r="F33" s="583">
        <f>'DATA BASE'!S39</f>
        <v>83.5</v>
      </c>
      <c r="G33" s="588">
        <f>'DATA BASE'!Q39</f>
        <v>22</v>
      </c>
      <c r="H33" s="589" t="str">
        <f>'DATA BASE'!U39</f>
        <v>WD-650</v>
      </c>
      <c r="I33" s="585">
        <f>'DATA BASE'!V39</f>
        <v>510</v>
      </c>
      <c r="J33" s="577">
        <f>'DATA BASE'!Z39</f>
        <v>43628</v>
      </c>
    </row>
    <row r="34" spans="1:10" ht="42.75" customHeight="1" x14ac:dyDescent="0.45">
      <c r="A34" s="304" t="str">
        <f>'DATA BASE'!A40</f>
        <v>113M-79</v>
      </c>
      <c r="B34" s="572">
        <f>'DATA BASE'!P40</f>
        <v>400</v>
      </c>
      <c r="C34" s="573">
        <f>'DATA BASE'!Q40</f>
        <v>19</v>
      </c>
      <c r="D34" s="574">
        <v>1.9E-2</v>
      </c>
      <c r="E34" s="575">
        <f>'DATA BASE'!N40</f>
        <v>68</v>
      </c>
      <c r="F34" s="583">
        <f>'DATA BASE'!S40</f>
        <v>83</v>
      </c>
      <c r="G34" s="588">
        <f>'DATA BASE'!Q40</f>
        <v>19</v>
      </c>
      <c r="H34" s="589" t="str">
        <f>'DATA BASE'!U40</f>
        <v>WD-850</v>
      </c>
      <c r="I34" s="585">
        <f>'DATA BASE'!V40</f>
        <v>272</v>
      </c>
      <c r="J34" s="577">
        <f>'DATA BASE'!Z40</f>
        <v>43429</v>
      </c>
    </row>
    <row r="35" spans="1:10" ht="42.75" customHeight="1" x14ac:dyDescent="0.45">
      <c r="A35" s="304" t="str">
        <f>'DATA BASE'!A41</f>
        <v>113M-80</v>
      </c>
      <c r="B35" s="572">
        <f>'DATA BASE'!P41</f>
        <v>500</v>
      </c>
      <c r="C35" s="573">
        <f>'DATA BASE'!Q41</f>
        <v>23</v>
      </c>
      <c r="D35" s="574">
        <v>1.2E-2</v>
      </c>
      <c r="E35" s="575">
        <f>'DATA BASE'!N41</f>
        <v>74</v>
      </c>
      <c r="F35" s="583">
        <f>'DATA BASE'!S41</f>
        <v>95</v>
      </c>
      <c r="G35" s="588">
        <f>'DATA BASE'!Q41</f>
        <v>23</v>
      </c>
      <c r="H35" s="589" t="str">
        <f>'DATA BASE'!U41</f>
        <v>FLEX-10</v>
      </c>
      <c r="I35" s="585">
        <f>'DATA BASE'!V41</f>
        <v>190</v>
      </c>
      <c r="J35" s="577">
        <f>'DATA BASE'!Z41</f>
        <v>43577</v>
      </c>
    </row>
    <row r="36" spans="1:10" ht="42.75" customHeight="1" x14ac:dyDescent="0.45">
      <c r="A36" s="304" t="str">
        <f>'DATA BASE'!A42</f>
        <v>113M-81</v>
      </c>
      <c r="B36" s="572">
        <f>'DATA BASE'!P42</f>
        <v>400</v>
      </c>
      <c r="C36" s="573">
        <f>'DATA BASE'!Q42</f>
        <v>31</v>
      </c>
      <c r="D36" s="574">
        <v>0.14000000000000001</v>
      </c>
      <c r="E36" s="575">
        <f>'DATA BASE'!N42</f>
        <v>208</v>
      </c>
      <c r="F36" s="583">
        <f>'DATA BASE'!S42</f>
        <v>125</v>
      </c>
      <c r="G36" s="588">
        <f>'DATA BASE'!Q42</f>
        <v>31</v>
      </c>
      <c r="H36" s="589" t="str">
        <f>'DATA BASE'!U42</f>
        <v>B400-1050</v>
      </c>
      <c r="I36" s="585">
        <f>'DATA BASE'!V42</f>
        <v>400</v>
      </c>
      <c r="J36" s="577">
        <f>'DATA BASE'!Z42</f>
        <v>42861</v>
      </c>
    </row>
    <row r="37" spans="1:10" ht="42.75" customHeight="1" x14ac:dyDescent="0.45">
      <c r="A37" s="304" t="str">
        <f>'DATA BASE'!A43</f>
        <v>113M-82</v>
      </c>
      <c r="B37" s="572">
        <f>'DATA BASE'!P43</f>
        <v>500</v>
      </c>
      <c r="C37" s="573">
        <f>'DATA BASE'!Q43</f>
        <v>24</v>
      </c>
      <c r="D37" s="574">
        <v>0.15</v>
      </c>
      <c r="E37" s="575">
        <f>'DATA BASE'!N43</f>
        <v>118</v>
      </c>
      <c r="F37" s="583">
        <f>'DATA BASE'!S43</f>
        <v>104</v>
      </c>
      <c r="G37" s="590">
        <f>'DATA BASE'!Q43</f>
        <v>24</v>
      </c>
      <c r="H37" s="589" t="str">
        <f>'DATA BASE'!U43</f>
        <v>P-8</v>
      </c>
      <c r="I37" s="585">
        <f>'DATA BASE'!V43</f>
        <v>259</v>
      </c>
      <c r="J37" s="577">
        <f>'DATA BASE'!Z43</f>
        <v>43311</v>
      </c>
    </row>
    <row r="38" spans="1:10" ht="42.75" customHeight="1" x14ac:dyDescent="0.45">
      <c r="A38" s="304" t="str">
        <f>'DATA BASE'!A44</f>
        <v>113M-83</v>
      </c>
      <c r="B38" s="572">
        <f>'DATA BASE'!P44</f>
        <v>400</v>
      </c>
      <c r="C38" s="573">
        <f>'DATA BASE'!Q44</f>
        <v>14</v>
      </c>
      <c r="D38" s="574">
        <v>0</v>
      </c>
      <c r="E38" s="575">
        <f>'DATA BASE'!N44</f>
        <v>0</v>
      </c>
      <c r="F38" s="583">
        <f>'DATA BASE'!S44</f>
        <v>66.7</v>
      </c>
      <c r="G38" s="590">
        <f>'DATA BASE'!Q44</f>
        <v>14</v>
      </c>
      <c r="H38" s="589" t="str">
        <f>'DATA BASE'!U44</f>
        <v>WD-450</v>
      </c>
      <c r="I38" s="585">
        <f>'DATA BASE'!V44</f>
        <v>422</v>
      </c>
      <c r="J38" s="577">
        <f>'DATA BASE'!Z44</f>
        <v>43508</v>
      </c>
    </row>
    <row r="39" spans="1:10" ht="42.75" customHeight="1" x14ac:dyDescent="0.45">
      <c r="A39" s="304" t="str">
        <f>'DATA BASE'!A45</f>
        <v>113M-84</v>
      </c>
      <c r="B39" s="572">
        <f>'DATA BASE'!P45</f>
        <v>200</v>
      </c>
      <c r="C39" s="573">
        <f>'DATA BASE'!Q45</f>
        <v>90</v>
      </c>
      <c r="D39" s="574">
        <v>0.38</v>
      </c>
      <c r="E39" s="575">
        <f>'DATA BASE'!N45</f>
        <v>114</v>
      </c>
      <c r="F39" s="583">
        <f>'DATA BASE'!S45</f>
        <v>115</v>
      </c>
      <c r="G39" s="590">
        <f>'DATA BASE'!Q45</f>
        <v>90</v>
      </c>
      <c r="H39" s="589" t="str">
        <f>'DATA BASE'!U45</f>
        <v>B513-6000</v>
      </c>
      <c r="I39" s="585">
        <f>'DATA BASE'!V45</f>
        <v>340</v>
      </c>
      <c r="J39" s="577">
        <f>'DATA BASE'!Z45</f>
        <v>43842</v>
      </c>
    </row>
    <row r="40" spans="1:10" ht="42.75" customHeight="1" x14ac:dyDescent="0.45">
      <c r="A40" s="304" t="str">
        <f>'DATA BASE'!A47</f>
        <v>113M-86</v>
      </c>
      <c r="B40" s="572">
        <f>'DATA BASE'!P47</f>
        <v>500</v>
      </c>
      <c r="C40" s="573">
        <f>'DATA BASE'!Q47</f>
        <v>17</v>
      </c>
      <c r="D40" s="574">
        <v>0.19</v>
      </c>
      <c r="E40" s="575">
        <f>'DATA BASE'!N47</f>
        <v>385</v>
      </c>
      <c r="F40" s="583">
        <f>'DATA BASE'!S47</f>
        <v>64</v>
      </c>
      <c r="G40" s="590">
        <f>'DATA BASE'!Q47</f>
        <v>17</v>
      </c>
      <c r="H40" s="589" t="str">
        <f>'DATA BASE'!U47</f>
        <v>FLEX 3.2</v>
      </c>
      <c r="I40" s="585">
        <f>'DATA BASE'!V47</f>
        <v>401</v>
      </c>
      <c r="J40" s="577">
        <f>'DATA BASE'!Z47</f>
        <v>43919</v>
      </c>
    </row>
    <row r="41" spans="1:10" ht="42.75" customHeight="1" x14ac:dyDescent="0.45">
      <c r="A41" s="304" t="str">
        <f>'DATA BASE'!A48</f>
        <v>113M-87</v>
      </c>
      <c r="B41" s="572">
        <f>'DATA BASE'!P48</f>
        <v>400</v>
      </c>
      <c r="C41" s="573">
        <f>'DATA BASE'!Q48</f>
        <v>19</v>
      </c>
      <c r="D41" s="574"/>
      <c r="E41" s="575">
        <f>'DATA BASE'!N48</f>
        <v>0</v>
      </c>
      <c r="F41" s="583">
        <f>'DATA BASE'!S48</f>
        <v>64</v>
      </c>
      <c r="G41" s="590">
        <f>'DATA BASE'!Q48</f>
        <v>19</v>
      </c>
      <c r="H41" s="589" t="str">
        <f>'DATA BASE'!U48</f>
        <v>FLEX 3.2</v>
      </c>
      <c r="I41" s="585">
        <f>'DATA BASE'!V48</f>
        <v>406</v>
      </c>
      <c r="J41" s="577">
        <f>'DATA BASE'!Z48</f>
        <v>43747</v>
      </c>
    </row>
    <row r="42" spans="1:10" ht="42.75" customHeight="1" x14ac:dyDescent="0.45">
      <c r="A42" s="304" t="str">
        <f>'DATA BASE'!A49</f>
        <v>113M-91</v>
      </c>
      <c r="B42" s="572">
        <f>'DATA BASE'!P49</f>
        <v>400</v>
      </c>
      <c r="C42" s="573">
        <f>'DATA BASE'!Q49</f>
        <v>27</v>
      </c>
      <c r="D42" s="574">
        <v>0.19</v>
      </c>
      <c r="E42" s="575">
        <f>'DATA BASE'!N49</f>
        <v>212</v>
      </c>
      <c r="F42" s="583">
        <f>'DATA BASE'!S49</f>
        <v>104</v>
      </c>
      <c r="G42" s="590">
        <f>'DATA BASE'!Q49</f>
        <v>27</v>
      </c>
      <c r="H42" s="589" t="str">
        <f>'DATA BASE'!U49</f>
        <v>FLEX-10</v>
      </c>
      <c r="I42" s="585">
        <f>'DATA BASE'!V49</f>
        <v>190</v>
      </c>
      <c r="J42" s="577">
        <f>'DATA BASE'!Z49</f>
        <v>43928</v>
      </c>
    </row>
    <row r="43" spans="1:10" ht="42.75" customHeight="1" x14ac:dyDescent="0.45">
      <c r="A43" s="304" t="str">
        <f>'DATA BASE'!A50</f>
        <v>113M-94</v>
      </c>
      <c r="B43" s="572">
        <f>'DATA BASE'!P50</f>
        <v>0</v>
      </c>
      <c r="C43" s="573">
        <f>'DATA BASE'!Q50</f>
        <v>0</v>
      </c>
      <c r="D43" s="574">
        <v>0.03</v>
      </c>
      <c r="E43" s="575">
        <f>'DATA BASE'!N50</f>
        <v>70</v>
      </c>
      <c r="F43" s="583">
        <f>'DATA BASE'!S50</f>
        <v>97</v>
      </c>
      <c r="G43" s="590">
        <f>'DATA BASE'!Q50</f>
        <v>0</v>
      </c>
      <c r="H43" s="589" t="str">
        <f>'DATA BASE'!U50</f>
        <v>B400-700</v>
      </c>
      <c r="I43" s="585">
        <f>'DATA BASE'!V50</f>
        <v>359</v>
      </c>
      <c r="J43" s="577">
        <f>'DATA BASE'!Z50</f>
        <v>44027</v>
      </c>
    </row>
    <row r="44" spans="1:10" ht="42.75" customHeight="1" x14ac:dyDescent="0.45">
      <c r="A44" s="304" t="str">
        <f>'DATA BASE'!A51</f>
        <v>113M-96</v>
      </c>
      <c r="B44" s="572">
        <f>'DATA BASE'!P51</f>
        <v>400</v>
      </c>
      <c r="C44" s="573">
        <f>'DATA BASE'!Q51</f>
        <v>35</v>
      </c>
      <c r="D44" s="574"/>
      <c r="E44" s="575">
        <f>'DATA BASE'!N51</f>
        <v>0</v>
      </c>
      <c r="F44" s="583">
        <f>'DATA BASE'!S51</f>
        <v>150</v>
      </c>
      <c r="G44" s="590">
        <f>'DATA BASE'!Q51</f>
        <v>35</v>
      </c>
      <c r="H44" s="589" t="str">
        <f>'DATA BASE'!U51</f>
        <v>B400-1250</v>
      </c>
      <c r="I44" s="585">
        <f>'DATA BASE'!V51</f>
        <v>377</v>
      </c>
      <c r="J44" s="577">
        <f>'DATA BASE'!Z51</f>
        <v>43894</v>
      </c>
    </row>
    <row r="45" spans="1:10" ht="42.75" customHeight="1" x14ac:dyDescent="0.45">
      <c r="A45" s="304" t="str">
        <f>'DATA BASE'!A52</f>
        <v>113M-97</v>
      </c>
      <c r="B45" s="572">
        <f>'DATA BASE'!P52</f>
        <v>400</v>
      </c>
      <c r="C45" s="573">
        <f>'DATA BASE'!Q52</f>
        <v>24</v>
      </c>
      <c r="D45" s="574">
        <v>0.06</v>
      </c>
      <c r="E45" s="575">
        <f>'DATA BASE'!N52</f>
        <v>62</v>
      </c>
      <c r="F45" s="583">
        <f>'DATA BASE'!S52</f>
        <v>64</v>
      </c>
      <c r="G45" s="590">
        <f>'DATA BASE'!Q52</f>
        <v>24</v>
      </c>
      <c r="H45" s="589" t="str">
        <f>'DATA BASE'!U52</f>
        <v>FLEX 3.2</v>
      </c>
      <c r="I45" s="585">
        <f>'DATA BASE'!V52</f>
        <v>617</v>
      </c>
      <c r="J45" s="577">
        <f>'DATA BASE'!Z52</f>
        <v>44128</v>
      </c>
    </row>
    <row r="46" spans="1:10" ht="42.75" customHeight="1" x14ac:dyDescent="0.45">
      <c r="A46" s="304" t="str">
        <f>'DATA BASE'!A53</f>
        <v>113M-99</v>
      </c>
      <c r="B46" s="572">
        <f>'DATA BASE'!P53</f>
        <v>500</v>
      </c>
      <c r="C46" s="573">
        <f>'DATA BASE'!Q53</f>
        <v>47</v>
      </c>
      <c r="D46" s="574">
        <v>0.14000000000000001</v>
      </c>
      <c r="E46" s="575">
        <f>'DATA BASE'!N53</f>
        <v>225</v>
      </c>
      <c r="F46" s="583">
        <f>'DATA BASE'!S53</f>
        <v>187</v>
      </c>
      <c r="G46" s="590">
        <f>'DATA BASE'!Q53</f>
        <v>47</v>
      </c>
      <c r="H46" s="589" t="str">
        <f>'DATA BASE'!U53</f>
        <v>GC-1700</v>
      </c>
      <c r="I46" s="585">
        <f>'DATA BASE'!V53</f>
        <v>204</v>
      </c>
      <c r="J46" s="577">
        <f>'DATA BASE'!Z53</f>
        <v>43040</v>
      </c>
    </row>
    <row r="47" spans="1:10" ht="42.75" customHeight="1" x14ac:dyDescent="0.45">
      <c r="A47" s="304" t="str">
        <f>'DATA BASE'!A54</f>
        <v>113M-100</v>
      </c>
      <c r="B47" s="572">
        <f>'DATA BASE'!P54</f>
        <v>400</v>
      </c>
      <c r="C47" s="573">
        <f>'DATA BASE'!Q54</f>
        <v>32</v>
      </c>
      <c r="D47" s="574">
        <v>0.14000000000000001</v>
      </c>
      <c r="E47" s="575">
        <f>'DATA BASE'!N54</f>
        <v>99</v>
      </c>
      <c r="F47" s="583">
        <f>'DATA BASE'!S54</f>
        <v>116.7</v>
      </c>
      <c r="G47" s="590">
        <f>'DATA BASE'!Q54</f>
        <v>32</v>
      </c>
      <c r="H47" s="589" t="str">
        <f>'DATA BASE'!U54</f>
        <v>B400-1050</v>
      </c>
      <c r="I47" s="585">
        <f>'DATA BASE'!V54</f>
        <v>364</v>
      </c>
      <c r="J47" s="577">
        <f>'DATA BASE'!Z54</f>
        <v>44060</v>
      </c>
    </row>
    <row r="48" spans="1:10" ht="42.75" customHeight="1" x14ac:dyDescent="0.45">
      <c r="A48" s="304" t="str">
        <f>'DATA BASE'!A55</f>
        <v>113M-101</v>
      </c>
      <c r="B48" s="572">
        <f>'DATA BASE'!P55</f>
        <v>400</v>
      </c>
      <c r="C48" s="573">
        <f>'DATA BASE'!Q55</f>
        <v>13</v>
      </c>
      <c r="D48" s="574">
        <v>0.03</v>
      </c>
      <c r="E48" s="575">
        <f>'DATA BASE'!N55</f>
        <v>32</v>
      </c>
      <c r="F48" s="583">
        <f>'DATA BASE'!S55</f>
        <v>67</v>
      </c>
      <c r="G48" s="590">
        <f>'DATA BASE'!Q55</f>
        <v>13</v>
      </c>
      <c r="H48" s="589" t="str">
        <f>'DATA BASE'!U55</f>
        <v>WD-450</v>
      </c>
      <c r="I48" s="585">
        <f>'DATA BASE'!V55</f>
        <v>472</v>
      </c>
      <c r="J48" s="577">
        <f>'DATA BASE'!Z55</f>
        <v>43391</v>
      </c>
    </row>
    <row r="49" spans="1:10" ht="42.75" customHeight="1" x14ac:dyDescent="0.45">
      <c r="A49" s="304" t="e">
        <f>'DATA BASE'!#REF!</f>
        <v>#REF!</v>
      </c>
      <c r="B49" s="572" t="e">
        <f>'DATA BASE'!#REF!</f>
        <v>#REF!</v>
      </c>
      <c r="C49" s="573" t="e">
        <f>'DATA BASE'!#REF!</f>
        <v>#REF!</v>
      </c>
      <c r="D49" s="574">
        <v>0</v>
      </c>
      <c r="E49" s="575" t="e">
        <f>'DATA BASE'!#REF!</f>
        <v>#REF!</v>
      </c>
      <c r="F49" s="583" t="e">
        <f>'DATA BASE'!#REF!</f>
        <v>#REF!</v>
      </c>
      <c r="G49" s="590" t="e">
        <f>'DATA BASE'!#REF!</f>
        <v>#REF!</v>
      </c>
      <c r="H49" s="589" t="e">
        <f>'DATA BASE'!#REF!</f>
        <v>#REF!</v>
      </c>
      <c r="I49" s="585" t="e">
        <f>'DATA BASE'!#REF!</f>
        <v>#REF!</v>
      </c>
      <c r="J49" s="577" t="e">
        <f>'DATA BASE'!#REF!</f>
        <v>#REF!</v>
      </c>
    </row>
    <row r="50" spans="1:10" ht="42.75" customHeight="1" x14ac:dyDescent="0.45">
      <c r="A50" s="304" t="str">
        <f>'DATA BASE'!A56</f>
        <v>113M-103</v>
      </c>
      <c r="B50" s="572">
        <f>'DATA BASE'!P56</f>
        <v>400</v>
      </c>
      <c r="C50" s="573">
        <f>'DATA BASE'!Q56</f>
        <v>99</v>
      </c>
      <c r="D50" s="574">
        <v>0.08</v>
      </c>
      <c r="E50" s="575">
        <f>'DATA BASE'!N56</f>
        <v>39</v>
      </c>
      <c r="F50" s="583">
        <f>'DATA BASE'!S56</f>
        <v>348</v>
      </c>
      <c r="G50" s="590">
        <f>'DATA BASE'!Q56</f>
        <v>99</v>
      </c>
      <c r="H50" s="589" t="str">
        <f>'DATA BASE'!U56</f>
        <v>B513-3100</v>
      </c>
      <c r="I50" s="585">
        <f>'DATA BASE'!V56</f>
        <v>327</v>
      </c>
      <c r="J50" s="577">
        <f>'DATA BASE'!Z56</f>
        <v>44047</v>
      </c>
    </row>
    <row r="51" spans="1:10" ht="42.75" customHeight="1" x14ac:dyDescent="0.45">
      <c r="A51" s="304" t="e">
        <f>'DATA BASE'!#REF!</f>
        <v>#REF!</v>
      </c>
      <c r="B51" s="572" t="e">
        <f>'DATA BASE'!#REF!</f>
        <v>#REF!</v>
      </c>
      <c r="C51" s="573" t="e">
        <f>'DATA BASE'!#REF!</f>
        <v>#REF!</v>
      </c>
      <c r="D51" s="574">
        <v>0.78</v>
      </c>
      <c r="E51" s="575" t="e">
        <f>'DATA BASE'!#REF!</f>
        <v>#REF!</v>
      </c>
      <c r="F51" s="583" t="e">
        <f>'DATA BASE'!#REF!</f>
        <v>#REF!</v>
      </c>
      <c r="G51" s="590" t="e">
        <f>'DATA BASE'!#REF!</f>
        <v>#REF!</v>
      </c>
      <c r="H51" s="589" t="e">
        <f>'DATA BASE'!#REF!</f>
        <v>#REF!</v>
      </c>
      <c r="I51" s="585" t="e">
        <f>'DATA BASE'!#REF!</f>
        <v>#REF!</v>
      </c>
      <c r="J51" s="577" t="e">
        <f>'DATA BASE'!#REF!</f>
        <v>#REF!</v>
      </c>
    </row>
    <row r="52" spans="1:10" ht="42.75" customHeight="1" x14ac:dyDescent="0.45">
      <c r="A52" s="304" t="str">
        <f>'DATA BASE'!A57</f>
        <v>113M-107</v>
      </c>
      <c r="B52" s="572">
        <f>'DATA BASE'!P57</f>
        <v>400</v>
      </c>
      <c r="C52" s="573">
        <f>'DATA BASE'!Q57</f>
        <v>18</v>
      </c>
      <c r="D52" s="574">
        <v>0.19</v>
      </c>
      <c r="E52" s="575">
        <f>'DATA BASE'!N57</f>
        <v>281</v>
      </c>
      <c r="F52" s="583">
        <f>'DATA BASE'!S57</f>
        <v>66.7</v>
      </c>
      <c r="G52" s="590">
        <f>'DATA BASE'!Q57</f>
        <v>18</v>
      </c>
      <c r="H52" s="589" t="str">
        <f>'DATA BASE'!U57</f>
        <v>WD-650</v>
      </c>
      <c r="I52" s="585">
        <f>'DATA BASE'!V57</f>
        <v>388</v>
      </c>
      <c r="J52" s="577">
        <f>'DATA BASE'!Z57</f>
        <v>43663</v>
      </c>
    </row>
    <row r="53" spans="1:10" ht="42.75" customHeight="1" x14ac:dyDescent="0.45">
      <c r="A53" s="304" t="e">
        <f>'DATA BASE'!#REF!</f>
        <v>#REF!</v>
      </c>
      <c r="B53" s="572" t="e">
        <f>'DATA BASE'!#REF!</f>
        <v>#REF!</v>
      </c>
      <c r="C53" s="573" t="e">
        <f>'DATA BASE'!#REF!</f>
        <v>#REF!</v>
      </c>
      <c r="D53" s="574">
        <v>0.3</v>
      </c>
      <c r="E53" s="575" t="e">
        <f>'DATA BASE'!#REF!</f>
        <v>#REF!</v>
      </c>
      <c r="F53" s="583" t="e">
        <f>'DATA BASE'!#REF!</f>
        <v>#REF!</v>
      </c>
      <c r="G53" s="590" t="e">
        <f>'DATA BASE'!#REF!</f>
        <v>#REF!</v>
      </c>
      <c r="H53" s="589" t="e">
        <f>'DATA BASE'!#REF!</f>
        <v>#REF!</v>
      </c>
      <c r="I53" s="585" t="e">
        <f>'DATA BASE'!#REF!</f>
        <v>#REF!</v>
      </c>
      <c r="J53" s="577" t="e">
        <f>'DATA BASE'!#REF!</f>
        <v>#REF!</v>
      </c>
    </row>
    <row r="54" spans="1:10" ht="42.75" customHeight="1" x14ac:dyDescent="0.45">
      <c r="A54" s="304" t="str">
        <f>'DATA BASE'!A58</f>
        <v>113M-109</v>
      </c>
      <c r="B54" s="572">
        <f>'DATA BASE'!P58</f>
        <v>400</v>
      </c>
      <c r="C54" s="573">
        <f>'DATA BASE'!Q58</f>
        <v>25</v>
      </c>
      <c r="D54" s="574">
        <v>0.22</v>
      </c>
      <c r="E54" s="575">
        <f>'DATA BASE'!N58</f>
        <v>397</v>
      </c>
      <c r="F54" s="583">
        <f>'DATA BASE'!S58</f>
        <v>100</v>
      </c>
      <c r="G54" s="590">
        <f>'DATA BASE'!Q58</f>
        <v>25</v>
      </c>
      <c r="H54" s="589" t="str">
        <f>'DATA BASE'!U58</f>
        <v>WD-850</v>
      </c>
      <c r="I54" s="585">
        <f>'DATA BASE'!V58</f>
        <v>354</v>
      </c>
      <c r="J54" s="577">
        <f>'DATA BASE'!Z58</f>
        <v>43745</v>
      </c>
    </row>
    <row r="55" spans="1:10" ht="42.75" customHeight="1" x14ac:dyDescent="0.45">
      <c r="A55" s="304" t="str">
        <f>'DATA BASE'!A59</f>
        <v>113M-110</v>
      </c>
      <c r="B55" s="572">
        <f>'DATA BASE'!P59</f>
        <v>800</v>
      </c>
      <c r="C55" s="573">
        <f>'DATA BASE'!Q59</f>
        <v>30</v>
      </c>
      <c r="D55" s="574">
        <v>0</v>
      </c>
      <c r="E55" s="575">
        <f>'DATA BASE'!N59</f>
        <v>0</v>
      </c>
      <c r="F55" s="583">
        <f>'DATA BASE'!S59</f>
        <v>83</v>
      </c>
      <c r="G55" s="590">
        <f>'DATA BASE'!Q59</f>
        <v>30</v>
      </c>
      <c r="H55" s="589" t="str">
        <f>'DATA BASE'!U59</f>
        <v>P-6</v>
      </c>
      <c r="I55" s="585">
        <f>'DATA BASE'!V59</f>
        <v>326</v>
      </c>
      <c r="J55" s="577">
        <f>'DATA BASE'!Z59</f>
        <v>43244</v>
      </c>
    </row>
    <row r="56" spans="1:10" ht="42.75" customHeight="1" x14ac:dyDescent="0.45">
      <c r="A56" s="304" t="str">
        <f>'DATA BASE'!A60</f>
        <v>113M-112</v>
      </c>
      <c r="B56" s="572">
        <f>'DATA BASE'!P60</f>
        <v>250</v>
      </c>
      <c r="C56" s="573">
        <f>'DATA BASE'!Q60</f>
        <v>30</v>
      </c>
      <c r="D56" s="574">
        <v>0.34</v>
      </c>
      <c r="E56" s="575">
        <f>'DATA BASE'!N60</f>
        <v>119</v>
      </c>
      <c r="F56" s="583">
        <f>'DATA BASE'!S60</f>
        <v>133</v>
      </c>
      <c r="G56" s="590">
        <f>'DATA BASE'!Q60</f>
        <v>30</v>
      </c>
      <c r="H56" s="589" t="str">
        <f>'DATA BASE'!U60</f>
        <v>WD1300MF</v>
      </c>
      <c r="I56" s="585">
        <f>'DATA BASE'!V60</f>
        <v>393</v>
      </c>
      <c r="J56" s="577">
        <f>'DATA BASE'!Z60</f>
        <v>42823</v>
      </c>
    </row>
    <row r="57" spans="1:10" ht="42.75" customHeight="1" x14ac:dyDescent="0.45">
      <c r="A57" s="304" t="e">
        <f>'DATA BASE'!#REF!</f>
        <v>#REF!</v>
      </c>
      <c r="B57" s="572" t="e">
        <f>'DATA BASE'!#REF!</f>
        <v>#REF!</v>
      </c>
      <c r="C57" s="573" t="e">
        <f>'DATA BASE'!#REF!</f>
        <v>#REF!</v>
      </c>
      <c r="D57" s="574">
        <v>0</v>
      </c>
      <c r="E57" s="575" t="e">
        <f>'DATA BASE'!#REF!</f>
        <v>#REF!</v>
      </c>
      <c r="F57" s="583" t="e">
        <f>'DATA BASE'!#REF!</f>
        <v>#REF!</v>
      </c>
      <c r="G57" s="590" t="e">
        <f>'DATA BASE'!#REF!</f>
        <v>#REF!</v>
      </c>
      <c r="H57" s="589" t="e">
        <f>'DATA BASE'!#REF!</f>
        <v>#REF!</v>
      </c>
      <c r="I57" s="585" t="e">
        <f>'DATA BASE'!#REF!</f>
        <v>#REF!</v>
      </c>
      <c r="J57" s="577" t="e">
        <f>'DATA BASE'!#REF!</f>
        <v>#REF!</v>
      </c>
    </row>
    <row r="58" spans="1:10" ht="42.75" customHeight="1" thickBot="1" x14ac:dyDescent="0.5">
      <c r="A58" s="306" t="str">
        <f>'DATA BASE'!A61</f>
        <v>113M-115</v>
      </c>
      <c r="B58" s="578">
        <f>'DATA BASE'!P61</f>
        <v>600</v>
      </c>
      <c r="C58" s="579">
        <f>'DATA BASE'!Q61</f>
        <v>24</v>
      </c>
      <c r="D58" s="580">
        <v>0.39</v>
      </c>
      <c r="E58" s="581">
        <f>'DATA BASE'!N61</f>
        <v>250</v>
      </c>
      <c r="F58" s="584">
        <f>'DATA BASE'!S61</f>
        <v>125</v>
      </c>
      <c r="G58" s="591">
        <f>'DATA BASE'!Q61</f>
        <v>24</v>
      </c>
      <c r="H58" s="592" t="str">
        <f>'DATA BASE'!U61</f>
        <v>FLEX-10</v>
      </c>
      <c r="I58" s="586">
        <f>'DATA BASE'!V61</f>
        <v>238</v>
      </c>
      <c r="J58" s="582">
        <f>'DATA BASE'!Z61</f>
        <v>43983</v>
      </c>
    </row>
    <row r="59" spans="1:10" ht="76.5" customHeight="1" thickTop="1" thickBot="1" x14ac:dyDescent="0.3">
      <c r="A59" s="334" t="s">
        <v>316</v>
      </c>
      <c r="B59" s="603" t="s">
        <v>373</v>
      </c>
      <c r="C59" s="601" t="s">
        <v>136</v>
      </c>
      <c r="D59" s="600" t="s">
        <v>134</v>
      </c>
      <c r="E59" s="603" t="s">
        <v>133</v>
      </c>
      <c r="F59" s="601" t="s">
        <v>374</v>
      </c>
      <c r="G59" s="337" t="s">
        <v>136</v>
      </c>
      <c r="H59" s="604" t="s">
        <v>375</v>
      </c>
      <c r="I59" s="604" t="s">
        <v>376</v>
      </c>
      <c r="J59" s="602" t="s">
        <v>377</v>
      </c>
    </row>
    <row r="60" spans="1:10" ht="45" customHeight="1" thickTop="1" x14ac:dyDescent="0.45">
      <c r="A60" s="333" t="str">
        <f>'DATA BASE'!A62</f>
        <v>113M-116</v>
      </c>
      <c r="B60" s="593">
        <f>'DATA BASE'!P62</f>
        <v>400</v>
      </c>
      <c r="C60" s="594">
        <f>'DATA BASE'!Q62</f>
        <v>23</v>
      </c>
      <c r="D60" s="595">
        <f>'DATA BASE'!O62</f>
        <v>0.43</v>
      </c>
      <c r="E60" s="596">
        <f>'DATA BASE'!N62</f>
        <v>114</v>
      </c>
      <c r="F60" s="597">
        <f>'DATA BASE'!S62</f>
        <v>83</v>
      </c>
      <c r="G60" s="598">
        <f>'DATA BASE'!T62</f>
        <v>30</v>
      </c>
      <c r="H60" s="587" t="str">
        <f>'DATA BASE'!U62</f>
        <v>B400-1050</v>
      </c>
      <c r="I60" s="599">
        <f>'DATA BASE'!V62</f>
        <v>321</v>
      </c>
      <c r="J60" s="576">
        <f>'DATA BASE'!Z62</f>
        <v>43486</v>
      </c>
    </row>
    <row r="61" spans="1:10" ht="45" customHeight="1" x14ac:dyDescent="0.45">
      <c r="A61" s="304" t="str">
        <f>'DATA BASE'!A63</f>
        <v>113M-117</v>
      </c>
      <c r="B61" s="572">
        <f>'DATA BASE'!P63</f>
        <v>400</v>
      </c>
      <c r="C61" s="573">
        <f>'DATA BASE'!Q63</f>
        <v>18</v>
      </c>
      <c r="D61" s="574">
        <f>'DATA BASE'!O63</f>
        <v>0.81</v>
      </c>
      <c r="E61" s="575">
        <f>'DATA BASE'!N63</f>
        <v>173</v>
      </c>
      <c r="F61" s="583">
        <f>'DATA BASE'!S63</f>
        <v>67</v>
      </c>
      <c r="G61" s="588">
        <f>'DATA BASE'!T63</f>
        <v>20</v>
      </c>
      <c r="H61" s="589" t="str">
        <f>'DATA BASE'!U63</f>
        <v>WD-450</v>
      </c>
      <c r="I61" s="585">
        <f>'DATA BASE'!V63</f>
        <v>438</v>
      </c>
      <c r="J61" s="577">
        <f>'DATA BASE'!Z63</f>
        <v>43590</v>
      </c>
    </row>
    <row r="62" spans="1:10" ht="45" customHeight="1" x14ac:dyDescent="0.45">
      <c r="A62" s="304" t="str">
        <f>'DATA BASE'!A64</f>
        <v>113M-118</v>
      </c>
      <c r="B62" s="572">
        <f>'DATA BASE'!P64</f>
        <v>400</v>
      </c>
      <c r="C62" s="573">
        <f>'DATA BASE'!Q64</f>
        <v>17</v>
      </c>
      <c r="D62" s="574">
        <f>'DATA BASE'!O64</f>
        <v>0.4</v>
      </c>
      <c r="E62" s="575">
        <f>'DATA BASE'!N64</f>
        <v>71</v>
      </c>
      <c r="F62" s="583">
        <f>'DATA BASE'!S64</f>
        <v>100</v>
      </c>
      <c r="G62" s="588">
        <f>'DATA BASE'!T64</f>
        <v>35</v>
      </c>
      <c r="H62" s="589" t="str">
        <f>'DATA BASE'!U64</f>
        <v>B400-1050</v>
      </c>
      <c r="I62" s="585">
        <f>'DATA BASE'!V64</f>
        <v>354</v>
      </c>
      <c r="J62" s="577">
        <f>'DATA BASE'!Z64</f>
        <v>44119</v>
      </c>
    </row>
    <row r="63" spans="1:10" ht="45" customHeight="1" x14ac:dyDescent="0.45">
      <c r="A63" s="304" t="str">
        <f>'DATA BASE'!A65</f>
        <v>113M-119</v>
      </c>
      <c r="B63" s="572">
        <f>'DATA BASE'!P65</f>
        <v>600</v>
      </c>
      <c r="C63" s="573">
        <f>'DATA BASE'!Q65</f>
        <v>25</v>
      </c>
      <c r="D63" s="574">
        <f>'DATA BASE'!O65</f>
        <v>0.42</v>
      </c>
      <c r="E63" s="575">
        <f>'DATA BASE'!N65</f>
        <v>200</v>
      </c>
      <c r="F63" s="583">
        <f>'DATA BASE'!S65</f>
        <v>133</v>
      </c>
      <c r="G63" s="588">
        <f>'DATA BASE'!T65</f>
        <v>46</v>
      </c>
      <c r="H63" s="589" t="str">
        <f>'DATA BASE'!U65</f>
        <v>WD-1300</v>
      </c>
      <c r="I63" s="585">
        <f>'DATA BASE'!V65</f>
        <v>400</v>
      </c>
      <c r="J63" s="577">
        <f>'DATA BASE'!Z65</f>
        <v>43333</v>
      </c>
    </row>
    <row r="64" spans="1:10" ht="45" customHeight="1" x14ac:dyDescent="0.45">
      <c r="A64" s="304" t="str">
        <f>'DATA BASE'!A66</f>
        <v>113M-120</v>
      </c>
      <c r="B64" s="572">
        <f>'DATA BASE'!P66</f>
        <v>400</v>
      </c>
      <c r="C64" s="573">
        <f>'DATA BASE'!Q66</f>
        <v>35</v>
      </c>
      <c r="D64" s="574">
        <f>'DATA BASE'!O66</f>
        <v>0</v>
      </c>
      <c r="E64" s="575">
        <f>'DATA BASE'!N66</f>
        <v>0</v>
      </c>
      <c r="F64" s="583">
        <f>'DATA BASE'!S66</f>
        <v>150</v>
      </c>
      <c r="G64" s="588">
        <f>'DATA BASE'!T66</f>
        <v>50</v>
      </c>
      <c r="H64" s="589" t="str">
        <f>'DATA BASE'!U66</f>
        <v>WD-1750</v>
      </c>
      <c r="I64" s="585">
        <f>'DATA BASE'!V66</f>
        <v>449</v>
      </c>
      <c r="J64" s="577">
        <f>'DATA BASE'!Z66</f>
        <v>43955</v>
      </c>
    </row>
    <row r="65" spans="1:10" ht="45" customHeight="1" x14ac:dyDescent="0.45">
      <c r="A65" s="304" t="str">
        <f>'DATA BASE'!A67</f>
        <v>113M-121</v>
      </c>
      <c r="B65" s="572">
        <f>'DATA BASE'!P67</f>
        <v>500</v>
      </c>
      <c r="C65" s="573">
        <f>'DATA BASE'!Q67</f>
        <v>37</v>
      </c>
      <c r="D65" s="574">
        <f>'DATA BASE'!O67</f>
        <v>0.34</v>
      </c>
      <c r="E65" s="575">
        <f>'DATA BASE'!N67</f>
        <v>82</v>
      </c>
      <c r="F65" s="583">
        <f>'DATA BASE'!S67</f>
        <v>150</v>
      </c>
      <c r="G65" s="588">
        <f>'DATA BASE'!T67</f>
        <v>48</v>
      </c>
      <c r="H65" s="589" t="str">
        <f>'DATA BASE'!U67</f>
        <v>FLEX-10</v>
      </c>
      <c r="I65" s="585">
        <f>'DATA BASE'!V67</f>
        <v>357</v>
      </c>
      <c r="J65" s="577">
        <f>'DATA BASE'!Z67</f>
        <v>43822</v>
      </c>
    </row>
    <row r="66" spans="1:10" ht="45" customHeight="1" x14ac:dyDescent="0.45">
      <c r="A66" s="304" t="str">
        <f>'DATA BASE'!A68</f>
        <v>113M-122</v>
      </c>
      <c r="B66" s="572">
        <f>'DATA BASE'!P68</f>
        <v>400</v>
      </c>
      <c r="C66" s="573">
        <f>'DATA BASE'!Q68</f>
        <v>25</v>
      </c>
      <c r="D66" s="574">
        <f>'DATA BASE'!O68</f>
        <v>0.41</v>
      </c>
      <c r="E66" s="575">
        <f>'DATA BASE'!N68</f>
        <v>47</v>
      </c>
      <c r="F66" s="583">
        <f>'DATA BASE'!S68</f>
        <v>83</v>
      </c>
      <c r="G66" s="590">
        <f>'DATA BASE'!T68</f>
        <v>27</v>
      </c>
      <c r="H66" s="589" t="str">
        <f>'DATA BASE'!U68</f>
        <v>D1050N</v>
      </c>
      <c r="I66" s="585">
        <f>'DATA BASE'!V68</f>
        <v>333</v>
      </c>
      <c r="J66" s="577">
        <f>'DATA BASE'!Z68</f>
        <v>44040</v>
      </c>
    </row>
    <row r="67" spans="1:10" ht="45" customHeight="1" x14ac:dyDescent="0.45">
      <c r="A67" s="304" t="str">
        <f>'DATA BASE'!A69</f>
        <v>113M-123</v>
      </c>
      <c r="B67" s="572">
        <f>'DATA BASE'!P69</f>
        <v>400</v>
      </c>
      <c r="C67" s="573">
        <f>'DATA BASE'!Q69</f>
        <v>40</v>
      </c>
      <c r="D67" s="574">
        <f>'DATA BASE'!O69</f>
        <v>0.35</v>
      </c>
      <c r="E67" s="575">
        <f>'DATA BASE'!N69</f>
        <v>67</v>
      </c>
      <c r="F67" s="583">
        <f>'DATA BASE'!S69</f>
        <v>167</v>
      </c>
      <c r="G67" s="590">
        <f>'DATA BASE'!T69</f>
        <v>54</v>
      </c>
      <c r="H67" s="589" t="str">
        <f>'DATA BASE'!U69</f>
        <v>WG-1750</v>
      </c>
      <c r="I67" s="585">
        <f>'DATA BASE'!V69</f>
        <v>466</v>
      </c>
      <c r="J67" s="577">
        <f>'DATA BASE'!Z69</f>
        <v>43902</v>
      </c>
    </row>
    <row r="68" spans="1:10" ht="45" customHeight="1" x14ac:dyDescent="0.45">
      <c r="A68" s="304" t="str">
        <f>'DATA BASE'!A70</f>
        <v>113M-124</v>
      </c>
      <c r="B68" s="572">
        <f>'DATA BASE'!P70</f>
        <v>400</v>
      </c>
      <c r="C68" s="573">
        <f>'DATA BASE'!Q70</f>
        <v>18</v>
      </c>
      <c r="D68" s="574">
        <f>'DATA BASE'!O70</f>
        <v>0.35</v>
      </c>
      <c r="E68" s="575">
        <f>'DATA BASE'!N70</f>
        <v>47</v>
      </c>
      <c r="F68" s="583">
        <f>'DATA BASE'!S70</f>
        <v>83</v>
      </c>
      <c r="G68" s="590">
        <f>'DATA BASE'!T70</f>
        <v>27</v>
      </c>
      <c r="H68" s="589" t="str">
        <f>'DATA BASE'!U70</f>
        <v>D1050N</v>
      </c>
      <c r="I68" s="585">
        <f>'DATA BASE'!V70</f>
        <v>361</v>
      </c>
      <c r="J68" s="577">
        <f>'DATA BASE'!Z70</f>
        <v>44074</v>
      </c>
    </row>
    <row r="69" spans="1:10" ht="45" customHeight="1" x14ac:dyDescent="0.45">
      <c r="A69" s="304" t="str">
        <f>'DATA BASE'!A71</f>
        <v>113M-125</v>
      </c>
      <c r="B69" s="572">
        <f>'DATA BASE'!P71</f>
        <v>300</v>
      </c>
      <c r="C69" s="573">
        <f>'DATA BASE'!Q71</f>
        <v>28</v>
      </c>
      <c r="D69" s="574">
        <f>'DATA BASE'!O71</f>
        <v>0.35</v>
      </c>
      <c r="E69" s="575">
        <f>'DATA BASE'!N71</f>
        <v>47</v>
      </c>
      <c r="F69" s="583">
        <f>'DATA BASE'!S71</f>
        <v>133</v>
      </c>
      <c r="G69" s="590">
        <f>'DATA BASE'!T71</f>
        <v>32</v>
      </c>
      <c r="H69" s="589" t="str">
        <f>'DATA BASE'!U71</f>
        <v>FLEX-10</v>
      </c>
      <c r="I69" s="585">
        <f>'DATA BASE'!V71</f>
        <v>222</v>
      </c>
      <c r="J69" s="577">
        <f>'DATA BASE'!Z71</f>
        <v>44107</v>
      </c>
    </row>
    <row r="70" spans="1:10" ht="45" customHeight="1" x14ac:dyDescent="0.45">
      <c r="A70" s="304"/>
      <c r="B70" s="572"/>
      <c r="C70" s="573"/>
      <c r="D70" s="574"/>
      <c r="E70" s="575"/>
      <c r="F70" s="583"/>
      <c r="G70" s="590"/>
      <c r="H70" s="589"/>
      <c r="I70" s="585"/>
      <c r="J70" s="577"/>
    </row>
    <row r="71" spans="1:10" ht="45" customHeight="1" x14ac:dyDescent="0.45">
      <c r="A71" s="304"/>
      <c r="B71" s="572"/>
      <c r="C71" s="573"/>
      <c r="D71" s="574"/>
      <c r="E71" s="575"/>
      <c r="F71" s="583"/>
      <c r="G71" s="590"/>
      <c r="H71" s="589"/>
      <c r="I71" s="585"/>
      <c r="J71" s="577"/>
    </row>
    <row r="72" spans="1:10" ht="45" customHeight="1" x14ac:dyDescent="0.45">
      <c r="A72" s="304"/>
      <c r="B72" s="572"/>
      <c r="C72" s="573"/>
      <c r="D72" s="574"/>
      <c r="E72" s="575"/>
      <c r="F72" s="583"/>
      <c r="G72" s="590"/>
      <c r="H72" s="589"/>
      <c r="I72" s="585"/>
      <c r="J72" s="577"/>
    </row>
    <row r="73" spans="1:10" ht="45" customHeight="1" x14ac:dyDescent="0.45">
      <c r="A73" s="304"/>
      <c r="B73" s="572"/>
      <c r="C73" s="573"/>
      <c r="D73" s="574"/>
      <c r="E73" s="575"/>
      <c r="F73" s="583"/>
      <c r="G73" s="590"/>
      <c r="H73" s="589"/>
      <c r="I73" s="585"/>
      <c r="J73" s="577"/>
    </row>
    <row r="74" spans="1:10" ht="45" customHeight="1" x14ac:dyDescent="0.45">
      <c r="A74" s="304" t="str">
        <f>'WELLS BLANCE'!A74</f>
        <v xml:space="preserve"> BM-15 RE.</v>
      </c>
      <c r="B74" s="572">
        <f>'DATA BASE'!P75</f>
        <v>400</v>
      </c>
      <c r="C74" s="573">
        <f>'DATA BASE'!Q75</f>
        <v>17</v>
      </c>
      <c r="D74" s="574">
        <f>'DATA BASE'!O75</f>
        <v>0.04</v>
      </c>
      <c r="E74" s="575">
        <f>'DATA BASE'!N75</f>
        <v>158</v>
      </c>
      <c r="F74" s="583">
        <f>'DATA BASE'!S75</f>
        <v>83</v>
      </c>
      <c r="G74" s="590">
        <f>'DATA BASE'!T75</f>
        <v>27</v>
      </c>
      <c r="H74" s="589" t="str">
        <f>'DATA BASE'!U75</f>
        <v>WD450+TT74:T126</v>
      </c>
      <c r="I74" s="585">
        <f>'DATA BASE'!V75</f>
        <v>245</v>
      </c>
      <c r="J74" s="577">
        <f>'DATA BASE'!Z75</f>
        <v>43422</v>
      </c>
    </row>
    <row r="75" spans="1:10" ht="45" customHeight="1" x14ac:dyDescent="0.45">
      <c r="A75" s="304" t="str">
        <f>'WELLS BLANCE'!A75</f>
        <v>BM-17</v>
      </c>
      <c r="B75" s="572">
        <f>'DATA BASE'!P76</f>
        <v>400</v>
      </c>
      <c r="C75" s="573">
        <f>'DATA BASE'!Q76</f>
        <v>20</v>
      </c>
      <c r="D75" s="574">
        <f>'DATA BASE'!O76</f>
        <v>0.03</v>
      </c>
      <c r="E75" s="575">
        <f>'DATA BASE'!N76</f>
        <v>74</v>
      </c>
      <c r="F75" s="583">
        <f>'DATA BASE'!S76</f>
        <v>83</v>
      </c>
      <c r="G75" s="590">
        <f>'DATA BASE'!T76</f>
        <v>28.5</v>
      </c>
      <c r="H75" s="589" t="str">
        <f>'DATA BASE'!U76</f>
        <v>WD-850</v>
      </c>
      <c r="I75" s="585">
        <f>'DATA BASE'!V76</f>
        <v>300</v>
      </c>
      <c r="J75" s="577">
        <f>'DATA BASE'!Z76</f>
        <v>43023</v>
      </c>
    </row>
    <row r="76" spans="1:10" ht="45" customHeight="1" x14ac:dyDescent="0.45">
      <c r="A76" s="304" t="str">
        <f>'WELLS BLANCE'!A76</f>
        <v>BM-19</v>
      </c>
      <c r="B76" s="572">
        <f>'DATA BASE'!P77</f>
        <v>400</v>
      </c>
      <c r="C76" s="573">
        <f>'DATA BASE'!Q77</f>
        <v>17</v>
      </c>
      <c r="D76" s="574">
        <f>'DATA BASE'!O77</f>
        <v>0</v>
      </c>
      <c r="E76" s="575">
        <f>'DATA BASE'!N77</f>
        <v>0</v>
      </c>
      <c r="F76" s="583">
        <f>'DATA BASE'!S77</f>
        <v>60</v>
      </c>
      <c r="G76" s="590">
        <f>'DATA BASE'!T77</f>
        <v>20</v>
      </c>
      <c r="H76" s="589" t="str">
        <f>'DATA BASE'!U77</f>
        <v>D460N</v>
      </c>
      <c r="I76" s="585">
        <f>'DATA BASE'!V77</f>
        <v>288</v>
      </c>
      <c r="J76" s="577">
        <f>'DATA BASE'!Z77</f>
        <v>43588</v>
      </c>
    </row>
    <row r="77" spans="1:10" ht="45" customHeight="1" x14ac:dyDescent="0.45">
      <c r="A77" s="304" t="str">
        <f>'WELLS BLANCE'!A77</f>
        <v>BM-21</v>
      </c>
      <c r="B77" s="572">
        <f>'DATA BASE'!P78</f>
        <v>400</v>
      </c>
      <c r="C77" s="573">
        <f>'DATA BASE'!Q78</f>
        <v>15</v>
      </c>
      <c r="D77" s="574">
        <f>'DATA BASE'!O78</f>
        <v>0</v>
      </c>
      <c r="E77" s="575">
        <f>'DATA BASE'!N78</f>
        <v>0</v>
      </c>
      <c r="F77" s="583">
        <f>'DATA BASE'!S78</f>
        <v>75</v>
      </c>
      <c r="G77" s="590">
        <f>'DATA BASE'!T78</f>
        <v>27</v>
      </c>
      <c r="H77" s="589" t="str">
        <f>'DATA BASE'!U78</f>
        <v>P-4</v>
      </c>
      <c r="I77" s="585">
        <f>'DATA BASE'!V78</f>
        <v>357</v>
      </c>
      <c r="J77" s="577">
        <f>'DATA BASE'!Z78</f>
        <v>43269</v>
      </c>
    </row>
    <row r="78" spans="1:10" ht="45" customHeight="1" x14ac:dyDescent="0.45">
      <c r="A78" s="304" t="str">
        <f>'WELLS BLANCE'!A78</f>
        <v>BM-22</v>
      </c>
      <c r="B78" s="572">
        <f>'DATA BASE'!P79</f>
        <v>400</v>
      </c>
      <c r="C78" s="573">
        <f>'DATA BASE'!Q79</f>
        <v>21</v>
      </c>
      <c r="D78" s="574">
        <f>'DATA BASE'!O79</f>
        <v>0.09</v>
      </c>
      <c r="E78" s="575">
        <f>'DATA BASE'!N79</f>
        <v>108</v>
      </c>
      <c r="F78" s="583">
        <f>'DATA BASE'!S79</f>
        <v>76</v>
      </c>
      <c r="G78" s="590">
        <f>'DATA BASE'!T79</f>
        <v>25.6</v>
      </c>
      <c r="H78" s="589" t="str">
        <f>'DATA BASE'!U79</f>
        <v>B338-400</v>
      </c>
      <c r="I78" s="585">
        <f>'DATA BASE'!V79</f>
        <v>584</v>
      </c>
      <c r="J78" s="577">
        <f>'DATA BASE'!Z79</f>
        <v>43729</v>
      </c>
    </row>
    <row r="79" spans="1:10" ht="45" customHeight="1" x14ac:dyDescent="0.45">
      <c r="A79" s="304" t="str">
        <f>'WELLS BLANCE'!A79</f>
        <v>BM-23 RE.</v>
      </c>
      <c r="B79" s="572">
        <f>'DATA BASE'!P80</f>
        <v>400</v>
      </c>
      <c r="C79" s="573">
        <f>'DATA BASE'!Q80</f>
        <v>92</v>
      </c>
      <c r="D79" s="574">
        <f>'DATA BASE'!O80</f>
        <v>0.05</v>
      </c>
      <c r="E79" s="575">
        <f>'DATA BASE'!N80</f>
        <v>49</v>
      </c>
      <c r="F79" s="583" t="str">
        <f>'DATA BASE'!S80</f>
        <v>2*150</v>
      </c>
      <c r="G79" s="590">
        <f>'DATA BASE'!T80</f>
        <v>111</v>
      </c>
      <c r="H79" s="589" t="str">
        <f>'DATA BASE'!U80</f>
        <v>WG-3200</v>
      </c>
      <c r="I79" s="585">
        <f>'DATA BASE'!V80</f>
        <v>400</v>
      </c>
      <c r="J79" s="577">
        <f>'DATA BASE'!Z80</f>
        <v>43993</v>
      </c>
    </row>
    <row r="80" spans="1:10" ht="45" customHeight="1" x14ac:dyDescent="0.45">
      <c r="A80" s="304" t="str">
        <f>'WELLS BLANCE'!A80</f>
        <v>BM-26</v>
      </c>
      <c r="B80" s="572">
        <f>'DATA BASE'!P82</f>
        <v>110</v>
      </c>
      <c r="C80" s="573">
        <f>'DATA BASE'!Q82</f>
        <v>19</v>
      </c>
      <c r="D80" s="574">
        <f>'DATA BASE'!O82</f>
        <v>0.03</v>
      </c>
      <c r="E80" s="575">
        <f>'DATA BASE'!N82</f>
        <v>34</v>
      </c>
      <c r="F80" s="583">
        <f>'DATA BASE'!S82</f>
        <v>66.7</v>
      </c>
      <c r="G80" s="590">
        <f>'DATA BASE'!T82</f>
        <v>23.6</v>
      </c>
      <c r="H80" s="589" t="str">
        <f>'DATA BASE'!U82</f>
        <v>WF400-500</v>
      </c>
      <c r="I80" s="585">
        <f>'DATA BASE'!V82</f>
        <v>391</v>
      </c>
      <c r="J80" s="577">
        <f>'DATA BASE'!Z82</f>
        <v>42616</v>
      </c>
    </row>
    <row r="81" spans="1:10" ht="45" customHeight="1" x14ac:dyDescent="0.45">
      <c r="A81" s="304" t="str">
        <f>'WELLS BLANCE'!A81</f>
        <v>BM-27</v>
      </c>
      <c r="B81" s="572">
        <f>'DATA BASE'!P83</f>
        <v>400</v>
      </c>
      <c r="C81" s="573">
        <f>'DATA BASE'!Q83</f>
        <v>19</v>
      </c>
      <c r="D81" s="574">
        <f>'DATA BASE'!O83</f>
        <v>0</v>
      </c>
      <c r="E81" s="575">
        <f>'DATA BASE'!N83</f>
        <v>0</v>
      </c>
      <c r="F81" s="583">
        <f>'DATA BASE'!S83</f>
        <v>66.7</v>
      </c>
      <c r="G81" s="590">
        <f>'DATA BASE'!T83</f>
        <v>22</v>
      </c>
      <c r="H81" s="589" t="str">
        <f>'DATA BASE'!U83</f>
        <v>B400-500</v>
      </c>
      <c r="I81" s="585">
        <f>'DATA BASE'!V83</f>
        <v>391</v>
      </c>
      <c r="J81" s="577">
        <f>'DATA BASE'!Z83</f>
        <v>42888</v>
      </c>
    </row>
    <row r="82" spans="1:10" ht="45" customHeight="1" x14ac:dyDescent="0.45">
      <c r="A82" s="304" t="str">
        <f>'WELLS BLANCE'!A82</f>
        <v>BM-29</v>
      </c>
      <c r="B82" s="572" t="e">
        <f>'DATA BASE'!#REF!</f>
        <v>#REF!</v>
      </c>
      <c r="C82" s="573" t="e">
        <f>'DATA BASE'!#REF!</f>
        <v>#REF!</v>
      </c>
      <c r="D82" s="574" t="e">
        <f>'DATA BASE'!#REF!</f>
        <v>#REF!</v>
      </c>
      <c r="E82" s="575" t="e">
        <f>'DATA BASE'!#REF!</f>
        <v>#REF!</v>
      </c>
      <c r="F82" s="583" t="e">
        <f>'DATA BASE'!#REF!</f>
        <v>#REF!</v>
      </c>
      <c r="G82" s="590" t="e">
        <f>'DATA BASE'!#REF!</f>
        <v>#REF!</v>
      </c>
      <c r="H82" s="589" t="e">
        <f>'DATA BASE'!#REF!</f>
        <v>#REF!</v>
      </c>
      <c r="I82" s="585" t="e">
        <f>'DATA BASE'!#REF!</f>
        <v>#REF!</v>
      </c>
      <c r="J82" s="577" t="e">
        <f>'DATA BASE'!#REF!</f>
        <v>#REF!</v>
      </c>
    </row>
    <row r="83" spans="1:10" ht="45" customHeight="1" x14ac:dyDescent="0.45">
      <c r="A83" s="304" t="str">
        <f>'WELLS BLANCE'!A83</f>
        <v>BM-30</v>
      </c>
      <c r="B83" s="572">
        <f>'DATA BASE'!P85</f>
        <v>0</v>
      </c>
      <c r="C83" s="573">
        <f>'DATA BASE'!Q85</f>
        <v>0</v>
      </c>
      <c r="D83" s="574">
        <f>'DATA BASE'!O85</f>
        <v>0</v>
      </c>
      <c r="E83" s="575">
        <f>'DATA BASE'!N85</f>
        <v>0</v>
      </c>
      <c r="F83" s="583">
        <f>'DATA BASE'!S85</f>
        <v>71</v>
      </c>
      <c r="G83" s="590">
        <f>'DATA BASE'!T85</f>
        <v>27</v>
      </c>
      <c r="H83" s="589" t="str">
        <f>'DATA BASE'!U85</f>
        <v>FLEX 3.2</v>
      </c>
      <c r="I83" s="585">
        <f>'DATA BASE'!V85</f>
        <v>564</v>
      </c>
      <c r="J83" s="577">
        <f>'DATA BASE'!Z85</f>
        <v>43553</v>
      </c>
    </row>
    <row r="84" spans="1:10" ht="45" customHeight="1" x14ac:dyDescent="0.45">
      <c r="A84" s="304" t="str">
        <f>'WELLS BLANCE'!A84</f>
        <v>BM-34</v>
      </c>
      <c r="B84" s="572">
        <f>'DATA BASE'!P86</f>
        <v>400</v>
      </c>
      <c r="C84" s="573">
        <f>'DATA BASE'!Q86</f>
        <v>14</v>
      </c>
      <c r="D84" s="574">
        <f>'DATA BASE'!O86</f>
        <v>0.05</v>
      </c>
      <c r="E84" s="575">
        <f>'DATA BASE'!N86</f>
        <v>148</v>
      </c>
      <c r="F84" s="583">
        <f>'DATA BASE'!S86</f>
        <v>60</v>
      </c>
      <c r="G84" s="590">
        <f>'DATA BASE'!T86</f>
        <v>24</v>
      </c>
      <c r="H84" s="589" t="str">
        <f>'DATA BASE'!U86</f>
        <v>D460N</v>
      </c>
      <c r="I84" s="585">
        <f>'DATA BASE'!V86</f>
        <v>216</v>
      </c>
      <c r="J84" s="577">
        <f>'DATA BASE'!Z86</f>
        <v>43992</v>
      </c>
    </row>
    <row r="85" spans="1:10" ht="45" customHeight="1" x14ac:dyDescent="0.45">
      <c r="A85" s="304" t="str">
        <f>'WELLS BLANCE'!A85</f>
        <v>BM-36</v>
      </c>
      <c r="B85" s="572">
        <f>'DATA BASE'!P87</f>
        <v>400</v>
      </c>
      <c r="C85" s="573">
        <f>'DATA BASE'!Q87</f>
        <v>0</v>
      </c>
      <c r="D85" s="574">
        <f>'DATA BASE'!O87</f>
        <v>0</v>
      </c>
      <c r="E85" s="575">
        <f>'DATA BASE'!N87</f>
        <v>0</v>
      </c>
      <c r="F85" s="583">
        <f>'DATA BASE'!S87</f>
        <v>83</v>
      </c>
      <c r="G85" s="590">
        <f>'DATA BASE'!T87</f>
        <v>31.5</v>
      </c>
      <c r="H85" s="589" t="str">
        <f>'DATA BASE'!U87</f>
        <v>AN500</v>
      </c>
      <c r="I85" s="585">
        <f>'DATA BASE'!V87</f>
        <v>643</v>
      </c>
      <c r="J85" s="577">
        <f>'DATA BASE'!Z87</f>
        <v>43204</v>
      </c>
    </row>
    <row r="86" spans="1:10" ht="45" customHeight="1" x14ac:dyDescent="0.45">
      <c r="A86" s="304" t="str">
        <f>'WELLS BLANCE'!A86</f>
        <v>BM-39S.T</v>
      </c>
      <c r="B86" s="572">
        <f>'DATA BASE'!P89</f>
        <v>400</v>
      </c>
      <c r="C86" s="573">
        <f>'DATA BASE'!Q89</f>
        <v>21</v>
      </c>
      <c r="D86" s="574">
        <f>'DATA BASE'!O89</f>
        <v>0.22</v>
      </c>
      <c r="E86" s="575">
        <f>'DATA BASE'!N89</f>
        <v>200</v>
      </c>
      <c r="F86" s="583">
        <f>'DATA BASE'!S89</f>
        <v>75</v>
      </c>
      <c r="G86" s="590">
        <f>'DATA BASE'!T89</f>
        <v>25</v>
      </c>
      <c r="H86" s="589" t="str">
        <f>'DATA BASE'!U89</f>
        <v>B400-500</v>
      </c>
      <c r="I86" s="585">
        <f>'DATA BASE'!V89</f>
        <v>261</v>
      </c>
      <c r="J86" s="577">
        <f>'DATA BASE'!Z89</f>
        <v>43728</v>
      </c>
    </row>
    <row r="87" spans="1:10" ht="45" customHeight="1" thickBot="1" x14ac:dyDescent="0.5">
      <c r="A87" s="306" t="str">
        <f>'WELLS BLANCE'!A87</f>
        <v>BM-41</v>
      </c>
      <c r="B87" s="578">
        <f>'DATA BASE'!P90</f>
        <v>0</v>
      </c>
      <c r="C87" s="579">
        <f>'DATA BASE'!Q90</f>
        <v>0</v>
      </c>
      <c r="D87" s="580">
        <f>'DATA BASE'!O90</f>
        <v>0</v>
      </c>
      <c r="E87" s="581">
        <f>'DATA BASE'!N90</f>
        <v>0</v>
      </c>
      <c r="F87" s="584">
        <f>'DATA BASE'!S90</f>
        <v>229</v>
      </c>
      <c r="G87" s="591">
        <f>'DATA BASE'!T90</f>
        <v>75</v>
      </c>
      <c r="H87" s="592" t="str">
        <f>'DATA BASE'!U90</f>
        <v>GC-2200</v>
      </c>
      <c r="I87" s="586">
        <f>'DATA BASE'!V90</f>
        <v>205</v>
      </c>
      <c r="J87" s="582">
        <f>'DATA BASE'!Z90</f>
        <v>43430</v>
      </c>
    </row>
    <row r="88" spans="1:10" ht="71.25" thickTop="1" thickBot="1" x14ac:dyDescent="0.3">
      <c r="A88" s="334" t="s">
        <v>316</v>
      </c>
      <c r="B88" s="603" t="s">
        <v>373</v>
      </c>
      <c r="C88" s="601" t="s">
        <v>136</v>
      </c>
      <c r="D88" s="600" t="s">
        <v>134</v>
      </c>
      <c r="E88" s="603" t="s">
        <v>133</v>
      </c>
      <c r="F88" s="601" t="s">
        <v>374</v>
      </c>
      <c r="G88" s="337" t="s">
        <v>136</v>
      </c>
      <c r="H88" s="604" t="s">
        <v>375</v>
      </c>
      <c r="I88" s="604" t="s">
        <v>376</v>
      </c>
      <c r="J88" s="602" t="s">
        <v>377</v>
      </c>
    </row>
    <row r="89" spans="1:10" ht="42.75" customHeight="1" thickTop="1" x14ac:dyDescent="0.45">
      <c r="A89" s="333" t="str">
        <f>'DATA BASE'!A91</f>
        <v>BM-43</v>
      </c>
      <c r="B89" s="593">
        <f>'DATA BASE'!P91</f>
        <v>400</v>
      </c>
      <c r="C89" s="594">
        <f>'DATA BASE'!Q91</f>
        <v>22</v>
      </c>
      <c r="D89" s="595">
        <f>'DATA BASE'!O91</f>
        <v>0</v>
      </c>
      <c r="E89" s="596">
        <f>'DATA BASE'!N91</f>
        <v>0</v>
      </c>
      <c r="F89" s="597">
        <f>'DATA BASE'!S91</f>
        <v>75</v>
      </c>
      <c r="G89" s="598">
        <f>'DATA BASE'!T91</f>
        <v>27.2</v>
      </c>
      <c r="H89" s="587" t="str">
        <f>'DATA BASE'!U91</f>
        <v>D800N</v>
      </c>
      <c r="I89" s="599">
        <f>'DATA BASE'!V91</f>
        <v>260</v>
      </c>
      <c r="J89" s="576">
        <f>'DATA BASE'!Z91</f>
        <v>43189</v>
      </c>
    </row>
    <row r="90" spans="1:10" ht="42.75" customHeight="1" x14ac:dyDescent="0.45">
      <c r="A90" s="304" t="e">
        <f>'DATA BASE'!#REF!</f>
        <v>#REF!</v>
      </c>
      <c r="B90" s="572" t="e">
        <f>'DATA BASE'!#REF!</f>
        <v>#REF!</v>
      </c>
      <c r="C90" s="573" t="e">
        <f>'DATA BASE'!#REF!</f>
        <v>#REF!</v>
      </c>
      <c r="D90" s="574" t="e">
        <f>'DATA BASE'!#REF!</f>
        <v>#REF!</v>
      </c>
      <c r="E90" s="575" t="e">
        <f>'DATA BASE'!#REF!</f>
        <v>#REF!</v>
      </c>
      <c r="F90" s="583" t="e">
        <f>'DATA BASE'!#REF!</f>
        <v>#REF!</v>
      </c>
      <c r="G90" s="588" t="e">
        <f>'DATA BASE'!#REF!</f>
        <v>#REF!</v>
      </c>
      <c r="H90" s="589" t="e">
        <f>'DATA BASE'!#REF!</f>
        <v>#REF!</v>
      </c>
      <c r="I90" s="585" t="e">
        <f>'DATA BASE'!#REF!</f>
        <v>#REF!</v>
      </c>
      <c r="J90" s="577" t="e">
        <f>'DATA BASE'!#REF!</f>
        <v>#REF!</v>
      </c>
    </row>
    <row r="91" spans="1:10" ht="42.75" customHeight="1" x14ac:dyDescent="0.45">
      <c r="A91" s="304" t="str">
        <f>'DATA BASE'!A94</f>
        <v>BM-49</v>
      </c>
      <c r="B91" s="572">
        <f>'DATA BASE'!P94</f>
        <v>400</v>
      </c>
      <c r="C91" s="573">
        <f>'DATA BASE'!Q94</f>
        <v>49</v>
      </c>
      <c r="D91" s="574">
        <f>'DATA BASE'!O94</f>
        <v>0.27</v>
      </c>
      <c r="E91" s="575">
        <f>'DATA BASE'!N94</f>
        <v>95</v>
      </c>
      <c r="F91" s="583">
        <f>'DATA BASE'!S94</f>
        <v>250</v>
      </c>
      <c r="G91" s="588">
        <f>'DATA BASE'!T94</f>
        <v>87</v>
      </c>
      <c r="H91" s="589" t="str">
        <f>'DATA BASE'!U94</f>
        <v>WG-1600</v>
      </c>
      <c r="I91" s="585">
        <f>'DATA BASE'!V94</f>
        <v>286</v>
      </c>
      <c r="J91" s="577">
        <f>'DATA BASE'!Z94</f>
        <v>43945</v>
      </c>
    </row>
    <row r="92" spans="1:10" ht="42.75" customHeight="1" x14ac:dyDescent="0.45">
      <c r="A92" s="304" t="str">
        <f>'DATA BASE'!A95</f>
        <v>BM-51</v>
      </c>
      <c r="B92" s="572">
        <f>'DATA BASE'!P95</f>
        <v>400</v>
      </c>
      <c r="C92" s="573">
        <f>'DATA BASE'!Q95</f>
        <v>44</v>
      </c>
      <c r="D92" s="574">
        <f>'DATA BASE'!O95</f>
        <v>0.43</v>
      </c>
      <c r="E92" s="575">
        <f>'DATA BASE'!N95</f>
        <v>149</v>
      </c>
      <c r="F92" s="583">
        <f>'DATA BASE'!S95</f>
        <v>167</v>
      </c>
      <c r="G92" s="588">
        <f>'DATA BASE'!T95</f>
        <v>55.5</v>
      </c>
      <c r="H92" s="589" t="str">
        <f>'DATA BASE'!U95</f>
        <v>GN-1600</v>
      </c>
      <c r="I92" s="585">
        <f>'DATA BASE'!V95</f>
        <v>202</v>
      </c>
      <c r="J92" s="577">
        <f>'DATA BASE'!Z95</f>
        <v>43967</v>
      </c>
    </row>
    <row r="93" spans="1:10" ht="42.75" customHeight="1" x14ac:dyDescent="0.45">
      <c r="A93" s="304" t="str">
        <f>'DATA BASE'!A96</f>
        <v>BM-52</v>
      </c>
      <c r="B93" s="572">
        <f>'DATA BASE'!P96</f>
        <v>400</v>
      </c>
      <c r="C93" s="573">
        <f>'DATA BASE'!Q96</f>
        <v>17</v>
      </c>
      <c r="D93" s="574">
        <f>'DATA BASE'!O96</f>
        <v>0.11</v>
      </c>
      <c r="E93" s="575">
        <f>'DATA BASE'!N96</f>
        <v>104</v>
      </c>
      <c r="F93" s="583">
        <f>'DATA BASE'!S96</f>
        <v>62.5</v>
      </c>
      <c r="G93" s="588">
        <f>'DATA BASE'!T96</f>
        <v>23.1</v>
      </c>
      <c r="H93" s="589" t="str">
        <f>'DATA BASE'!U96</f>
        <v>D460N</v>
      </c>
      <c r="I93" s="585">
        <f>'DATA BASE'!V96</f>
        <v>245</v>
      </c>
      <c r="J93" s="577">
        <f>'DATA BASE'!Z96</f>
        <v>43802</v>
      </c>
    </row>
    <row r="94" spans="1:10" ht="42.75" customHeight="1" x14ac:dyDescent="0.45">
      <c r="A94" s="304" t="str">
        <f>'DATA BASE'!A97</f>
        <v>BM-57</v>
      </c>
      <c r="B94" s="572">
        <f>'DATA BASE'!P97</f>
        <v>400</v>
      </c>
      <c r="C94" s="573">
        <f>'DATA BASE'!Q97</f>
        <v>58</v>
      </c>
      <c r="D94" s="574">
        <f>'DATA BASE'!O97</f>
        <v>0.23</v>
      </c>
      <c r="E94" s="575">
        <f>'DATA BASE'!N97</f>
        <v>81</v>
      </c>
      <c r="F94" s="583">
        <f>'DATA BASE'!S97</f>
        <v>250</v>
      </c>
      <c r="G94" s="588">
        <f>'DATA BASE'!T97</f>
        <v>77</v>
      </c>
      <c r="H94" s="589" t="str">
        <f>'DATA BASE'!U97</f>
        <v>GC-2200</v>
      </c>
      <c r="I94" s="585">
        <f>'DATA BASE'!V97</f>
        <v>177</v>
      </c>
      <c r="J94" s="577">
        <f>'DATA BASE'!Z97</f>
        <v>43731</v>
      </c>
    </row>
    <row r="95" spans="1:10" ht="42.75" customHeight="1" x14ac:dyDescent="0.45">
      <c r="A95" s="304" t="str">
        <f>'DATA BASE'!A98</f>
        <v>BM-59</v>
      </c>
      <c r="B95" s="572">
        <f>'DATA BASE'!P98</f>
        <v>0</v>
      </c>
      <c r="C95" s="573">
        <f>'DATA BASE'!Q98</f>
        <v>30</v>
      </c>
      <c r="D95" s="574">
        <f>'DATA BASE'!O98</f>
        <v>0</v>
      </c>
      <c r="E95" s="575">
        <f>'DATA BASE'!N98</f>
        <v>0</v>
      </c>
      <c r="F95" s="583">
        <f>'DATA BASE'!S98</f>
        <v>104</v>
      </c>
      <c r="G95" s="590">
        <f>'DATA BASE'!T98</f>
        <v>39</v>
      </c>
      <c r="H95" s="589" t="str">
        <f>'DATA BASE'!U98</f>
        <v>FLEX-10</v>
      </c>
      <c r="I95" s="585">
        <f>'DATA BASE'!V98</f>
        <v>357</v>
      </c>
      <c r="J95" s="577">
        <f>'DATA BASE'!Z98</f>
        <v>43044</v>
      </c>
    </row>
    <row r="96" spans="1:10" ht="42.75" customHeight="1" x14ac:dyDescent="0.45">
      <c r="A96" s="304" t="str">
        <f>'DATA BASE'!A99</f>
        <v>BM-69</v>
      </c>
      <c r="B96" s="572">
        <f>'DATA BASE'!P99</f>
        <v>400</v>
      </c>
      <c r="C96" s="573">
        <f>'DATA BASE'!Q99</f>
        <v>23</v>
      </c>
      <c r="D96" s="574">
        <f>'DATA BASE'!O99</f>
        <v>0</v>
      </c>
      <c r="E96" s="575">
        <f>'DATA BASE'!N99</f>
        <v>0</v>
      </c>
      <c r="F96" s="583">
        <f>'DATA BASE'!S99</f>
        <v>83</v>
      </c>
      <c r="G96" s="590">
        <f>'DATA BASE'!T99</f>
        <v>27</v>
      </c>
      <c r="H96" s="589" t="str">
        <f>'DATA BASE'!U99</f>
        <v>flex-10</v>
      </c>
      <c r="I96" s="585">
        <f>'DATA BASE'!V99</f>
        <v>260</v>
      </c>
      <c r="J96" s="577">
        <f>'DATA BASE'!Z99</f>
        <v>43189</v>
      </c>
    </row>
    <row r="97" spans="1:10" ht="42.75" customHeight="1" x14ac:dyDescent="0.45">
      <c r="A97" s="304" t="str">
        <f>'DATA BASE'!A101</f>
        <v>BM-71</v>
      </c>
      <c r="B97" s="572">
        <f>'DATA BASE'!P101</f>
        <v>180</v>
      </c>
      <c r="C97" s="573">
        <f>'DATA BASE'!Q101</f>
        <v>20</v>
      </c>
      <c r="D97" s="574">
        <f>'DATA BASE'!O101</f>
        <v>0.05</v>
      </c>
      <c r="E97" s="575">
        <f>'DATA BASE'!N101</f>
        <v>43</v>
      </c>
      <c r="F97" s="583">
        <f>'DATA BASE'!S101</f>
        <v>83.3</v>
      </c>
      <c r="G97" s="590">
        <f>'DATA BASE'!T101</f>
        <v>29.5</v>
      </c>
      <c r="H97" s="589" t="str">
        <f>'DATA BASE'!U101</f>
        <v>B400-1050</v>
      </c>
      <c r="I97" s="585">
        <f>'DATA BASE'!V101</f>
        <v>303</v>
      </c>
      <c r="J97" s="577">
        <f>'DATA BASE'!Z101</f>
        <v>43771</v>
      </c>
    </row>
    <row r="98" spans="1:10" ht="42.75" customHeight="1" x14ac:dyDescent="0.45">
      <c r="A98" s="304" t="str">
        <f>'DATA BASE'!A102</f>
        <v>BM-72</v>
      </c>
      <c r="B98" s="572">
        <f>'DATA BASE'!P102</f>
        <v>0</v>
      </c>
      <c r="C98" s="573">
        <f>'DATA BASE'!Q102</f>
        <v>16</v>
      </c>
      <c r="D98" s="574">
        <f>'DATA BASE'!O102</f>
        <v>0</v>
      </c>
      <c r="E98" s="575">
        <f>'DATA BASE'!N102</f>
        <v>0</v>
      </c>
      <c r="F98" s="583">
        <f>'DATA BASE'!S102</f>
        <v>64</v>
      </c>
      <c r="G98" s="590">
        <f>'DATA BASE'!T102</f>
        <v>24</v>
      </c>
      <c r="H98" s="589" t="str">
        <f>'DATA BASE'!U102</f>
        <v>FLEX 3.2</v>
      </c>
      <c r="I98" s="585">
        <f>'DATA BASE'!V102</f>
        <v>547</v>
      </c>
      <c r="J98" s="577">
        <f>'DATA BASE'!Z102</f>
        <v>43559</v>
      </c>
    </row>
    <row r="99" spans="1:10" ht="42.75" customHeight="1" x14ac:dyDescent="0.45">
      <c r="A99" s="304" t="str">
        <f>'DATA BASE'!A103</f>
        <v>BM-73</v>
      </c>
      <c r="B99" s="572">
        <f>'DATA BASE'!P103</f>
        <v>0</v>
      </c>
      <c r="C99" s="573">
        <f>'DATA BASE'!Q103</f>
        <v>0</v>
      </c>
      <c r="D99" s="574">
        <f>'DATA BASE'!O103</f>
        <v>0.03</v>
      </c>
      <c r="E99" s="575">
        <f>'DATA BASE'!N103</f>
        <v>28</v>
      </c>
      <c r="F99" s="583">
        <f>'DATA BASE'!S103</f>
        <v>75</v>
      </c>
      <c r="G99" s="590">
        <f>'DATA BASE'!T103</f>
        <v>27.2</v>
      </c>
      <c r="H99" s="589" t="str">
        <f>'DATA BASE'!U103</f>
        <v>DN-800</v>
      </c>
      <c r="I99" s="585">
        <f>'DATA BASE'!V103</f>
        <v>276</v>
      </c>
      <c r="J99" s="577">
        <f>'DATA BASE'!Z103</f>
        <v>42123</v>
      </c>
    </row>
    <row r="100" spans="1:10" ht="42.75" customHeight="1" x14ac:dyDescent="0.45">
      <c r="A100" s="304" t="str">
        <f>'DATA BASE'!A104</f>
        <v>BM-75</v>
      </c>
      <c r="B100" s="572">
        <f>'DATA BASE'!P104</f>
        <v>500</v>
      </c>
      <c r="C100" s="573">
        <f>'DATA BASE'!Q104</f>
        <v>14</v>
      </c>
      <c r="D100" s="574">
        <f>'DATA BASE'!O104</f>
        <v>0.3</v>
      </c>
      <c r="E100" s="575">
        <f>'DATA BASE'!N104</f>
        <v>77</v>
      </c>
      <c r="F100" s="583">
        <f>'DATA BASE'!S104</f>
        <v>75</v>
      </c>
      <c r="G100" s="590">
        <f>'DATA BASE'!T104</f>
        <v>27.2</v>
      </c>
      <c r="H100" s="589" t="str">
        <f>'DATA BASE'!U104</f>
        <v>DN-800</v>
      </c>
      <c r="I100" s="585">
        <f>'DATA BASE'!V104</f>
        <v>260</v>
      </c>
      <c r="J100" s="577">
        <f>'DATA BASE'!Z104</f>
        <v>42547</v>
      </c>
    </row>
    <row r="101" spans="1:10" ht="42.75" customHeight="1" x14ac:dyDescent="0.45">
      <c r="A101" s="304" t="e">
        <f>'DATA BASE'!#REF!</f>
        <v>#REF!</v>
      </c>
      <c r="B101" s="572" t="e">
        <f>'DATA BASE'!#REF!</f>
        <v>#REF!</v>
      </c>
      <c r="C101" s="573" t="e">
        <f>'DATA BASE'!#REF!</f>
        <v>#REF!</v>
      </c>
      <c r="D101" s="574" t="e">
        <f>'DATA BASE'!#REF!</f>
        <v>#REF!</v>
      </c>
      <c r="E101" s="575" t="e">
        <f>'DATA BASE'!#REF!</f>
        <v>#REF!</v>
      </c>
      <c r="F101" s="583" t="e">
        <f>'DATA BASE'!#REF!</f>
        <v>#REF!</v>
      </c>
      <c r="G101" s="590" t="e">
        <f>'DATA BASE'!#REF!</f>
        <v>#REF!</v>
      </c>
      <c r="H101" s="589" t="e">
        <f>'DATA BASE'!#REF!</f>
        <v>#REF!</v>
      </c>
      <c r="I101" s="585" t="e">
        <f>'DATA BASE'!#REF!</f>
        <v>#REF!</v>
      </c>
      <c r="J101" s="577" t="e">
        <f>'DATA BASE'!#REF!</f>
        <v>#REF!</v>
      </c>
    </row>
    <row r="102" spans="1:10" ht="42.75" customHeight="1" x14ac:dyDescent="0.45">
      <c r="A102" s="304" t="str">
        <f>'DATA BASE'!A106</f>
        <v>BM-78</v>
      </c>
      <c r="B102" s="572">
        <f>'DATA BASE'!P106</f>
        <v>400</v>
      </c>
      <c r="C102" s="573">
        <f>'DATA BASE'!Q106</f>
        <v>29</v>
      </c>
      <c r="D102" s="574">
        <f>'DATA BASE'!O106</f>
        <v>0.37</v>
      </c>
      <c r="E102" s="575">
        <f>'DATA BASE'!N106</f>
        <v>317</v>
      </c>
      <c r="F102" s="583">
        <f>'DATA BASE'!S106</f>
        <v>125</v>
      </c>
      <c r="G102" s="590">
        <f>'DATA BASE'!T106</f>
        <v>40</v>
      </c>
      <c r="H102" s="589" t="str">
        <f>'DATA BASE'!U106</f>
        <v>PMX H6</v>
      </c>
      <c r="I102" s="585">
        <f>'DATA BASE'!V106</f>
        <v>253</v>
      </c>
      <c r="J102" s="577">
        <f>'DATA BASE'!Z106</f>
        <v>43095</v>
      </c>
    </row>
    <row r="103" spans="1:10" ht="42.75" customHeight="1" x14ac:dyDescent="0.45">
      <c r="A103" s="304" t="str">
        <f>'DATA BASE'!A107</f>
        <v>BM-80</v>
      </c>
      <c r="B103" s="572">
        <f>'DATA BASE'!P107</f>
        <v>0</v>
      </c>
      <c r="C103" s="573">
        <f>'DATA BASE'!Q107</f>
        <v>0</v>
      </c>
      <c r="D103" s="574">
        <f>'DATA BASE'!O107</f>
        <v>0</v>
      </c>
      <c r="E103" s="575">
        <f>'DATA BASE'!N107</f>
        <v>0</v>
      </c>
      <c r="F103" s="583">
        <f>'DATA BASE'!S107</f>
        <v>150</v>
      </c>
      <c r="G103" s="590">
        <f>'DATA BASE'!T107</f>
        <v>120</v>
      </c>
      <c r="H103" s="589" t="str">
        <f>'DATA BASE'!U107</f>
        <v>WG-2500</v>
      </c>
      <c r="I103" s="585">
        <f>'DATA BASE'!V107</f>
        <v>236</v>
      </c>
      <c r="J103" s="577">
        <f>'DATA BASE'!Z107</f>
        <v>43480</v>
      </c>
    </row>
    <row r="104" spans="1:10" ht="42.75" customHeight="1" x14ac:dyDescent="0.45">
      <c r="A104" s="304" t="str">
        <f>'DATA BASE'!A108</f>
        <v>BM-81</v>
      </c>
      <c r="B104" s="572">
        <f>'DATA BASE'!P108</f>
        <v>500</v>
      </c>
      <c r="C104" s="573">
        <f>'DATA BASE'!Q108</f>
        <v>28</v>
      </c>
      <c r="D104" s="574">
        <f>'DATA BASE'!O108</f>
        <v>0.03</v>
      </c>
      <c r="E104" s="575">
        <f>'DATA BASE'!N108</f>
        <v>24</v>
      </c>
      <c r="F104" s="583">
        <f>'DATA BASE'!S108</f>
        <v>125</v>
      </c>
      <c r="G104" s="590">
        <f>'DATA BASE'!T108</f>
        <v>44</v>
      </c>
      <c r="H104" s="589" t="str">
        <f>'DATA BASE'!U108</f>
        <v>WD1200MF</v>
      </c>
      <c r="I104" s="585">
        <f>'DATA BASE'!V108</f>
        <v>324</v>
      </c>
      <c r="J104" s="577" t="str">
        <f>'DATA BASE'!Z108</f>
        <v>24/6/2019</v>
      </c>
    </row>
    <row r="105" spans="1:10" ht="42.75" customHeight="1" x14ac:dyDescent="0.45">
      <c r="A105" s="304" t="str">
        <f>'DATA BASE'!A109</f>
        <v>BM-82</v>
      </c>
      <c r="B105" s="572">
        <f>'DATA BASE'!P109</f>
        <v>400</v>
      </c>
      <c r="C105" s="573">
        <f>'DATA BASE'!Q109</f>
        <v>19</v>
      </c>
      <c r="D105" s="574">
        <f>'DATA BASE'!O109</f>
        <v>0.03</v>
      </c>
      <c r="E105" s="575">
        <f>'DATA BASE'!N109</f>
        <v>32</v>
      </c>
      <c r="F105" s="583">
        <f>'DATA BASE'!S109</f>
        <v>67</v>
      </c>
      <c r="G105" s="590">
        <f>'DATA BASE'!T109</f>
        <v>24</v>
      </c>
      <c r="H105" s="589" t="str">
        <f>'DATA BASE'!U109</f>
        <v>WD-650</v>
      </c>
      <c r="I105" s="585">
        <f>'DATA BASE'!V109</f>
        <v>352</v>
      </c>
      <c r="J105" s="577">
        <f>'DATA BASE'!Z109</f>
        <v>43236</v>
      </c>
    </row>
    <row r="106" spans="1:10" ht="42.75" customHeight="1" x14ac:dyDescent="0.45">
      <c r="A106" s="304" t="str">
        <f>'DATA BASE'!A110</f>
        <v>BM-85</v>
      </c>
      <c r="B106" s="572">
        <f>'DATA BASE'!P110</f>
        <v>400</v>
      </c>
      <c r="C106" s="573">
        <f>'DATA BASE'!Q110</f>
        <v>24</v>
      </c>
      <c r="D106" s="574">
        <f>'DATA BASE'!O110</f>
        <v>0.21</v>
      </c>
      <c r="E106" s="575">
        <f>'DATA BASE'!N110</f>
        <v>392</v>
      </c>
      <c r="F106" s="583">
        <f>'DATA BASE'!S110</f>
        <v>100</v>
      </c>
      <c r="G106" s="590">
        <f>'DATA BASE'!T110</f>
        <v>35</v>
      </c>
      <c r="H106" s="589" t="str">
        <f>'DATA BASE'!U110</f>
        <v>WD-650</v>
      </c>
      <c r="I106" s="585">
        <f>'DATA BASE'!V110</f>
        <v>400</v>
      </c>
      <c r="J106" s="577">
        <f>'DATA BASE'!Z110</f>
        <v>44005</v>
      </c>
    </row>
    <row r="107" spans="1:10" ht="42.75" customHeight="1" x14ac:dyDescent="0.45">
      <c r="A107" s="304" t="str">
        <f>'DATA BASE'!A111</f>
        <v>BM-86</v>
      </c>
      <c r="B107" s="572">
        <f>'DATA BASE'!P111</f>
        <v>400</v>
      </c>
      <c r="C107" s="573">
        <f>'DATA BASE'!Q111</f>
        <v>20</v>
      </c>
      <c r="D107" s="574">
        <f>'DATA BASE'!O111</f>
        <v>0.1</v>
      </c>
      <c r="E107" s="575">
        <f>'DATA BASE'!N111</f>
        <v>105</v>
      </c>
      <c r="F107" s="583">
        <f>'DATA BASE'!S111</f>
        <v>64</v>
      </c>
      <c r="G107" s="590">
        <f>'DATA BASE'!T111</f>
        <v>24</v>
      </c>
      <c r="H107" s="589" t="str">
        <f>'DATA BASE'!U111</f>
        <v>FLEX 3.2</v>
      </c>
      <c r="I107" s="585">
        <f>'DATA BASE'!V111</f>
        <v>512</v>
      </c>
      <c r="J107" s="577">
        <f>'DATA BASE'!Z111</f>
        <v>43979</v>
      </c>
    </row>
    <row r="108" spans="1:10" ht="42.75" customHeight="1" x14ac:dyDescent="0.45">
      <c r="A108" s="304" t="str">
        <f>'DATA BASE'!A112</f>
        <v>BM-88</v>
      </c>
      <c r="B108" s="572">
        <f>'DATA BASE'!P112</f>
        <v>300</v>
      </c>
      <c r="C108" s="573">
        <f>'DATA BASE'!Q112</f>
        <v>16</v>
      </c>
      <c r="D108" s="574">
        <f>'DATA BASE'!O112</f>
        <v>0</v>
      </c>
      <c r="E108" s="575">
        <f>'DATA BASE'!N112</f>
        <v>0</v>
      </c>
      <c r="F108" s="583">
        <f>'DATA BASE'!S112</f>
        <v>60</v>
      </c>
      <c r="G108" s="590">
        <f>'DATA BASE'!T112</f>
        <v>20</v>
      </c>
      <c r="H108" s="589" t="str">
        <f>'DATA BASE'!U112</f>
        <v>DN-475</v>
      </c>
      <c r="I108" s="585">
        <f>'DATA BASE'!V112</f>
        <v>409</v>
      </c>
      <c r="J108" s="577">
        <f>'DATA BASE'!Z112</f>
        <v>41350</v>
      </c>
    </row>
    <row r="109" spans="1:10" ht="42.75" customHeight="1" x14ac:dyDescent="0.45">
      <c r="A109" s="304" t="str">
        <f>'DATA BASE'!A113</f>
        <v>BM-89</v>
      </c>
      <c r="B109" s="572">
        <f>'DATA BASE'!P113</f>
        <v>0</v>
      </c>
      <c r="C109" s="573">
        <f>'DATA BASE'!Q113</f>
        <v>0</v>
      </c>
      <c r="D109" s="574">
        <f>'DATA BASE'!O113</f>
        <v>0</v>
      </c>
      <c r="E109" s="575">
        <f>'DATA BASE'!N113</f>
        <v>0</v>
      </c>
      <c r="F109" s="583">
        <f>'DATA BASE'!S113</f>
        <v>167</v>
      </c>
      <c r="G109" s="590">
        <f>'DATA BASE'!T113</f>
        <v>54</v>
      </c>
      <c r="H109" s="589" t="str">
        <f>'DATA BASE'!U113</f>
        <v>WD-1600</v>
      </c>
      <c r="I109" s="585">
        <f>'DATA BASE'!V113</f>
        <v>218</v>
      </c>
      <c r="J109" s="577">
        <f>'DATA BASE'!Z113</f>
        <v>43616</v>
      </c>
    </row>
    <row r="110" spans="1:10" ht="42.75" customHeight="1" x14ac:dyDescent="0.45">
      <c r="A110" s="304" t="str">
        <f>'DATA BASE'!A114</f>
        <v>BM-90</v>
      </c>
      <c r="B110" s="572">
        <f>'DATA BASE'!P114</f>
        <v>400</v>
      </c>
      <c r="C110" s="573">
        <f>'DATA BASE'!Q114</f>
        <v>29</v>
      </c>
      <c r="D110" s="574">
        <f>'DATA BASE'!O114</f>
        <v>0.2</v>
      </c>
      <c r="E110" s="575">
        <f>'DATA BASE'!N114</f>
        <v>71</v>
      </c>
      <c r="F110" s="583">
        <f>'DATA BASE'!S114</f>
        <v>88</v>
      </c>
      <c r="G110" s="590">
        <f>'DATA BASE'!T114</f>
        <v>36</v>
      </c>
      <c r="H110" s="589" t="str">
        <f>'DATA BASE'!U114</f>
        <v>FLEX-10</v>
      </c>
      <c r="I110" s="585">
        <f>'DATA BASE'!V114</f>
        <v>237</v>
      </c>
      <c r="J110" s="577">
        <f>'DATA BASE'!Z114</f>
        <v>43753</v>
      </c>
    </row>
    <row r="111" spans="1:10" ht="42.75" customHeight="1" x14ac:dyDescent="0.45">
      <c r="A111" s="304" t="str">
        <f>'DATA BASE'!A115</f>
        <v>BM-91</v>
      </c>
      <c r="B111" s="572">
        <f>'DATA BASE'!P115</f>
        <v>400</v>
      </c>
      <c r="C111" s="573">
        <f>'DATA BASE'!Q115</f>
        <v>44</v>
      </c>
      <c r="D111" s="574">
        <f>'DATA BASE'!O115</f>
        <v>0</v>
      </c>
      <c r="E111" s="575">
        <f>'DATA BASE'!N115</f>
        <v>0</v>
      </c>
      <c r="F111" s="583">
        <f>'DATA BASE'!S115</f>
        <v>167</v>
      </c>
      <c r="G111" s="590">
        <f>'DATA BASE'!T115</f>
        <v>54</v>
      </c>
      <c r="H111" s="589" t="str">
        <f>'DATA BASE'!U115</f>
        <v>WD-1600</v>
      </c>
      <c r="I111" s="585">
        <f>'DATA BASE'!V115</f>
        <v>218</v>
      </c>
      <c r="J111" s="577">
        <f>'DATA BASE'!Z115</f>
        <v>43250</v>
      </c>
    </row>
    <row r="112" spans="1:10" ht="42.75" customHeight="1" x14ac:dyDescent="0.45">
      <c r="A112" s="304" t="str">
        <f>'DATA BASE'!A116</f>
        <v>BM-92 RE.</v>
      </c>
      <c r="B112" s="572">
        <f>'DATA BASE'!P116</f>
        <v>500</v>
      </c>
      <c r="C112" s="573">
        <f>'DATA BASE'!Q116</f>
        <v>25</v>
      </c>
      <c r="D112" s="574">
        <f>'DATA BASE'!O116</f>
        <v>0.02</v>
      </c>
      <c r="E112" s="575">
        <f>'DATA BASE'!N116</f>
        <v>15</v>
      </c>
      <c r="F112" s="583">
        <f>'DATA BASE'!S116</f>
        <v>99</v>
      </c>
      <c r="G112" s="590">
        <f>'DATA BASE'!T116</f>
        <v>36</v>
      </c>
      <c r="H112" s="589" t="str">
        <f>'DATA BASE'!U116</f>
        <v>FLEX-10</v>
      </c>
      <c r="I112" s="585">
        <f>'DATA BASE'!V116</f>
        <v>0</v>
      </c>
      <c r="J112" s="577">
        <f>'DATA BASE'!Z116</f>
        <v>43280</v>
      </c>
    </row>
    <row r="113" spans="1:16384" ht="42.75" customHeight="1" x14ac:dyDescent="0.45">
      <c r="A113" s="304" t="str">
        <f>'DATA BASE'!A117</f>
        <v xml:space="preserve">BM-93 </v>
      </c>
      <c r="B113" s="572">
        <f>'DATA BASE'!P117</f>
        <v>250</v>
      </c>
      <c r="C113" s="573">
        <f>'DATA BASE'!Q117</f>
        <v>21</v>
      </c>
      <c r="D113" s="574">
        <f>'DATA BASE'!O117</f>
        <v>0.01</v>
      </c>
      <c r="E113" s="575">
        <f>'DATA BASE'!N117</f>
        <v>16</v>
      </c>
      <c r="F113" s="583">
        <f>'DATA BASE'!S117</f>
        <v>83.4</v>
      </c>
      <c r="G113" s="590">
        <f>'DATA BASE'!T117</f>
        <v>30.5</v>
      </c>
      <c r="H113" s="589" t="str">
        <f>'DATA BASE'!U117</f>
        <v>AN550</v>
      </c>
      <c r="I113" s="585">
        <f>'DATA BASE'!V117</f>
        <v>551</v>
      </c>
      <c r="J113" s="577" t="str">
        <f>'DATA BASE'!Z117</f>
        <v>13/11/2018</v>
      </c>
    </row>
    <row r="114" spans="1:16384" ht="42.75" customHeight="1" x14ac:dyDescent="0.45">
      <c r="A114" s="304" t="str">
        <f>'DATA BASE'!A118</f>
        <v>BM-94</v>
      </c>
      <c r="B114" s="572">
        <f>'DATA BASE'!P118</f>
        <v>400</v>
      </c>
      <c r="C114" s="573">
        <f>'DATA BASE'!Q118</f>
        <v>20</v>
      </c>
      <c r="D114" s="574">
        <f>'DATA BASE'!O118</f>
        <v>0.1</v>
      </c>
      <c r="E114" s="575">
        <f>'DATA BASE'!N118</f>
        <v>36</v>
      </c>
      <c r="F114" s="583">
        <f>'DATA BASE'!S118</f>
        <v>64</v>
      </c>
      <c r="G114" s="590">
        <f>'DATA BASE'!T118</f>
        <v>24</v>
      </c>
      <c r="H114" s="589" t="str">
        <f>'DATA BASE'!U118</f>
        <v>FLEX 3.2</v>
      </c>
      <c r="I114" s="585">
        <f>'DATA BASE'!V118</f>
        <v>493</v>
      </c>
      <c r="J114" s="577" t="str">
        <f>'DATA BASE'!Z118</f>
        <v>30/5/2018</v>
      </c>
    </row>
    <row r="115" spans="1:16384" ht="42.75" customHeight="1" x14ac:dyDescent="0.45">
      <c r="A115" s="304" t="str">
        <f>'DATA BASE'!A119</f>
        <v>BM-95H</v>
      </c>
      <c r="B115" s="572">
        <f>'DATA BASE'!P119</f>
        <v>400</v>
      </c>
      <c r="C115" s="573">
        <f>'DATA BASE'!Q119</f>
        <v>15</v>
      </c>
      <c r="D115" s="574">
        <f>'DATA BASE'!O119</f>
        <v>0.02</v>
      </c>
      <c r="E115" s="575">
        <f>'DATA BASE'!N119</f>
        <v>19</v>
      </c>
      <c r="F115" s="583">
        <f>'DATA BASE'!S119</f>
        <v>64</v>
      </c>
      <c r="G115" s="590">
        <f>'DATA BASE'!T119</f>
        <v>24</v>
      </c>
      <c r="H115" s="589" t="str">
        <f>'DATA BASE'!U119</f>
        <v>P-3</v>
      </c>
      <c r="I115" s="585">
        <f>'DATA BASE'!V119</f>
        <v>444</v>
      </c>
      <c r="J115" s="577">
        <f>'DATA BASE'!Z119</f>
        <v>43232</v>
      </c>
    </row>
    <row r="116" spans="1:16384" ht="42.6" customHeight="1" x14ac:dyDescent="0.45">
      <c r="A116" s="304" t="str">
        <f>'DATA BASE'!A120</f>
        <v xml:space="preserve"> BM-100</v>
      </c>
      <c r="B116" s="572">
        <f>'DATA BASE'!P120</f>
        <v>400</v>
      </c>
      <c r="C116" s="573">
        <f>'DATA BASE'!Q120</f>
        <v>29</v>
      </c>
      <c r="D116" s="574">
        <f>'DATA BASE'!O120</f>
        <v>0.27</v>
      </c>
      <c r="E116" s="575">
        <f>'DATA BASE'!N120</f>
        <v>169</v>
      </c>
      <c r="F116" s="583">
        <f>'DATA BASE'!S120</f>
        <v>125</v>
      </c>
      <c r="G116" s="590">
        <f>'DATA BASE'!T120</f>
        <v>45</v>
      </c>
      <c r="H116" s="589" t="str">
        <f>'DATA BASE'!U120</f>
        <v>B400-1050</v>
      </c>
      <c r="I116" s="585">
        <f>'DATA BASE'!V120</f>
        <v>401</v>
      </c>
      <c r="J116" s="577">
        <f>'DATA BASE'!Z120</f>
        <v>43906</v>
      </c>
      <c r="K116" s="304"/>
      <c r="HB116" s="577"/>
      <c r="HC116" s="304"/>
      <c r="HD116" s="572"/>
      <c r="HE116" s="573"/>
      <c r="HF116" s="574"/>
      <c r="HG116" s="575"/>
      <c r="HH116" s="583"/>
      <c r="HI116" s="590"/>
      <c r="HJ116" s="589"/>
      <c r="HK116" s="585"/>
      <c r="HL116" s="577"/>
      <c r="HM116" s="304"/>
      <c r="HN116" s="572"/>
      <c r="HO116" s="573"/>
      <c r="HP116" s="574"/>
      <c r="HQ116" s="575"/>
      <c r="HR116" s="583"/>
      <c r="HS116" s="590"/>
      <c r="HT116" s="589"/>
      <c r="HU116" s="585"/>
      <c r="HV116" s="577"/>
      <c r="HW116" s="304"/>
      <c r="HX116" s="572"/>
      <c r="HY116" s="573"/>
      <c r="HZ116" s="574"/>
      <c r="IA116" s="575"/>
      <c r="IB116" s="583"/>
      <c r="IC116" s="590"/>
      <c r="ID116" s="589"/>
      <c r="IE116" s="585"/>
      <c r="IF116" s="577"/>
      <c r="IG116" s="304"/>
      <c r="IH116" s="572"/>
      <c r="II116" s="573"/>
      <c r="IJ116" s="574"/>
      <c r="IK116" s="575"/>
      <c r="IL116" s="583"/>
      <c r="IM116" s="590"/>
      <c r="IN116" s="589"/>
      <c r="IO116" s="585"/>
      <c r="IP116" s="577"/>
      <c r="IQ116" s="304"/>
      <c r="IR116" s="572"/>
      <c r="IS116" s="573"/>
      <c r="IT116" s="574"/>
      <c r="IU116" s="575"/>
      <c r="IV116" s="583"/>
      <c r="IW116" s="590"/>
      <c r="IX116" s="589"/>
      <c r="IY116" s="585"/>
      <c r="IZ116" s="577"/>
      <c r="JA116" s="304"/>
      <c r="JB116" s="572"/>
      <c r="JC116" s="573"/>
      <c r="JD116" s="574"/>
      <c r="JE116" s="575"/>
      <c r="JF116" s="583"/>
      <c r="JG116" s="590"/>
      <c r="JH116" s="589"/>
      <c r="JI116" s="585"/>
      <c r="JJ116" s="577"/>
      <c r="JK116" s="304"/>
      <c r="JL116" s="572"/>
      <c r="JM116" s="573"/>
      <c r="JN116" s="574"/>
      <c r="JO116" s="575"/>
      <c r="JP116" s="583"/>
      <c r="JQ116" s="590"/>
      <c r="JR116" s="589"/>
      <c r="JS116" s="585"/>
      <c r="JT116" s="577"/>
      <c r="JU116" s="304"/>
      <c r="JV116" s="572"/>
      <c r="JW116" s="573"/>
      <c r="JX116" s="574"/>
      <c r="JY116" s="575"/>
      <c r="JZ116" s="583"/>
      <c r="KA116" s="590"/>
      <c r="KB116" s="589"/>
      <c r="KC116" s="585"/>
      <c r="KD116" s="577"/>
      <c r="KE116" s="304"/>
      <c r="KF116" s="572"/>
      <c r="KG116" s="573"/>
      <c r="KH116" s="574"/>
      <c r="KI116" s="575"/>
      <c r="KJ116" s="583"/>
      <c r="KK116" s="590"/>
      <c r="KL116" s="589"/>
      <c r="KM116" s="585"/>
      <c r="KN116" s="577"/>
      <c r="KO116" s="304"/>
      <c r="KP116" s="572"/>
      <c r="KQ116" s="573"/>
      <c r="KR116" s="574"/>
      <c r="KS116" s="575"/>
      <c r="KT116" s="583"/>
      <c r="KU116" s="590"/>
      <c r="KV116" s="589"/>
      <c r="KW116" s="585"/>
      <c r="KX116" s="577"/>
      <c r="KY116" s="304"/>
      <c r="KZ116" s="572"/>
      <c r="LA116" s="573"/>
      <c r="LB116" s="574"/>
      <c r="LC116" s="575"/>
      <c r="LD116" s="583"/>
      <c r="LE116" s="590"/>
      <c r="LF116" s="589"/>
      <c r="LG116" s="585"/>
      <c r="LH116" s="577"/>
      <c r="LI116" s="304"/>
      <c r="LJ116" s="572"/>
      <c r="LK116" s="573"/>
      <c r="LL116" s="574"/>
      <c r="LM116" s="575"/>
      <c r="LN116" s="583"/>
      <c r="LO116" s="590"/>
      <c r="LP116" s="589"/>
      <c r="LQ116" s="585"/>
      <c r="LR116" s="577"/>
      <c r="LS116" s="304"/>
      <c r="LT116" s="572"/>
      <c r="LU116" s="573"/>
      <c r="LV116" s="574"/>
      <c r="LW116" s="575"/>
      <c r="LX116" s="583"/>
      <c r="LY116" s="590"/>
      <c r="LZ116" s="589"/>
      <c r="MA116" s="585"/>
      <c r="MB116" s="577"/>
      <c r="MC116" s="304"/>
      <c r="MD116" s="572"/>
      <c r="ME116" s="573"/>
      <c r="MF116" s="574"/>
      <c r="MG116" s="575"/>
      <c r="MH116" s="583"/>
      <c r="MI116" s="590"/>
      <c r="MJ116" s="589"/>
      <c r="MK116" s="585"/>
      <c r="ML116" s="577"/>
      <c r="MM116" s="304"/>
      <c r="MN116" s="572"/>
      <c r="MO116" s="573"/>
      <c r="MP116" s="574"/>
      <c r="MQ116" s="575"/>
      <c r="MR116" s="583"/>
      <c r="MS116" s="590"/>
      <c r="MT116" s="589"/>
      <c r="MU116" s="585"/>
      <c r="MV116" s="577"/>
      <c r="MW116" s="304"/>
      <c r="MX116" s="572"/>
      <c r="MY116" s="573"/>
      <c r="MZ116" s="574"/>
      <c r="NA116" s="575"/>
      <c r="NB116" s="583"/>
      <c r="NC116" s="590"/>
      <c r="ND116" s="589"/>
      <c r="NE116" s="585"/>
      <c r="NF116" s="577"/>
      <c r="NG116" s="304"/>
      <c r="NH116" s="572"/>
      <c r="NI116" s="573"/>
      <c r="NJ116" s="574"/>
      <c r="NK116" s="575"/>
      <c r="NL116" s="583"/>
      <c r="NM116" s="590"/>
      <c r="NN116" s="589"/>
      <c r="NO116" s="585"/>
      <c r="NP116" s="577"/>
      <c r="NQ116" s="304"/>
      <c r="NR116" s="572"/>
      <c r="NS116" s="573"/>
      <c r="NT116" s="574"/>
      <c r="NU116" s="575"/>
      <c r="NV116" s="583"/>
      <c r="NW116" s="590"/>
      <c r="NX116" s="589"/>
      <c r="NY116" s="585"/>
      <c r="NZ116" s="577"/>
      <c r="OA116" s="304"/>
      <c r="OB116" s="572"/>
      <c r="OC116" s="573"/>
      <c r="OD116" s="574"/>
      <c r="OE116" s="575"/>
      <c r="OF116" s="583"/>
      <c r="OG116" s="590"/>
      <c r="OH116" s="589"/>
      <c r="OI116" s="585"/>
      <c r="OJ116" s="577"/>
      <c r="OK116" s="304"/>
      <c r="OL116" s="572"/>
      <c r="OM116" s="573"/>
      <c r="ON116" s="574"/>
      <c r="OO116" s="575"/>
      <c r="OP116" s="583"/>
      <c r="OQ116" s="590"/>
      <c r="OR116" s="589"/>
      <c r="OS116" s="585"/>
      <c r="OT116" s="577"/>
      <c r="OU116" s="304"/>
      <c r="OV116" s="572"/>
      <c r="OW116" s="573"/>
      <c r="OX116" s="574"/>
      <c r="OY116" s="575"/>
      <c r="OZ116" s="583"/>
      <c r="PA116" s="590"/>
      <c r="PB116" s="589"/>
      <c r="PC116" s="585"/>
      <c r="PD116" s="577"/>
      <c r="PE116" s="304"/>
      <c r="PF116" s="572"/>
      <c r="PG116" s="573"/>
      <c r="PH116" s="574"/>
      <c r="PI116" s="575"/>
      <c r="PJ116" s="583"/>
      <c r="PK116" s="590"/>
      <c r="PL116" s="589"/>
      <c r="PM116" s="585"/>
      <c r="PN116" s="577"/>
      <c r="PO116" s="304"/>
      <c r="PP116" s="572"/>
      <c r="PQ116" s="573"/>
      <c r="PR116" s="574"/>
      <c r="PS116" s="575"/>
      <c r="PT116" s="583"/>
      <c r="PU116" s="590"/>
      <c r="PV116" s="589"/>
      <c r="PW116" s="585"/>
      <c r="PX116" s="577"/>
      <c r="PY116" s="304"/>
      <c r="PZ116" s="572"/>
      <c r="QA116" s="573"/>
      <c r="QB116" s="574"/>
      <c r="QC116" s="575"/>
      <c r="QD116" s="583"/>
      <c r="QE116" s="590"/>
      <c r="QF116" s="589"/>
      <c r="QG116" s="585"/>
      <c r="QH116" s="577"/>
      <c r="QI116" s="304"/>
      <c r="QJ116" s="572"/>
      <c r="QK116" s="573"/>
      <c r="QL116" s="574"/>
      <c r="QM116" s="575"/>
      <c r="QN116" s="583"/>
      <c r="QO116" s="590"/>
      <c r="QP116" s="589"/>
      <c r="QQ116" s="585"/>
      <c r="QR116" s="577"/>
      <c r="QS116" s="304"/>
      <c r="QT116" s="572"/>
      <c r="QU116" s="573"/>
      <c r="QV116" s="574"/>
      <c r="QW116" s="575"/>
      <c r="QX116" s="583"/>
      <c r="QY116" s="590"/>
      <c r="QZ116" s="589"/>
      <c r="RA116" s="585"/>
      <c r="RB116" s="577"/>
      <c r="RC116" s="304"/>
      <c r="RD116" s="572"/>
      <c r="RE116" s="573"/>
      <c r="RF116" s="574"/>
      <c r="RG116" s="575"/>
      <c r="RH116" s="583"/>
      <c r="RI116" s="590"/>
      <c r="RJ116" s="589"/>
      <c r="RK116" s="585"/>
      <c r="RL116" s="577"/>
      <c r="RM116" s="304"/>
      <c r="RN116" s="572"/>
      <c r="RO116" s="573"/>
      <c r="RP116" s="574"/>
      <c r="RQ116" s="575"/>
      <c r="RR116" s="583"/>
      <c r="RS116" s="590"/>
      <c r="RT116" s="589"/>
      <c r="RU116" s="585"/>
      <c r="RV116" s="577"/>
      <c r="RW116" s="304"/>
      <c r="RX116" s="572"/>
      <c r="RY116" s="573"/>
      <c r="RZ116" s="574"/>
      <c r="SA116" s="575"/>
      <c r="SB116" s="583"/>
      <c r="SC116" s="590"/>
      <c r="SD116" s="589"/>
      <c r="SE116" s="585"/>
      <c r="SF116" s="577"/>
      <c r="SG116" s="304"/>
      <c r="SH116" s="572"/>
      <c r="SI116" s="573"/>
      <c r="SJ116" s="574"/>
      <c r="SK116" s="575"/>
      <c r="SL116" s="583"/>
      <c r="SM116" s="590"/>
      <c r="SN116" s="589"/>
      <c r="SO116" s="585"/>
      <c r="SP116" s="577"/>
      <c r="SQ116" s="304"/>
      <c r="SR116" s="572"/>
      <c r="SS116" s="573"/>
      <c r="ST116" s="574"/>
      <c r="SU116" s="575"/>
      <c r="SV116" s="583"/>
      <c r="SW116" s="590"/>
      <c r="SX116" s="589"/>
      <c r="SY116" s="585"/>
      <c r="SZ116" s="577"/>
      <c r="TA116" s="304"/>
      <c r="TB116" s="572"/>
      <c r="TC116" s="573"/>
      <c r="TD116" s="574"/>
      <c r="TE116" s="575"/>
      <c r="TF116" s="583"/>
      <c r="TG116" s="590"/>
      <c r="TH116" s="589"/>
      <c r="TI116" s="585"/>
      <c r="TJ116" s="577"/>
      <c r="TK116" s="304"/>
      <c r="TL116" s="572"/>
      <c r="TM116" s="573"/>
      <c r="TN116" s="574"/>
      <c r="TO116" s="575"/>
      <c r="TP116" s="583"/>
      <c r="TQ116" s="590"/>
      <c r="TR116" s="589"/>
      <c r="TS116" s="585"/>
      <c r="TT116" s="577"/>
      <c r="TU116" s="304"/>
      <c r="TV116" s="572"/>
      <c r="TW116" s="573"/>
      <c r="TX116" s="574"/>
      <c r="TY116" s="575"/>
      <c r="TZ116" s="583"/>
      <c r="UA116" s="590"/>
      <c r="UB116" s="589"/>
      <c r="UC116" s="585"/>
      <c r="UD116" s="577"/>
      <c r="UE116" s="304"/>
      <c r="UF116" s="572"/>
      <c r="UG116" s="573"/>
      <c r="UH116" s="574"/>
      <c r="UI116" s="575"/>
      <c r="UJ116" s="583"/>
      <c r="UK116" s="590"/>
      <c r="UL116" s="589"/>
      <c r="UM116" s="585"/>
      <c r="UN116" s="577"/>
      <c r="UO116" s="304"/>
      <c r="UP116" s="572"/>
      <c r="UQ116" s="573"/>
      <c r="UR116" s="574"/>
      <c r="US116" s="575"/>
      <c r="UT116" s="583"/>
      <c r="UU116" s="590"/>
      <c r="UV116" s="589"/>
      <c r="UW116" s="585"/>
      <c r="UX116" s="577"/>
      <c r="UY116" s="304"/>
      <c r="UZ116" s="572"/>
      <c r="VA116" s="573"/>
      <c r="VB116" s="574"/>
      <c r="VC116" s="575"/>
      <c r="VD116" s="583"/>
      <c r="VE116" s="590"/>
      <c r="VF116" s="589"/>
      <c r="VG116" s="585"/>
      <c r="VH116" s="577"/>
      <c r="VI116" s="304"/>
      <c r="VJ116" s="572"/>
      <c r="VK116" s="573"/>
      <c r="VL116" s="574"/>
      <c r="VM116" s="575"/>
      <c r="VN116" s="583"/>
      <c r="VO116" s="590"/>
      <c r="VP116" s="589"/>
      <c r="VQ116" s="585"/>
      <c r="VR116" s="577"/>
      <c r="VS116" s="304"/>
      <c r="VT116" s="572"/>
      <c r="VU116" s="573"/>
      <c r="VV116" s="574"/>
      <c r="VW116" s="575"/>
      <c r="VX116" s="583"/>
      <c r="VY116" s="590"/>
      <c r="VZ116" s="589"/>
      <c r="WA116" s="585"/>
      <c r="WB116" s="577"/>
      <c r="WC116" s="304"/>
      <c r="WD116" s="572"/>
      <c r="WE116" s="573"/>
      <c r="WF116" s="574"/>
      <c r="WG116" s="575"/>
      <c r="WH116" s="583"/>
      <c r="WI116" s="590"/>
      <c r="WJ116" s="589"/>
      <c r="WK116" s="585"/>
      <c r="WL116" s="577"/>
      <c r="WM116" s="304"/>
      <c r="WN116" s="572"/>
      <c r="WO116" s="573"/>
      <c r="WP116" s="574"/>
      <c r="WQ116" s="575"/>
      <c r="WR116" s="583"/>
      <c r="WS116" s="590"/>
      <c r="WT116" s="589"/>
      <c r="WU116" s="585"/>
      <c r="WV116" s="577"/>
      <c r="WW116" s="304"/>
      <c r="WX116" s="572"/>
      <c r="WY116" s="573"/>
      <c r="WZ116" s="574"/>
      <c r="XA116" s="575"/>
      <c r="XB116" s="583"/>
      <c r="XC116" s="590"/>
      <c r="XD116" s="589"/>
      <c r="XE116" s="585"/>
      <c r="XF116" s="577"/>
      <c r="XG116" s="304"/>
      <c r="XH116" s="572"/>
      <c r="XI116" s="573"/>
      <c r="XJ116" s="574"/>
      <c r="XK116" s="575"/>
      <c r="XL116" s="583"/>
      <c r="XM116" s="590"/>
      <c r="XN116" s="589"/>
      <c r="XO116" s="585"/>
      <c r="XP116" s="577"/>
      <c r="XQ116" s="304"/>
      <c r="XR116" s="572"/>
      <c r="XS116" s="573"/>
      <c r="XT116" s="574"/>
      <c r="XU116" s="575"/>
      <c r="XV116" s="583"/>
      <c r="XW116" s="590"/>
      <c r="XX116" s="589"/>
      <c r="XY116" s="585"/>
      <c r="XZ116" s="577"/>
      <c r="YA116" s="304"/>
      <c r="YB116" s="572"/>
      <c r="YC116" s="573"/>
      <c r="YD116" s="574"/>
      <c r="YE116" s="575"/>
      <c r="YF116" s="583"/>
      <c r="YG116" s="590"/>
      <c r="YH116" s="589"/>
      <c r="YI116" s="585"/>
      <c r="YJ116" s="577"/>
      <c r="YK116" s="304"/>
      <c r="YL116" s="572"/>
      <c r="YM116" s="573"/>
      <c r="YN116" s="574"/>
      <c r="YO116" s="575"/>
      <c r="YP116" s="583"/>
      <c r="YQ116" s="590"/>
      <c r="YR116" s="589"/>
      <c r="YS116" s="585"/>
      <c r="YT116" s="577"/>
      <c r="YU116" s="304"/>
      <c r="YV116" s="572"/>
      <c r="YW116" s="573"/>
      <c r="YX116" s="574"/>
      <c r="YY116" s="575"/>
      <c r="YZ116" s="583"/>
      <c r="ZA116" s="590"/>
      <c r="ZB116" s="589"/>
      <c r="ZC116" s="585"/>
      <c r="ZD116" s="577"/>
      <c r="ZE116" s="304"/>
      <c r="ZF116" s="572"/>
      <c r="ZG116" s="573"/>
      <c r="ZH116" s="574"/>
      <c r="ZI116" s="575"/>
      <c r="ZJ116" s="583"/>
      <c r="ZK116" s="590"/>
      <c r="ZL116" s="589"/>
      <c r="ZM116" s="585"/>
      <c r="ZN116" s="577"/>
      <c r="ZO116" s="304"/>
      <c r="ZP116" s="572"/>
      <c r="ZQ116" s="573"/>
      <c r="ZR116" s="574"/>
      <c r="ZS116" s="575"/>
      <c r="ZT116" s="583"/>
      <c r="ZU116" s="590"/>
      <c r="ZV116" s="589"/>
      <c r="ZW116" s="585"/>
      <c r="ZX116" s="577"/>
      <c r="ZY116" s="304"/>
      <c r="ZZ116" s="572"/>
      <c r="AAA116" s="573"/>
      <c r="AAB116" s="574"/>
      <c r="AAC116" s="575"/>
      <c r="AAD116" s="583"/>
      <c r="AAE116" s="590"/>
      <c r="AAF116" s="589"/>
      <c r="AAG116" s="585"/>
      <c r="AAH116" s="577"/>
      <c r="AAI116" s="304"/>
      <c r="AAJ116" s="572"/>
      <c r="AAK116" s="573"/>
      <c r="AAL116" s="574"/>
      <c r="AAM116" s="575"/>
      <c r="AAN116" s="583"/>
      <c r="AAO116" s="590"/>
      <c r="AAP116" s="589"/>
      <c r="AAQ116" s="585"/>
      <c r="AAR116" s="577"/>
      <c r="AAS116" s="304"/>
      <c r="AAT116" s="572"/>
      <c r="AAU116" s="573"/>
      <c r="AAV116" s="574"/>
      <c r="AAW116" s="575"/>
      <c r="AAX116" s="583"/>
      <c r="AAY116" s="590"/>
      <c r="AAZ116" s="589"/>
      <c r="ABA116" s="585"/>
      <c r="ABB116" s="577"/>
      <c r="ABC116" s="304"/>
      <c r="ABD116" s="572"/>
      <c r="ABE116" s="573"/>
      <c r="ABF116" s="574"/>
      <c r="ABG116" s="575"/>
      <c r="ABH116" s="583"/>
      <c r="ABI116" s="590"/>
      <c r="ABJ116" s="589"/>
      <c r="ABK116" s="585"/>
      <c r="ABL116" s="577"/>
      <c r="ABM116" s="304"/>
      <c r="ABN116" s="572"/>
      <c r="ABO116" s="573"/>
      <c r="ABP116" s="574"/>
      <c r="ABQ116" s="575"/>
      <c r="ABR116" s="583"/>
      <c r="ABS116" s="590"/>
      <c r="ABT116" s="589"/>
      <c r="ABU116" s="585"/>
      <c r="ABV116" s="577"/>
      <c r="ABW116" s="304"/>
      <c r="ABX116" s="572"/>
      <c r="ABY116" s="573"/>
      <c r="ABZ116" s="574"/>
      <c r="ACA116" s="575"/>
      <c r="ACB116" s="583"/>
      <c r="ACC116" s="590"/>
      <c r="ACD116" s="589"/>
      <c r="ACE116" s="585"/>
      <c r="ACF116" s="577"/>
      <c r="ACG116" s="304"/>
      <c r="ACH116" s="572"/>
      <c r="ACI116" s="573"/>
      <c r="ACJ116" s="574"/>
      <c r="ACK116" s="575"/>
      <c r="ACL116" s="583"/>
      <c r="ACM116" s="590"/>
      <c r="ACN116" s="589"/>
      <c r="ACO116" s="585"/>
      <c r="ACP116" s="577"/>
      <c r="ACQ116" s="304"/>
      <c r="ACR116" s="572"/>
      <c r="ACS116" s="573"/>
      <c r="ACT116" s="574"/>
      <c r="ACU116" s="575"/>
      <c r="ACV116" s="583"/>
      <c r="ACW116" s="590"/>
      <c r="ACX116" s="589"/>
      <c r="ACY116" s="585"/>
      <c r="ACZ116" s="577"/>
      <c r="ADA116" s="304"/>
      <c r="ADB116" s="572"/>
      <c r="ADC116" s="573"/>
      <c r="ADD116" s="574"/>
      <c r="ADE116" s="575"/>
      <c r="ADF116" s="583"/>
      <c r="ADG116" s="590"/>
      <c r="ADH116" s="589"/>
      <c r="ADI116" s="585"/>
      <c r="ADJ116" s="577"/>
      <c r="ADK116" s="304"/>
      <c r="ADL116" s="572"/>
      <c r="ADM116" s="573"/>
      <c r="ADN116" s="574"/>
      <c r="ADO116" s="575"/>
      <c r="ADP116" s="583"/>
      <c r="ADQ116" s="590"/>
      <c r="ADR116" s="589"/>
      <c r="ADS116" s="585"/>
      <c r="ADT116" s="577"/>
      <c r="ADU116" s="304"/>
      <c r="ADV116" s="572"/>
      <c r="ADW116" s="573"/>
      <c r="ADX116" s="574"/>
      <c r="ADY116" s="575"/>
      <c r="ADZ116" s="583"/>
      <c r="AEA116" s="590"/>
      <c r="AEB116" s="589"/>
      <c r="AEC116" s="585"/>
      <c r="AED116" s="577"/>
      <c r="AEE116" s="304"/>
      <c r="AEF116" s="572"/>
      <c r="AEG116" s="573"/>
      <c r="AEH116" s="574"/>
      <c r="AEI116" s="575"/>
      <c r="AEJ116" s="583"/>
      <c r="AEK116" s="590"/>
      <c r="AEL116" s="589"/>
      <c r="AEM116" s="585"/>
      <c r="AEN116" s="577"/>
      <c r="AEO116" s="304"/>
      <c r="AEP116" s="572"/>
      <c r="AEQ116" s="573"/>
      <c r="AER116" s="574"/>
      <c r="AES116" s="575"/>
      <c r="AET116" s="583"/>
      <c r="AEU116" s="590"/>
      <c r="AEV116" s="589"/>
      <c r="AEW116" s="585"/>
      <c r="AEX116" s="577"/>
      <c r="AEY116" s="304"/>
      <c r="AEZ116" s="572"/>
      <c r="AFA116" s="573"/>
      <c r="AFB116" s="574"/>
      <c r="AFC116" s="575"/>
      <c r="AFD116" s="583"/>
      <c r="AFE116" s="590"/>
      <c r="AFF116" s="589"/>
      <c r="AFG116" s="585"/>
      <c r="AFH116" s="577"/>
      <c r="AFI116" s="304"/>
      <c r="AFJ116" s="572"/>
      <c r="AFK116" s="573"/>
      <c r="AFL116" s="574"/>
      <c r="AFM116" s="575"/>
      <c r="AFN116" s="583"/>
      <c r="AFO116" s="590"/>
      <c r="AFP116" s="589"/>
      <c r="AFQ116" s="585"/>
      <c r="AFR116" s="577"/>
      <c r="AFS116" s="304"/>
      <c r="AFT116" s="572"/>
      <c r="AFU116" s="573"/>
      <c r="AFV116" s="574"/>
      <c r="AFW116" s="575"/>
      <c r="AFX116" s="583"/>
      <c r="AFY116" s="590"/>
      <c r="AFZ116" s="589"/>
      <c r="AGA116" s="585"/>
      <c r="AGB116" s="577"/>
      <c r="AGC116" s="304"/>
      <c r="AGD116" s="572"/>
      <c r="AGE116" s="573"/>
      <c r="AGF116" s="574"/>
      <c r="AGG116" s="575"/>
      <c r="AGH116" s="583"/>
      <c r="AGI116" s="590"/>
      <c r="AGJ116" s="589"/>
      <c r="AGK116" s="585"/>
      <c r="AGL116" s="577"/>
      <c r="AGM116" s="304"/>
      <c r="AGN116" s="572"/>
      <c r="AGO116" s="573"/>
      <c r="AGP116" s="574"/>
      <c r="AGQ116" s="575"/>
      <c r="AGR116" s="583"/>
      <c r="AGS116" s="590"/>
      <c r="AGT116" s="589"/>
      <c r="AGU116" s="585"/>
      <c r="AGV116" s="577"/>
      <c r="AGW116" s="304"/>
      <c r="AGX116" s="572"/>
      <c r="AGY116" s="573"/>
      <c r="AGZ116" s="574"/>
      <c r="AHA116" s="575"/>
      <c r="AHB116" s="583"/>
      <c r="AHC116" s="590"/>
      <c r="AHD116" s="589"/>
      <c r="AHE116" s="585"/>
      <c r="AHF116" s="577"/>
      <c r="AHG116" s="304"/>
      <c r="AHH116" s="572"/>
      <c r="AHI116" s="573"/>
      <c r="AHJ116" s="574"/>
      <c r="AHK116" s="575"/>
      <c r="AHL116" s="583"/>
      <c r="AHM116" s="590"/>
      <c r="AHN116" s="589"/>
      <c r="AHO116" s="585"/>
      <c r="AHP116" s="577"/>
      <c r="AHQ116" s="304"/>
      <c r="AHR116" s="572"/>
      <c r="AHS116" s="573"/>
      <c r="AHT116" s="574"/>
      <c r="AHU116" s="575"/>
      <c r="AHV116" s="583"/>
      <c r="AHW116" s="590"/>
      <c r="AHX116" s="589"/>
      <c r="AHY116" s="585"/>
      <c r="AHZ116" s="577"/>
      <c r="AIA116" s="304"/>
      <c r="AIB116" s="572"/>
      <c r="AIC116" s="573"/>
      <c r="AID116" s="574"/>
      <c r="AIE116" s="575"/>
      <c r="AIF116" s="583"/>
      <c r="AIG116" s="590"/>
      <c r="AIH116" s="589"/>
      <c r="AII116" s="585"/>
      <c r="AIJ116" s="577"/>
      <c r="AIK116" s="304"/>
      <c r="AIL116" s="572"/>
      <c r="AIM116" s="573"/>
      <c r="AIN116" s="574"/>
      <c r="AIO116" s="575"/>
      <c r="AIP116" s="583"/>
      <c r="AIQ116" s="590"/>
      <c r="AIR116" s="589"/>
      <c r="AIS116" s="585"/>
      <c r="AIT116" s="577"/>
      <c r="AIU116" s="304"/>
      <c r="AIV116" s="572"/>
      <c r="AIW116" s="573"/>
      <c r="AIX116" s="574"/>
      <c r="AIY116" s="575"/>
      <c r="AIZ116" s="583"/>
      <c r="AJA116" s="590"/>
      <c r="AJB116" s="589"/>
      <c r="AJC116" s="585"/>
      <c r="AJD116" s="577"/>
      <c r="AJE116" s="304"/>
      <c r="AJF116" s="572"/>
      <c r="AJG116" s="573"/>
      <c r="AJH116" s="574"/>
      <c r="AJI116" s="575"/>
      <c r="AJJ116" s="583"/>
      <c r="AJK116" s="590"/>
      <c r="AJL116" s="589"/>
      <c r="AJM116" s="585"/>
      <c r="AJN116" s="577"/>
      <c r="AJO116" s="304"/>
      <c r="AJP116" s="572"/>
      <c r="AJQ116" s="573"/>
      <c r="AJR116" s="574"/>
      <c r="AJS116" s="575"/>
      <c r="AJT116" s="583"/>
      <c r="AJU116" s="590"/>
      <c r="AJV116" s="589"/>
      <c r="AJW116" s="585"/>
      <c r="AJX116" s="577"/>
      <c r="AJY116" s="304"/>
      <c r="AJZ116" s="572"/>
      <c r="AKA116" s="573"/>
      <c r="AKB116" s="574"/>
      <c r="AKC116" s="575"/>
      <c r="AKD116" s="583"/>
      <c r="AKE116" s="590"/>
      <c r="AKF116" s="589"/>
      <c r="AKG116" s="585"/>
      <c r="AKH116" s="577"/>
      <c r="AKI116" s="304"/>
      <c r="AKJ116" s="572"/>
      <c r="AKK116" s="573"/>
      <c r="AKL116" s="574"/>
      <c r="AKM116" s="575"/>
      <c r="AKN116" s="583"/>
      <c r="AKO116" s="590"/>
      <c r="AKP116" s="589"/>
      <c r="AKQ116" s="585"/>
      <c r="AKR116" s="577"/>
      <c r="AKS116" s="304"/>
      <c r="AKT116" s="572"/>
      <c r="AKU116" s="573"/>
      <c r="AKV116" s="574"/>
      <c r="AKW116" s="575"/>
      <c r="AKX116" s="583"/>
      <c r="AKY116" s="590"/>
      <c r="AKZ116" s="589"/>
      <c r="ALA116" s="585"/>
      <c r="ALB116" s="577"/>
      <c r="ALC116" s="304"/>
      <c r="ALD116" s="572"/>
      <c r="ALE116" s="573"/>
      <c r="ALF116" s="574"/>
      <c r="ALG116" s="575"/>
      <c r="ALH116" s="583"/>
      <c r="ALI116" s="590"/>
      <c r="ALJ116" s="589"/>
      <c r="ALK116" s="585"/>
      <c r="ALL116" s="577"/>
      <c r="ALM116" s="304"/>
      <c r="ALN116" s="572"/>
      <c r="ALO116" s="573"/>
      <c r="ALP116" s="574"/>
      <c r="ALQ116" s="575"/>
      <c r="ALR116" s="583"/>
      <c r="ALS116" s="590"/>
      <c r="ALT116" s="589"/>
      <c r="ALU116" s="585"/>
      <c r="ALV116" s="577"/>
      <c r="ALW116" s="304"/>
      <c r="ALX116" s="572"/>
      <c r="ALY116" s="573"/>
      <c r="ALZ116" s="574"/>
      <c r="AMA116" s="575"/>
      <c r="AMB116" s="583"/>
      <c r="AMC116" s="590"/>
      <c r="AMD116" s="589"/>
      <c r="AME116" s="585"/>
      <c r="AMF116" s="577"/>
      <c r="AMG116" s="304"/>
      <c r="AMH116" s="572"/>
      <c r="AMI116" s="573"/>
      <c r="AMJ116" s="574"/>
      <c r="AMK116" s="575"/>
      <c r="AML116" s="583"/>
      <c r="AMM116" s="590"/>
      <c r="AMN116" s="589"/>
      <c r="AMO116" s="585"/>
      <c r="AMP116" s="577"/>
      <c r="AMQ116" s="304"/>
      <c r="AMR116" s="572"/>
      <c r="AMS116" s="573"/>
      <c r="AMT116" s="574"/>
      <c r="AMU116" s="575"/>
      <c r="AMV116" s="583"/>
      <c r="AMW116" s="590"/>
      <c r="AMX116" s="589"/>
      <c r="AMY116" s="585"/>
      <c r="AMZ116" s="577"/>
      <c r="ANA116" s="304"/>
      <c r="ANB116" s="572"/>
      <c r="ANC116" s="573"/>
      <c r="AND116" s="574"/>
      <c r="ANE116" s="575"/>
      <c r="ANF116" s="583"/>
      <c r="ANG116" s="590"/>
      <c r="ANH116" s="589"/>
      <c r="ANI116" s="585"/>
      <c r="ANJ116" s="577"/>
      <c r="ANK116" s="304"/>
      <c r="ANL116" s="572"/>
      <c r="ANM116" s="573"/>
      <c r="ANN116" s="574"/>
      <c r="ANO116" s="575"/>
      <c r="ANP116" s="583"/>
      <c r="ANQ116" s="590"/>
      <c r="ANR116" s="589"/>
      <c r="ANS116" s="585"/>
      <c r="ANT116" s="577"/>
      <c r="ANU116" s="304"/>
      <c r="ANV116" s="572"/>
      <c r="ANW116" s="573"/>
      <c r="ANX116" s="574"/>
      <c r="ANY116" s="575"/>
      <c r="ANZ116" s="583"/>
      <c r="AOA116" s="590"/>
      <c r="AOB116" s="589"/>
      <c r="AOC116" s="585"/>
      <c r="AOD116" s="577"/>
      <c r="AOE116" s="304"/>
      <c r="AOF116" s="572"/>
      <c r="AOG116" s="573"/>
      <c r="AOH116" s="574"/>
      <c r="AOI116" s="575"/>
      <c r="AOJ116" s="583"/>
      <c r="AOK116" s="590"/>
      <c r="AOL116" s="589"/>
      <c r="AOM116" s="585"/>
      <c r="AON116" s="577"/>
      <c r="AOO116" s="304"/>
      <c r="AOP116" s="572"/>
      <c r="AOQ116" s="573"/>
      <c r="AOR116" s="574"/>
      <c r="AOS116" s="575"/>
      <c r="AOT116" s="583"/>
      <c r="AOU116" s="590"/>
      <c r="AOV116" s="589"/>
      <c r="AOW116" s="585"/>
      <c r="AOX116" s="577"/>
      <c r="AOY116" s="304"/>
      <c r="AOZ116" s="572"/>
      <c r="APA116" s="573"/>
      <c r="APB116" s="574"/>
      <c r="APC116" s="575"/>
      <c r="APD116" s="583"/>
      <c r="APE116" s="590"/>
      <c r="APF116" s="589"/>
      <c r="APG116" s="585"/>
      <c r="APH116" s="577"/>
      <c r="API116" s="304"/>
      <c r="APJ116" s="572"/>
      <c r="APK116" s="573"/>
      <c r="APL116" s="574"/>
      <c r="APM116" s="575"/>
      <c r="APN116" s="583"/>
      <c r="APO116" s="590"/>
      <c r="APP116" s="589"/>
      <c r="APQ116" s="585"/>
      <c r="APR116" s="577"/>
      <c r="APS116" s="304"/>
      <c r="APT116" s="572"/>
      <c r="APU116" s="573"/>
      <c r="APV116" s="574"/>
      <c r="APW116" s="575"/>
      <c r="APX116" s="583"/>
      <c r="APY116" s="590"/>
      <c r="APZ116" s="589"/>
      <c r="AQA116" s="585"/>
      <c r="AQB116" s="577"/>
      <c r="AQC116" s="304"/>
      <c r="AQD116" s="572"/>
      <c r="AQE116" s="573"/>
      <c r="AQF116" s="574"/>
      <c r="AQG116" s="575"/>
      <c r="AQH116" s="583"/>
      <c r="AQI116" s="590"/>
      <c r="AQJ116" s="589"/>
      <c r="AQK116" s="585"/>
      <c r="AQL116" s="577"/>
      <c r="AQM116" s="304"/>
      <c r="AQN116" s="572"/>
      <c r="AQO116" s="573"/>
      <c r="AQP116" s="574"/>
      <c r="AQQ116" s="575"/>
      <c r="AQR116" s="583"/>
      <c r="AQS116" s="590"/>
      <c r="AQT116" s="589"/>
      <c r="AQU116" s="585"/>
      <c r="AQV116" s="577"/>
      <c r="AQW116" s="304"/>
      <c r="AQX116" s="572"/>
      <c r="AQY116" s="573"/>
      <c r="AQZ116" s="574"/>
      <c r="ARA116" s="575"/>
      <c r="ARB116" s="583"/>
      <c r="ARC116" s="590"/>
      <c r="ARD116" s="589"/>
      <c r="ARE116" s="585"/>
      <c r="ARF116" s="577"/>
      <c r="ARG116" s="304"/>
      <c r="ARH116" s="572"/>
      <c r="ARI116" s="573"/>
      <c r="ARJ116" s="574"/>
      <c r="ARK116" s="575"/>
      <c r="ARL116" s="583"/>
      <c r="ARM116" s="590"/>
      <c r="ARN116" s="589"/>
      <c r="ARO116" s="585"/>
      <c r="ARP116" s="577"/>
      <c r="ARQ116" s="304"/>
      <c r="ARR116" s="572"/>
      <c r="ARS116" s="573"/>
      <c r="ART116" s="574"/>
      <c r="ARU116" s="575"/>
      <c r="ARV116" s="583"/>
      <c r="ARW116" s="590"/>
      <c r="ARX116" s="589"/>
      <c r="ARY116" s="585"/>
      <c r="ARZ116" s="577"/>
      <c r="ASA116" s="304"/>
      <c r="ASB116" s="572"/>
      <c r="ASC116" s="573"/>
      <c r="ASD116" s="574"/>
      <c r="ASE116" s="575"/>
      <c r="ASF116" s="583"/>
      <c r="ASG116" s="590"/>
      <c r="ASH116" s="589"/>
      <c r="ASI116" s="585"/>
      <c r="ASJ116" s="577"/>
      <c r="ASK116" s="304"/>
      <c r="ASL116" s="572"/>
      <c r="ASM116" s="573"/>
      <c r="ASN116" s="574"/>
      <c r="ASO116" s="575"/>
      <c r="ASP116" s="583"/>
      <c r="ASQ116" s="590"/>
      <c r="ASR116" s="589"/>
      <c r="ASS116" s="585"/>
      <c r="AST116" s="577"/>
      <c r="ASU116" s="304"/>
      <c r="ASV116" s="572"/>
      <c r="ASW116" s="573"/>
      <c r="ASX116" s="574"/>
      <c r="ASY116" s="575"/>
      <c r="ASZ116" s="583"/>
      <c r="ATA116" s="590"/>
      <c r="ATB116" s="589"/>
      <c r="ATC116" s="585"/>
      <c r="ATD116" s="577"/>
      <c r="ATE116" s="304"/>
      <c r="ATF116" s="572"/>
      <c r="ATG116" s="573"/>
      <c r="ATH116" s="574"/>
      <c r="ATI116" s="575"/>
      <c r="ATJ116" s="583"/>
      <c r="ATK116" s="590"/>
      <c r="ATL116" s="589"/>
      <c r="ATM116" s="585"/>
      <c r="ATN116" s="577"/>
      <c r="ATO116" s="304"/>
      <c r="ATP116" s="572"/>
      <c r="ATQ116" s="573"/>
      <c r="ATR116" s="574"/>
      <c r="ATS116" s="575"/>
      <c r="ATT116" s="583"/>
      <c r="ATU116" s="590"/>
      <c r="ATV116" s="589"/>
      <c r="ATW116" s="585"/>
      <c r="ATX116" s="577"/>
      <c r="ATY116" s="304"/>
      <c r="ATZ116" s="572"/>
      <c r="AUA116" s="573"/>
      <c r="AUB116" s="574"/>
      <c r="AUC116" s="575"/>
      <c r="AUD116" s="583"/>
      <c r="AUE116" s="590"/>
      <c r="AUF116" s="589"/>
      <c r="AUG116" s="585"/>
      <c r="AUH116" s="577"/>
      <c r="AUI116" s="304"/>
      <c r="AUJ116" s="572"/>
      <c r="AUK116" s="573"/>
      <c r="AUL116" s="574"/>
      <c r="AUM116" s="575"/>
      <c r="AUN116" s="583"/>
      <c r="AUO116" s="590"/>
      <c r="AUP116" s="589"/>
      <c r="AUQ116" s="585"/>
      <c r="AUR116" s="577"/>
      <c r="AUS116" s="304"/>
      <c r="AUT116" s="572"/>
      <c r="AUU116" s="573"/>
      <c r="AUV116" s="574"/>
      <c r="AUW116" s="575"/>
      <c r="AUX116" s="583"/>
      <c r="AUY116" s="590"/>
      <c r="AUZ116" s="589"/>
      <c r="AVA116" s="585"/>
      <c r="AVB116" s="577"/>
      <c r="AVC116" s="304"/>
      <c r="AVD116" s="572"/>
      <c r="AVE116" s="573"/>
      <c r="AVF116" s="574"/>
      <c r="AVG116" s="575"/>
      <c r="AVH116" s="583"/>
      <c r="AVI116" s="590"/>
      <c r="AVJ116" s="589"/>
      <c r="AVK116" s="585"/>
      <c r="AVL116" s="577"/>
      <c r="AVM116" s="304"/>
      <c r="AVN116" s="572"/>
      <c r="AVO116" s="573"/>
      <c r="AVP116" s="574"/>
      <c r="AVQ116" s="575"/>
      <c r="AVR116" s="583"/>
      <c r="AVS116" s="590"/>
      <c r="AVT116" s="589"/>
      <c r="AVU116" s="585"/>
      <c r="AVV116" s="577"/>
      <c r="AVW116" s="304"/>
      <c r="AVX116" s="572"/>
      <c r="AVY116" s="573"/>
      <c r="AVZ116" s="574"/>
      <c r="AWA116" s="575"/>
      <c r="AWB116" s="583"/>
      <c r="AWC116" s="590"/>
      <c r="AWD116" s="589"/>
      <c r="AWE116" s="585"/>
      <c r="AWF116" s="577"/>
      <c r="AWG116" s="304"/>
      <c r="AWH116" s="572"/>
      <c r="AWI116" s="573"/>
      <c r="AWJ116" s="574"/>
      <c r="AWK116" s="575"/>
      <c r="AWL116" s="583"/>
      <c r="AWM116" s="590"/>
      <c r="AWN116" s="589"/>
      <c r="AWO116" s="585"/>
      <c r="AWP116" s="577"/>
      <c r="AWQ116" s="304"/>
      <c r="AWR116" s="572"/>
      <c r="AWS116" s="573"/>
      <c r="AWT116" s="574"/>
      <c r="AWU116" s="575"/>
      <c r="AWV116" s="583"/>
      <c r="AWW116" s="590"/>
      <c r="AWX116" s="589"/>
      <c r="AWY116" s="585"/>
      <c r="AWZ116" s="577"/>
      <c r="AXA116" s="304"/>
      <c r="AXB116" s="572"/>
      <c r="AXC116" s="573"/>
      <c r="AXD116" s="574"/>
      <c r="AXE116" s="575"/>
      <c r="AXF116" s="583"/>
      <c r="AXG116" s="590"/>
      <c r="AXH116" s="589"/>
      <c r="AXI116" s="585"/>
      <c r="AXJ116" s="577"/>
      <c r="AXK116" s="304"/>
      <c r="AXL116" s="572"/>
      <c r="AXM116" s="573"/>
      <c r="AXN116" s="574"/>
      <c r="AXO116" s="575"/>
      <c r="AXP116" s="583"/>
      <c r="AXQ116" s="590"/>
      <c r="AXR116" s="589"/>
      <c r="AXS116" s="585"/>
      <c r="AXT116" s="577"/>
      <c r="AXU116" s="304"/>
      <c r="AXV116" s="572"/>
      <c r="AXW116" s="573"/>
      <c r="AXX116" s="574"/>
      <c r="AXY116" s="575"/>
      <c r="AXZ116" s="583"/>
      <c r="AYA116" s="590"/>
      <c r="AYB116" s="589"/>
      <c r="AYC116" s="585"/>
      <c r="AYD116" s="577"/>
      <c r="AYE116" s="304"/>
      <c r="AYF116" s="572"/>
      <c r="AYG116" s="573"/>
      <c r="AYH116" s="574"/>
      <c r="AYI116" s="575"/>
      <c r="AYJ116" s="583"/>
      <c r="AYK116" s="590"/>
      <c r="AYL116" s="589"/>
      <c r="AYM116" s="585"/>
      <c r="AYN116" s="577"/>
      <c r="AYO116" s="304"/>
      <c r="AYP116" s="572"/>
      <c r="AYQ116" s="573"/>
      <c r="AYR116" s="574"/>
      <c r="AYS116" s="575"/>
      <c r="AYT116" s="583"/>
      <c r="AYU116" s="590"/>
      <c r="AYV116" s="589"/>
      <c r="AYW116" s="585"/>
      <c r="AYX116" s="577"/>
      <c r="AYY116" s="304"/>
      <c r="AYZ116" s="572"/>
      <c r="AZA116" s="573"/>
      <c r="AZB116" s="574"/>
      <c r="AZC116" s="575"/>
      <c r="AZD116" s="583"/>
      <c r="AZE116" s="590"/>
      <c r="AZF116" s="589"/>
      <c r="AZG116" s="585"/>
      <c r="AZH116" s="577"/>
      <c r="AZI116" s="304"/>
      <c r="AZJ116" s="572"/>
      <c r="AZK116" s="573"/>
      <c r="AZL116" s="574"/>
      <c r="AZM116" s="575"/>
      <c r="AZN116" s="583"/>
      <c r="AZO116" s="590"/>
      <c r="AZP116" s="589"/>
      <c r="AZQ116" s="585"/>
      <c r="AZR116" s="577"/>
      <c r="AZS116" s="304"/>
      <c r="AZT116" s="572"/>
      <c r="AZU116" s="573"/>
      <c r="AZV116" s="574"/>
      <c r="AZW116" s="575"/>
      <c r="AZX116" s="583"/>
      <c r="AZY116" s="590"/>
      <c r="AZZ116" s="589"/>
      <c r="BAA116" s="585"/>
      <c r="BAB116" s="577"/>
      <c r="BAC116" s="304"/>
      <c r="BAD116" s="572"/>
      <c r="BAE116" s="573"/>
      <c r="BAF116" s="574"/>
      <c r="BAG116" s="575"/>
      <c r="BAH116" s="583"/>
      <c r="BAI116" s="590"/>
      <c r="BAJ116" s="589"/>
      <c r="BAK116" s="585"/>
      <c r="BAL116" s="577"/>
      <c r="BAM116" s="304"/>
      <c r="BAN116" s="572"/>
      <c r="BAO116" s="573"/>
      <c r="BAP116" s="574"/>
      <c r="BAQ116" s="575"/>
      <c r="BAR116" s="583"/>
      <c r="BAS116" s="590"/>
      <c r="BAT116" s="589"/>
      <c r="BAU116" s="585"/>
      <c r="BAV116" s="577"/>
      <c r="BAW116" s="304"/>
      <c r="BAX116" s="572"/>
      <c r="BAY116" s="573"/>
      <c r="BAZ116" s="574"/>
      <c r="BBA116" s="575"/>
      <c r="BBB116" s="583"/>
      <c r="BBC116" s="590"/>
      <c r="BBD116" s="589"/>
      <c r="BBE116" s="585"/>
      <c r="BBF116" s="577"/>
      <c r="BBG116" s="304"/>
      <c r="BBH116" s="572"/>
      <c r="BBI116" s="573"/>
      <c r="BBJ116" s="574"/>
      <c r="BBK116" s="575"/>
      <c r="BBL116" s="583"/>
      <c r="BBM116" s="590"/>
      <c r="BBN116" s="589"/>
      <c r="BBO116" s="585"/>
      <c r="BBP116" s="577"/>
      <c r="BBQ116" s="304"/>
      <c r="BBR116" s="572"/>
      <c r="BBS116" s="573"/>
      <c r="BBT116" s="574"/>
      <c r="BBU116" s="575"/>
      <c r="BBV116" s="583"/>
      <c r="BBW116" s="590"/>
      <c r="BBX116" s="589"/>
      <c r="BBY116" s="585"/>
      <c r="BBZ116" s="577"/>
      <c r="BCA116" s="304"/>
      <c r="BCB116" s="572"/>
      <c r="BCC116" s="573"/>
      <c r="BCD116" s="574"/>
      <c r="BCE116" s="575"/>
      <c r="BCF116" s="583"/>
      <c r="BCG116" s="590"/>
      <c r="BCH116" s="589"/>
      <c r="BCI116" s="585"/>
      <c r="BCJ116" s="577"/>
      <c r="BCK116" s="304"/>
      <c r="BCL116" s="572"/>
      <c r="BCM116" s="573"/>
      <c r="BCN116" s="574"/>
      <c r="BCO116" s="575"/>
      <c r="BCP116" s="583"/>
      <c r="BCQ116" s="590"/>
      <c r="BCR116" s="589"/>
      <c r="BCS116" s="585"/>
      <c r="BCT116" s="577"/>
      <c r="BCU116" s="304"/>
      <c r="BCV116" s="572"/>
      <c r="BCW116" s="573"/>
      <c r="BCX116" s="574"/>
      <c r="BCY116" s="575"/>
      <c r="BCZ116" s="583"/>
      <c r="BDA116" s="590"/>
      <c r="BDB116" s="589"/>
      <c r="BDC116" s="585"/>
      <c r="BDD116" s="577"/>
      <c r="BDE116" s="304"/>
      <c r="BDF116" s="572"/>
      <c r="BDG116" s="573"/>
      <c r="BDH116" s="574"/>
      <c r="BDI116" s="575"/>
      <c r="BDJ116" s="583"/>
      <c r="BDK116" s="590"/>
      <c r="BDL116" s="589"/>
      <c r="BDM116" s="585"/>
      <c r="BDN116" s="577"/>
      <c r="BDO116" s="304"/>
      <c r="BDP116" s="572"/>
      <c r="BDQ116" s="573"/>
      <c r="BDR116" s="574"/>
      <c r="BDS116" s="575"/>
      <c r="BDT116" s="583"/>
      <c r="BDU116" s="590"/>
      <c r="BDV116" s="589"/>
      <c r="BDW116" s="585"/>
      <c r="BDX116" s="577"/>
      <c r="BDY116" s="304"/>
      <c r="BDZ116" s="572"/>
      <c r="BEA116" s="573"/>
      <c r="BEB116" s="574"/>
      <c r="BEC116" s="575"/>
      <c r="BED116" s="583"/>
      <c r="BEE116" s="590"/>
      <c r="BEF116" s="589"/>
      <c r="BEG116" s="585"/>
      <c r="BEH116" s="577"/>
      <c r="BEI116" s="304"/>
      <c r="BEJ116" s="572"/>
      <c r="BEK116" s="573"/>
      <c r="BEL116" s="574"/>
      <c r="BEM116" s="575"/>
      <c r="BEN116" s="583"/>
      <c r="BEO116" s="590"/>
      <c r="BEP116" s="589"/>
      <c r="BEQ116" s="585"/>
      <c r="BER116" s="577"/>
      <c r="BES116" s="304"/>
      <c r="BET116" s="572"/>
      <c r="BEU116" s="573"/>
      <c r="BEV116" s="574"/>
      <c r="BEW116" s="575"/>
      <c r="BEX116" s="583"/>
      <c r="BEY116" s="590"/>
      <c r="BEZ116" s="589"/>
      <c r="BFA116" s="585"/>
      <c r="BFB116" s="577"/>
      <c r="BFC116" s="304"/>
      <c r="BFD116" s="572"/>
      <c r="BFE116" s="573"/>
      <c r="BFF116" s="574"/>
      <c r="BFG116" s="575"/>
      <c r="BFH116" s="583"/>
      <c r="BFI116" s="590"/>
      <c r="BFJ116" s="589"/>
      <c r="BFK116" s="585"/>
      <c r="BFL116" s="577"/>
      <c r="BFM116" s="304"/>
      <c r="BFN116" s="572"/>
      <c r="BFO116" s="573"/>
      <c r="BFP116" s="574"/>
      <c r="BFQ116" s="575"/>
      <c r="BFR116" s="583"/>
      <c r="BFS116" s="590"/>
      <c r="BFT116" s="589"/>
      <c r="BFU116" s="585"/>
      <c r="BFV116" s="577"/>
      <c r="BFW116" s="304"/>
      <c r="BFX116" s="572"/>
      <c r="BFY116" s="573"/>
      <c r="BFZ116" s="574"/>
      <c r="BGA116" s="575"/>
      <c r="BGB116" s="583"/>
      <c r="BGC116" s="590"/>
      <c r="BGD116" s="589"/>
      <c r="BGE116" s="585"/>
      <c r="BGF116" s="577"/>
      <c r="BGG116" s="304"/>
      <c r="BGH116" s="572"/>
      <c r="BGI116" s="573"/>
      <c r="BGJ116" s="574"/>
      <c r="BGK116" s="575"/>
      <c r="BGL116" s="583"/>
      <c r="BGM116" s="590"/>
      <c r="BGN116" s="589"/>
      <c r="BGO116" s="585"/>
      <c r="BGP116" s="577"/>
      <c r="BGQ116" s="304"/>
      <c r="BGR116" s="572"/>
      <c r="BGS116" s="573"/>
      <c r="BGT116" s="574"/>
      <c r="BGU116" s="575"/>
      <c r="BGV116" s="583"/>
      <c r="BGW116" s="590"/>
      <c r="BGX116" s="589"/>
      <c r="BGY116" s="585"/>
      <c r="BGZ116" s="577"/>
      <c r="BHA116" s="304"/>
      <c r="BHB116" s="572"/>
      <c r="BHC116" s="573"/>
      <c r="BHD116" s="574"/>
      <c r="BHE116" s="575"/>
      <c r="BHF116" s="583"/>
      <c r="BHG116" s="590"/>
      <c r="BHH116" s="589"/>
      <c r="BHI116" s="585"/>
      <c r="BHJ116" s="577"/>
      <c r="BHK116" s="304"/>
      <c r="BHL116" s="572"/>
      <c r="BHM116" s="573"/>
      <c r="BHN116" s="574"/>
      <c r="BHO116" s="575"/>
      <c r="BHP116" s="583"/>
      <c r="BHQ116" s="590"/>
      <c r="BHR116" s="589"/>
      <c r="BHS116" s="585"/>
      <c r="BHT116" s="577"/>
      <c r="BHU116" s="304"/>
      <c r="BHV116" s="572"/>
      <c r="BHW116" s="573"/>
      <c r="BHX116" s="574"/>
      <c r="BHY116" s="575"/>
      <c r="BHZ116" s="583"/>
      <c r="BIA116" s="590"/>
      <c r="BIB116" s="589"/>
      <c r="BIC116" s="585"/>
      <c r="BID116" s="577"/>
      <c r="BIE116" s="304"/>
      <c r="BIF116" s="572"/>
      <c r="BIG116" s="573"/>
      <c r="BIH116" s="574"/>
      <c r="BII116" s="575"/>
      <c r="BIJ116" s="583"/>
      <c r="BIK116" s="590"/>
      <c r="BIL116" s="589"/>
      <c r="BIM116" s="585"/>
      <c r="BIN116" s="577"/>
      <c r="BIO116" s="304"/>
      <c r="BIP116" s="572"/>
      <c r="BIQ116" s="573"/>
      <c r="BIR116" s="574"/>
      <c r="BIS116" s="575"/>
      <c r="BIT116" s="583"/>
      <c r="BIU116" s="590"/>
      <c r="BIV116" s="589"/>
      <c r="BIW116" s="585"/>
      <c r="BIX116" s="577"/>
      <c r="BIY116" s="304"/>
      <c r="BIZ116" s="572"/>
      <c r="BJA116" s="573"/>
      <c r="BJB116" s="574"/>
      <c r="BJC116" s="575"/>
      <c r="BJD116" s="583"/>
      <c r="BJE116" s="590"/>
      <c r="BJF116" s="589"/>
      <c r="BJG116" s="585"/>
      <c r="BJH116" s="577"/>
      <c r="BJI116" s="304"/>
      <c r="BJJ116" s="572"/>
      <c r="BJK116" s="573"/>
      <c r="BJL116" s="574"/>
      <c r="BJM116" s="575"/>
      <c r="BJN116" s="583"/>
      <c r="BJO116" s="590"/>
      <c r="BJP116" s="589"/>
      <c r="BJQ116" s="585"/>
      <c r="BJR116" s="577"/>
      <c r="BJS116" s="304"/>
      <c r="BJT116" s="572"/>
      <c r="BJU116" s="573"/>
      <c r="BJV116" s="574"/>
      <c r="BJW116" s="575"/>
      <c r="BJX116" s="583"/>
      <c r="BJY116" s="590"/>
      <c r="BJZ116" s="589"/>
      <c r="BKA116" s="585"/>
      <c r="BKB116" s="577"/>
      <c r="BKC116" s="304"/>
      <c r="BKD116" s="572"/>
      <c r="BKE116" s="573"/>
      <c r="BKF116" s="574"/>
      <c r="BKG116" s="575"/>
      <c r="BKH116" s="583"/>
      <c r="BKI116" s="590"/>
      <c r="BKJ116" s="589"/>
      <c r="BKK116" s="585"/>
      <c r="BKL116" s="577"/>
      <c r="BKM116" s="304"/>
      <c r="BKN116" s="572"/>
      <c r="BKO116" s="573"/>
      <c r="BKP116" s="574"/>
      <c r="BKQ116" s="575"/>
      <c r="BKR116" s="583"/>
      <c r="BKS116" s="590"/>
      <c r="BKT116" s="589"/>
      <c r="BKU116" s="585"/>
      <c r="BKV116" s="577"/>
      <c r="BKW116" s="304"/>
      <c r="BKX116" s="572"/>
      <c r="BKY116" s="573"/>
      <c r="BKZ116" s="574"/>
      <c r="BLA116" s="575"/>
      <c r="BLB116" s="583"/>
      <c r="BLC116" s="590"/>
      <c r="BLD116" s="589"/>
      <c r="BLE116" s="585"/>
      <c r="BLF116" s="577"/>
      <c r="BLG116" s="304"/>
      <c r="BLH116" s="572"/>
      <c r="BLI116" s="573"/>
      <c r="BLJ116" s="574"/>
      <c r="BLK116" s="575"/>
      <c r="BLL116" s="583"/>
      <c r="BLM116" s="590"/>
      <c r="BLN116" s="589"/>
      <c r="BLO116" s="585"/>
      <c r="BLP116" s="577"/>
      <c r="BLQ116" s="304"/>
      <c r="BLR116" s="572"/>
      <c r="BLS116" s="573"/>
      <c r="BLT116" s="574"/>
      <c r="BLU116" s="575"/>
      <c r="BLV116" s="583"/>
      <c r="BLW116" s="590"/>
      <c r="BLX116" s="589"/>
      <c r="BLY116" s="585"/>
      <c r="BLZ116" s="577"/>
      <c r="BMA116" s="304"/>
      <c r="BMB116" s="572"/>
      <c r="BMC116" s="573"/>
      <c r="BMD116" s="574"/>
      <c r="BME116" s="575"/>
      <c r="BMF116" s="583"/>
      <c r="BMG116" s="590"/>
      <c r="BMH116" s="589"/>
      <c r="BMI116" s="585"/>
      <c r="BMJ116" s="577"/>
      <c r="BMK116" s="304"/>
      <c r="BML116" s="572"/>
      <c r="BMM116" s="573"/>
      <c r="BMN116" s="574"/>
      <c r="BMO116" s="575"/>
      <c r="BMP116" s="583"/>
      <c r="BMQ116" s="590"/>
      <c r="BMR116" s="589"/>
      <c r="BMS116" s="585"/>
      <c r="BMT116" s="577"/>
      <c r="BMU116" s="304"/>
      <c r="BMV116" s="572"/>
      <c r="BMW116" s="573"/>
      <c r="BMX116" s="574"/>
      <c r="BMY116" s="575"/>
      <c r="BMZ116" s="583"/>
      <c r="BNA116" s="590"/>
      <c r="BNB116" s="589"/>
      <c r="BNC116" s="585"/>
      <c r="BND116" s="577"/>
      <c r="BNE116" s="304"/>
      <c r="BNF116" s="572"/>
      <c r="BNG116" s="573"/>
      <c r="BNH116" s="574"/>
      <c r="BNI116" s="575"/>
      <c r="BNJ116" s="583"/>
      <c r="BNK116" s="590"/>
      <c r="BNL116" s="589"/>
      <c r="BNM116" s="585"/>
      <c r="BNN116" s="577"/>
      <c r="BNO116" s="304"/>
      <c r="BNP116" s="572"/>
      <c r="BNQ116" s="573"/>
      <c r="BNR116" s="574"/>
      <c r="BNS116" s="575"/>
      <c r="BNT116" s="583"/>
      <c r="BNU116" s="590"/>
      <c r="BNV116" s="589"/>
      <c r="BNW116" s="585"/>
      <c r="BNX116" s="577"/>
      <c r="BNY116" s="304"/>
      <c r="BNZ116" s="572"/>
      <c r="BOA116" s="573"/>
      <c r="BOB116" s="574"/>
      <c r="BOC116" s="575"/>
      <c r="BOD116" s="583"/>
      <c r="BOE116" s="590"/>
      <c r="BOF116" s="589"/>
      <c r="BOG116" s="585"/>
      <c r="BOH116" s="577"/>
      <c r="BOI116" s="304"/>
      <c r="BOJ116" s="572"/>
      <c r="BOK116" s="573"/>
      <c r="BOL116" s="574"/>
      <c r="BOM116" s="575"/>
      <c r="BON116" s="583"/>
      <c r="BOO116" s="590"/>
      <c r="BOP116" s="589"/>
      <c r="BOQ116" s="585"/>
      <c r="BOR116" s="577"/>
      <c r="BOS116" s="304"/>
      <c r="BOT116" s="572"/>
      <c r="BOU116" s="573"/>
      <c r="BOV116" s="574"/>
      <c r="BOW116" s="575"/>
      <c r="BOX116" s="583"/>
      <c r="BOY116" s="590"/>
      <c r="BOZ116" s="589"/>
      <c r="BPA116" s="585"/>
      <c r="BPB116" s="577"/>
      <c r="BPC116" s="304"/>
      <c r="BPD116" s="572"/>
      <c r="BPE116" s="573"/>
      <c r="BPF116" s="574"/>
      <c r="BPG116" s="575"/>
      <c r="BPH116" s="583"/>
      <c r="BPI116" s="590"/>
      <c r="BPJ116" s="589"/>
      <c r="BPK116" s="585"/>
      <c r="BPL116" s="577"/>
      <c r="BPM116" s="304"/>
      <c r="BPN116" s="572"/>
      <c r="BPO116" s="573"/>
      <c r="BPP116" s="574"/>
      <c r="BPQ116" s="575"/>
      <c r="BPR116" s="583"/>
      <c r="BPS116" s="590"/>
      <c r="BPT116" s="589"/>
      <c r="BPU116" s="585"/>
      <c r="BPV116" s="577"/>
      <c r="BPW116" s="304"/>
      <c r="BPX116" s="572"/>
      <c r="BPY116" s="573"/>
      <c r="BPZ116" s="574"/>
      <c r="BQA116" s="575"/>
      <c r="BQB116" s="583"/>
      <c r="BQC116" s="590"/>
      <c r="BQD116" s="589"/>
      <c r="BQE116" s="585"/>
      <c r="BQF116" s="577"/>
      <c r="BQG116" s="304"/>
      <c r="BQH116" s="572"/>
      <c r="BQI116" s="573"/>
      <c r="BQJ116" s="574"/>
      <c r="BQK116" s="575"/>
      <c r="BQL116" s="583"/>
      <c r="BQM116" s="590"/>
      <c r="BQN116" s="589"/>
      <c r="BQO116" s="585"/>
      <c r="BQP116" s="577"/>
      <c r="BQQ116" s="304"/>
      <c r="BQR116" s="572"/>
      <c r="BQS116" s="573"/>
      <c r="BQT116" s="574"/>
      <c r="BQU116" s="575"/>
      <c r="BQV116" s="583"/>
      <c r="BQW116" s="590"/>
      <c r="BQX116" s="589"/>
      <c r="BQY116" s="585"/>
      <c r="BQZ116" s="577"/>
      <c r="BRA116" s="304"/>
      <c r="BRB116" s="572"/>
      <c r="BRC116" s="573"/>
      <c r="BRD116" s="574"/>
      <c r="BRE116" s="575"/>
      <c r="BRF116" s="583"/>
      <c r="BRG116" s="590"/>
      <c r="BRH116" s="589"/>
      <c r="BRI116" s="585"/>
      <c r="BRJ116" s="577"/>
      <c r="BRK116" s="304"/>
      <c r="BRL116" s="572"/>
      <c r="BRM116" s="573"/>
      <c r="BRN116" s="574"/>
      <c r="BRO116" s="575"/>
      <c r="BRP116" s="583"/>
      <c r="BRQ116" s="590"/>
      <c r="BRR116" s="589"/>
      <c r="BRS116" s="585"/>
      <c r="BRT116" s="577"/>
      <c r="BRU116" s="304"/>
      <c r="BRV116" s="572"/>
      <c r="BRW116" s="573"/>
      <c r="BRX116" s="574"/>
      <c r="BRY116" s="575"/>
      <c r="BRZ116" s="583"/>
      <c r="BSA116" s="590"/>
      <c r="BSB116" s="589"/>
      <c r="BSC116" s="585"/>
      <c r="BSD116" s="577"/>
      <c r="BSE116" s="304"/>
      <c r="BSF116" s="572"/>
      <c r="BSG116" s="573"/>
      <c r="BSH116" s="574"/>
      <c r="BSI116" s="575"/>
      <c r="BSJ116" s="583"/>
      <c r="BSK116" s="590"/>
      <c r="BSL116" s="589"/>
      <c r="BSM116" s="585"/>
      <c r="BSN116" s="577"/>
      <c r="BSO116" s="304"/>
      <c r="BSP116" s="572"/>
      <c r="BSQ116" s="573"/>
      <c r="BSR116" s="574"/>
      <c r="BSS116" s="575"/>
      <c r="BST116" s="583"/>
      <c r="BSU116" s="590"/>
      <c r="BSV116" s="589"/>
      <c r="BSW116" s="585"/>
      <c r="BSX116" s="577"/>
      <c r="BSY116" s="304"/>
      <c r="BSZ116" s="572"/>
      <c r="BTA116" s="573"/>
      <c r="BTB116" s="574"/>
      <c r="BTC116" s="575"/>
      <c r="BTD116" s="583"/>
      <c r="BTE116" s="590"/>
      <c r="BTF116" s="589"/>
      <c r="BTG116" s="585"/>
      <c r="BTH116" s="577"/>
      <c r="BTI116" s="304"/>
      <c r="BTJ116" s="572"/>
      <c r="BTK116" s="573"/>
      <c r="BTL116" s="574"/>
      <c r="BTM116" s="575"/>
      <c r="BTN116" s="583"/>
      <c r="BTO116" s="590"/>
      <c r="BTP116" s="589"/>
      <c r="BTQ116" s="585"/>
      <c r="BTR116" s="577"/>
      <c r="BTS116" s="304"/>
      <c r="BTT116" s="572"/>
      <c r="BTU116" s="573"/>
      <c r="BTV116" s="574"/>
      <c r="BTW116" s="575"/>
      <c r="BTX116" s="583"/>
      <c r="BTY116" s="590"/>
      <c r="BTZ116" s="589"/>
      <c r="BUA116" s="585"/>
      <c r="BUB116" s="577"/>
      <c r="BUC116" s="304"/>
      <c r="BUD116" s="572"/>
      <c r="BUE116" s="573"/>
      <c r="BUF116" s="574"/>
      <c r="BUG116" s="575"/>
      <c r="BUH116" s="583"/>
      <c r="BUI116" s="590"/>
      <c r="BUJ116" s="589"/>
      <c r="BUK116" s="585"/>
      <c r="BUL116" s="577"/>
      <c r="BUM116" s="304"/>
      <c r="BUN116" s="572"/>
      <c r="BUO116" s="573"/>
      <c r="BUP116" s="574"/>
      <c r="BUQ116" s="575"/>
      <c r="BUR116" s="583"/>
      <c r="BUS116" s="590"/>
      <c r="BUT116" s="589"/>
      <c r="BUU116" s="585"/>
      <c r="BUV116" s="577"/>
      <c r="BUW116" s="304"/>
      <c r="BUX116" s="572"/>
      <c r="BUY116" s="573"/>
      <c r="BUZ116" s="574"/>
      <c r="BVA116" s="575"/>
      <c r="BVB116" s="583"/>
      <c r="BVC116" s="590"/>
      <c r="BVD116" s="589"/>
      <c r="BVE116" s="585"/>
      <c r="BVF116" s="577"/>
      <c r="BVG116" s="304"/>
      <c r="BVH116" s="572"/>
      <c r="BVI116" s="573"/>
      <c r="BVJ116" s="574"/>
      <c r="BVK116" s="575"/>
      <c r="BVL116" s="583"/>
      <c r="BVM116" s="590"/>
      <c r="BVN116" s="589"/>
      <c r="BVO116" s="585"/>
      <c r="BVP116" s="577"/>
      <c r="BVQ116" s="304"/>
      <c r="BVR116" s="572"/>
      <c r="BVS116" s="573"/>
      <c r="BVT116" s="574"/>
      <c r="BVU116" s="575"/>
      <c r="BVV116" s="583"/>
      <c r="BVW116" s="590"/>
      <c r="BVX116" s="589"/>
      <c r="BVY116" s="585"/>
      <c r="BVZ116" s="577"/>
      <c r="BWA116" s="304"/>
      <c r="BWB116" s="572"/>
      <c r="BWC116" s="573"/>
      <c r="BWD116" s="574"/>
      <c r="BWE116" s="575"/>
      <c r="BWF116" s="583"/>
      <c r="BWG116" s="590"/>
      <c r="BWH116" s="589"/>
      <c r="BWI116" s="585"/>
      <c r="BWJ116" s="577"/>
      <c r="BWK116" s="304"/>
      <c r="BWL116" s="572"/>
      <c r="BWM116" s="573"/>
      <c r="BWN116" s="574"/>
      <c r="BWO116" s="575"/>
      <c r="BWP116" s="583"/>
      <c r="BWQ116" s="590"/>
      <c r="BWR116" s="589"/>
      <c r="BWS116" s="585"/>
      <c r="BWT116" s="577"/>
      <c r="BWU116" s="304"/>
      <c r="BWV116" s="572"/>
      <c r="BWW116" s="573"/>
      <c r="BWX116" s="574"/>
      <c r="BWY116" s="575"/>
      <c r="BWZ116" s="583"/>
      <c r="BXA116" s="590"/>
      <c r="BXB116" s="589"/>
      <c r="BXC116" s="585"/>
      <c r="BXD116" s="577"/>
      <c r="BXE116" s="304"/>
      <c r="BXF116" s="572"/>
      <c r="BXG116" s="573"/>
      <c r="BXH116" s="574"/>
      <c r="BXI116" s="575"/>
      <c r="BXJ116" s="583"/>
      <c r="BXK116" s="590"/>
      <c r="BXL116" s="589"/>
      <c r="BXM116" s="585"/>
      <c r="BXN116" s="577"/>
      <c r="BXO116" s="304"/>
      <c r="BXP116" s="572"/>
      <c r="BXQ116" s="573"/>
      <c r="BXR116" s="574"/>
      <c r="BXS116" s="575"/>
      <c r="BXT116" s="583"/>
      <c r="BXU116" s="590"/>
      <c r="BXV116" s="589"/>
      <c r="BXW116" s="585"/>
      <c r="BXX116" s="577"/>
      <c r="BXY116" s="304"/>
      <c r="BXZ116" s="572"/>
      <c r="BYA116" s="573"/>
      <c r="BYB116" s="574"/>
      <c r="BYC116" s="575"/>
      <c r="BYD116" s="583"/>
      <c r="BYE116" s="590"/>
      <c r="BYF116" s="589"/>
      <c r="BYG116" s="585"/>
      <c r="BYH116" s="577"/>
      <c r="BYI116" s="304"/>
      <c r="BYJ116" s="572"/>
      <c r="BYK116" s="573"/>
      <c r="BYL116" s="574"/>
      <c r="BYM116" s="575"/>
      <c r="BYN116" s="583"/>
      <c r="BYO116" s="590"/>
      <c r="BYP116" s="589"/>
      <c r="BYQ116" s="585"/>
      <c r="BYR116" s="577"/>
      <c r="BYS116" s="304"/>
      <c r="BYT116" s="572"/>
      <c r="BYU116" s="573"/>
      <c r="BYV116" s="574"/>
      <c r="BYW116" s="575"/>
      <c r="BYX116" s="583"/>
      <c r="BYY116" s="590"/>
      <c r="BYZ116" s="589"/>
      <c r="BZA116" s="585"/>
      <c r="BZB116" s="577"/>
      <c r="BZC116" s="304"/>
      <c r="BZD116" s="572"/>
      <c r="BZE116" s="573"/>
      <c r="BZF116" s="574"/>
      <c r="BZG116" s="575"/>
      <c r="BZH116" s="583"/>
      <c r="BZI116" s="590"/>
      <c r="BZJ116" s="589"/>
      <c r="BZK116" s="585"/>
      <c r="BZL116" s="577"/>
      <c r="BZM116" s="304"/>
      <c r="BZN116" s="572"/>
      <c r="BZO116" s="573"/>
      <c r="BZP116" s="574"/>
      <c r="BZQ116" s="575"/>
      <c r="BZR116" s="583"/>
      <c r="BZS116" s="590"/>
      <c r="BZT116" s="589"/>
      <c r="BZU116" s="585"/>
      <c r="BZV116" s="577"/>
      <c r="BZW116" s="304"/>
      <c r="BZX116" s="572"/>
      <c r="BZY116" s="573"/>
      <c r="BZZ116" s="574"/>
      <c r="CAA116" s="575"/>
      <c r="CAB116" s="583"/>
      <c r="CAC116" s="590"/>
      <c r="CAD116" s="589"/>
      <c r="CAE116" s="585"/>
      <c r="CAF116" s="577"/>
      <c r="CAG116" s="304"/>
      <c r="CAH116" s="572"/>
      <c r="CAI116" s="573"/>
      <c r="CAJ116" s="574"/>
      <c r="CAK116" s="575"/>
      <c r="CAL116" s="583"/>
      <c r="CAM116" s="590"/>
      <c r="CAN116" s="589"/>
      <c r="CAO116" s="585"/>
      <c r="CAP116" s="577"/>
      <c r="CAQ116" s="304"/>
      <c r="CAR116" s="572"/>
      <c r="CAS116" s="573"/>
      <c r="CAT116" s="574"/>
      <c r="CAU116" s="575"/>
      <c r="CAV116" s="583"/>
      <c r="CAW116" s="590"/>
      <c r="CAX116" s="589"/>
      <c r="CAY116" s="585"/>
      <c r="CAZ116" s="577"/>
      <c r="CBA116" s="304"/>
      <c r="CBB116" s="572"/>
      <c r="CBC116" s="573"/>
      <c r="CBD116" s="574"/>
      <c r="CBE116" s="575"/>
      <c r="CBF116" s="583"/>
      <c r="CBG116" s="590"/>
      <c r="CBH116" s="589"/>
      <c r="CBI116" s="585"/>
      <c r="CBJ116" s="577"/>
      <c r="CBK116" s="304"/>
      <c r="CBL116" s="572"/>
      <c r="CBM116" s="573"/>
      <c r="CBN116" s="574"/>
      <c r="CBO116" s="575"/>
      <c r="CBP116" s="583"/>
      <c r="CBQ116" s="590"/>
      <c r="CBR116" s="589"/>
      <c r="CBS116" s="585"/>
      <c r="CBT116" s="577"/>
      <c r="CBU116" s="304"/>
      <c r="CBV116" s="572"/>
      <c r="CBW116" s="573"/>
      <c r="CBX116" s="574"/>
      <c r="CBY116" s="575"/>
      <c r="CBZ116" s="583"/>
      <c r="CCA116" s="590"/>
      <c r="CCB116" s="589"/>
      <c r="CCC116" s="585"/>
      <c r="CCD116" s="577"/>
      <c r="CCE116" s="304"/>
      <c r="CCF116" s="572"/>
      <c r="CCG116" s="573"/>
      <c r="CCH116" s="574"/>
      <c r="CCI116" s="575"/>
      <c r="CCJ116" s="583"/>
      <c r="CCK116" s="590"/>
      <c r="CCL116" s="589"/>
      <c r="CCM116" s="585"/>
      <c r="CCN116" s="577"/>
      <c r="CCO116" s="304"/>
      <c r="CCP116" s="572"/>
      <c r="CCQ116" s="573"/>
      <c r="CCR116" s="574"/>
      <c r="CCS116" s="575"/>
      <c r="CCT116" s="583"/>
      <c r="CCU116" s="590"/>
      <c r="CCV116" s="589"/>
      <c r="CCW116" s="585"/>
      <c r="CCX116" s="577"/>
      <c r="CCY116" s="304"/>
      <c r="CCZ116" s="572"/>
      <c r="CDA116" s="573"/>
      <c r="CDB116" s="574"/>
      <c r="CDC116" s="575"/>
      <c r="CDD116" s="583"/>
      <c r="CDE116" s="590"/>
      <c r="CDF116" s="589"/>
      <c r="CDG116" s="585"/>
      <c r="CDH116" s="577"/>
      <c r="CDI116" s="304"/>
      <c r="CDJ116" s="572"/>
      <c r="CDK116" s="573"/>
      <c r="CDL116" s="574"/>
      <c r="CDM116" s="575"/>
      <c r="CDN116" s="583"/>
      <c r="CDO116" s="590"/>
      <c r="CDP116" s="589"/>
      <c r="CDQ116" s="585"/>
      <c r="CDR116" s="577"/>
      <c r="CDS116" s="304"/>
      <c r="CDT116" s="572"/>
      <c r="CDU116" s="573"/>
      <c r="CDV116" s="574"/>
      <c r="CDW116" s="575"/>
      <c r="CDX116" s="583"/>
      <c r="CDY116" s="590"/>
      <c r="CDZ116" s="589"/>
      <c r="CEA116" s="585"/>
      <c r="CEB116" s="577"/>
      <c r="CEC116" s="304"/>
      <c r="CED116" s="572"/>
      <c r="CEE116" s="573"/>
      <c r="CEF116" s="574"/>
      <c r="CEG116" s="575"/>
      <c r="CEH116" s="583"/>
      <c r="CEI116" s="590"/>
      <c r="CEJ116" s="589"/>
      <c r="CEK116" s="585"/>
      <c r="CEL116" s="577"/>
      <c r="CEM116" s="304"/>
      <c r="CEN116" s="572"/>
      <c r="CEO116" s="573"/>
      <c r="CEP116" s="574"/>
      <c r="CEQ116" s="575"/>
      <c r="CER116" s="583"/>
      <c r="CES116" s="590"/>
      <c r="CET116" s="589"/>
      <c r="CEU116" s="585"/>
      <c r="CEV116" s="577"/>
      <c r="CEW116" s="304"/>
      <c r="CEX116" s="572"/>
      <c r="CEY116" s="573"/>
      <c r="CEZ116" s="574"/>
      <c r="CFA116" s="575"/>
      <c r="CFB116" s="583"/>
      <c r="CFC116" s="590"/>
      <c r="CFD116" s="589"/>
      <c r="CFE116" s="585"/>
      <c r="CFF116" s="577"/>
      <c r="CFG116" s="304"/>
      <c r="CFH116" s="572"/>
      <c r="CFI116" s="573"/>
      <c r="CFJ116" s="574"/>
      <c r="CFK116" s="575"/>
      <c r="CFL116" s="583"/>
      <c r="CFM116" s="590"/>
      <c r="CFN116" s="589"/>
      <c r="CFO116" s="585"/>
      <c r="CFP116" s="577"/>
      <c r="CFQ116" s="304"/>
      <c r="CFR116" s="572"/>
      <c r="CFS116" s="573"/>
      <c r="CFT116" s="574"/>
      <c r="CFU116" s="575"/>
      <c r="CFV116" s="583"/>
      <c r="CFW116" s="590"/>
      <c r="CFX116" s="589"/>
      <c r="CFY116" s="585"/>
      <c r="CFZ116" s="577"/>
      <c r="CGA116" s="304"/>
      <c r="CGB116" s="572"/>
      <c r="CGC116" s="573"/>
      <c r="CGD116" s="574"/>
      <c r="CGE116" s="575"/>
      <c r="CGF116" s="583"/>
      <c r="CGG116" s="590"/>
      <c r="CGH116" s="589"/>
      <c r="CGI116" s="585"/>
      <c r="CGJ116" s="577"/>
      <c r="CGK116" s="304"/>
      <c r="CGL116" s="572"/>
      <c r="CGM116" s="573"/>
      <c r="CGN116" s="574"/>
      <c r="CGO116" s="575"/>
      <c r="CGP116" s="583"/>
      <c r="CGQ116" s="590"/>
      <c r="CGR116" s="589"/>
      <c r="CGS116" s="585"/>
      <c r="CGT116" s="577"/>
      <c r="CGU116" s="304"/>
      <c r="CGV116" s="572"/>
      <c r="CGW116" s="573"/>
      <c r="CGX116" s="574"/>
      <c r="CGY116" s="575"/>
      <c r="CGZ116" s="583"/>
      <c r="CHA116" s="590"/>
      <c r="CHB116" s="589"/>
      <c r="CHC116" s="585"/>
      <c r="CHD116" s="577"/>
      <c r="CHE116" s="304"/>
      <c r="CHF116" s="572"/>
      <c r="CHG116" s="573"/>
      <c r="CHH116" s="574"/>
      <c r="CHI116" s="575"/>
      <c r="CHJ116" s="583"/>
      <c r="CHK116" s="590"/>
      <c r="CHL116" s="589"/>
      <c r="CHM116" s="585"/>
      <c r="CHN116" s="577"/>
      <c r="CHO116" s="304"/>
      <c r="CHP116" s="572"/>
      <c r="CHQ116" s="573"/>
      <c r="CHR116" s="574"/>
      <c r="CHS116" s="575"/>
      <c r="CHT116" s="583"/>
      <c r="CHU116" s="590"/>
      <c r="CHV116" s="589"/>
      <c r="CHW116" s="585"/>
      <c r="CHX116" s="577"/>
      <c r="CHY116" s="304"/>
      <c r="CHZ116" s="572"/>
      <c r="CIA116" s="573"/>
      <c r="CIB116" s="574"/>
      <c r="CIC116" s="575"/>
      <c r="CID116" s="583"/>
      <c r="CIE116" s="590"/>
      <c r="CIF116" s="589"/>
      <c r="CIG116" s="585"/>
      <c r="CIH116" s="577"/>
      <c r="CII116" s="304"/>
      <c r="CIJ116" s="572"/>
      <c r="CIK116" s="573"/>
      <c r="CIL116" s="574"/>
      <c r="CIM116" s="575"/>
      <c r="CIN116" s="583"/>
      <c r="CIO116" s="590"/>
      <c r="CIP116" s="589"/>
      <c r="CIQ116" s="585"/>
      <c r="CIR116" s="577"/>
      <c r="CIS116" s="304"/>
      <c r="CIT116" s="572"/>
      <c r="CIU116" s="573"/>
      <c r="CIV116" s="574"/>
      <c r="CIW116" s="575"/>
      <c r="CIX116" s="583"/>
      <c r="CIY116" s="590"/>
      <c r="CIZ116" s="589"/>
      <c r="CJA116" s="585"/>
      <c r="CJB116" s="577"/>
      <c r="CJC116" s="304"/>
      <c r="CJD116" s="572"/>
      <c r="CJE116" s="573"/>
      <c r="CJF116" s="574"/>
      <c r="CJG116" s="575"/>
      <c r="CJH116" s="583"/>
      <c r="CJI116" s="590"/>
      <c r="CJJ116" s="589"/>
      <c r="CJK116" s="585"/>
      <c r="CJL116" s="577"/>
      <c r="CJM116" s="304"/>
      <c r="CJN116" s="572"/>
      <c r="CJO116" s="573"/>
      <c r="CJP116" s="574"/>
      <c r="CJQ116" s="575"/>
      <c r="CJR116" s="583"/>
      <c r="CJS116" s="590"/>
      <c r="CJT116" s="589"/>
      <c r="CJU116" s="585"/>
      <c r="CJV116" s="577"/>
      <c r="CJW116" s="304"/>
      <c r="CJX116" s="572"/>
      <c r="CJY116" s="573"/>
      <c r="CJZ116" s="574"/>
      <c r="CKA116" s="575"/>
      <c r="CKB116" s="583"/>
      <c r="CKC116" s="590"/>
      <c r="CKD116" s="589"/>
      <c r="CKE116" s="585"/>
      <c r="CKF116" s="577"/>
      <c r="CKG116" s="304"/>
      <c r="CKH116" s="572"/>
      <c r="CKI116" s="573"/>
      <c r="CKJ116" s="574"/>
      <c r="CKK116" s="575"/>
      <c r="CKL116" s="583"/>
      <c r="CKM116" s="590"/>
      <c r="CKN116" s="589"/>
      <c r="CKO116" s="585"/>
      <c r="CKP116" s="577"/>
      <c r="CKQ116" s="304"/>
      <c r="CKR116" s="572"/>
      <c r="CKS116" s="573"/>
      <c r="CKT116" s="574"/>
      <c r="CKU116" s="575"/>
      <c r="CKV116" s="583"/>
      <c r="CKW116" s="590"/>
      <c r="CKX116" s="589"/>
      <c r="CKY116" s="585"/>
      <c r="CKZ116" s="577"/>
      <c r="CLA116" s="304"/>
      <c r="CLB116" s="572"/>
      <c r="CLC116" s="573"/>
      <c r="CLD116" s="574"/>
      <c r="CLE116" s="575"/>
      <c r="CLF116" s="583"/>
      <c r="CLG116" s="590"/>
      <c r="CLH116" s="589"/>
      <c r="CLI116" s="585"/>
      <c r="CLJ116" s="577"/>
      <c r="CLK116" s="304"/>
      <c r="CLL116" s="572"/>
      <c r="CLM116" s="573"/>
      <c r="CLN116" s="574"/>
      <c r="CLO116" s="575"/>
      <c r="CLP116" s="583"/>
      <c r="CLQ116" s="590"/>
      <c r="CLR116" s="589"/>
      <c r="CLS116" s="585"/>
      <c r="CLT116" s="577"/>
      <c r="CLU116" s="304"/>
      <c r="CLV116" s="572"/>
      <c r="CLW116" s="573"/>
      <c r="CLX116" s="574"/>
      <c r="CLY116" s="575"/>
      <c r="CLZ116" s="583"/>
      <c r="CMA116" s="590"/>
      <c r="CMB116" s="589"/>
      <c r="CMC116" s="585"/>
      <c r="CMD116" s="577"/>
      <c r="CME116" s="304"/>
      <c r="CMF116" s="572"/>
      <c r="CMG116" s="573"/>
      <c r="CMH116" s="574"/>
      <c r="CMI116" s="575"/>
      <c r="CMJ116" s="583"/>
      <c r="CMK116" s="590"/>
      <c r="CML116" s="589"/>
      <c r="CMM116" s="585"/>
      <c r="CMN116" s="577"/>
      <c r="CMO116" s="304"/>
      <c r="CMP116" s="572"/>
      <c r="CMQ116" s="573"/>
      <c r="CMR116" s="574"/>
      <c r="CMS116" s="575"/>
      <c r="CMT116" s="583"/>
      <c r="CMU116" s="590"/>
      <c r="CMV116" s="589"/>
      <c r="CMW116" s="585"/>
      <c r="CMX116" s="577"/>
      <c r="CMY116" s="304"/>
      <c r="CMZ116" s="572"/>
      <c r="CNA116" s="573"/>
      <c r="CNB116" s="574"/>
      <c r="CNC116" s="575"/>
      <c r="CND116" s="583"/>
      <c r="CNE116" s="590"/>
      <c r="CNF116" s="589"/>
      <c r="CNG116" s="585"/>
      <c r="CNH116" s="577"/>
      <c r="CNI116" s="304"/>
      <c r="CNJ116" s="572"/>
      <c r="CNK116" s="573"/>
      <c r="CNL116" s="574"/>
      <c r="CNM116" s="575"/>
      <c r="CNN116" s="583"/>
      <c r="CNO116" s="590"/>
      <c r="CNP116" s="589"/>
      <c r="CNQ116" s="585"/>
      <c r="CNR116" s="577"/>
      <c r="CNS116" s="304"/>
      <c r="CNT116" s="572"/>
      <c r="CNU116" s="573"/>
      <c r="CNV116" s="574"/>
      <c r="CNW116" s="575"/>
      <c r="CNX116" s="583"/>
      <c r="CNY116" s="590"/>
      <c r="CNZ116" s="589"/>
      <c r="COA116" s="585"/>
      <c r="COB116" s="577"/>
      <c r="COC116" s="304"/>
      <c r="COD116" s="572"/>
      <c r="COE116" s="573"/>
      <c r="COF116" s="574"/>
      <c r="COG116" s="575"/>
      <c r="COH116" s="583"/>
      <c r="COI116" s="590"/>
      <c r="COJ116" s="589"/>
      <c r="COK116" s="585"/>
      <c r="COL116" s="577"/>
      <c r="COM116" s="304"/>
      <c r="CON116" s="572"/>
      <c r="COO116" s="573"/>
      <c r="COP116" s="574"/>
      <c r="COQ116" s="575"/>
      <c r="COR116" s="583"/>
      <c r="COS116" s="590"/>
      <c r="COT116" s="589"/>
      <c r="COU116" s="585"/>
      <c r="COV116" s="577"/>
      <c r="COW116" s="304"/>
      <c r="COX116" s="572"/>
      <c r="COY116" s="573"/>
      <c r="COZ116" s="574"/>
      <c r="CPA116" s="575"/>
      <c r="CPB116" s="583"/>
      <c r="CPC116" s="590"/>
      <c r="CPD116" s="589"/>
      <c r="CPE116" s="585"/>
      <c r="CPF116" s="577"/>
      <c r="CPG116" s="304"/>
      <c r="CPH116" s="572"/>
      <c r="CPI116" s="573"/>
      <c r="CPJ116" s="574"/>
      <c r="CPK116" s="575"/>
      <c r="CPL116" s="583"/>
      <c r="CPM116" s="590"/>
      <c r="CPN116" s="589"/>
      <c r="CPO116" s="585"/>
      <c r="CPP116" s="577"/>
      <c r="CPQ116" s="304"/>
      <c r="CPR116" s="572"/>
      <c r="CPS116" s="573"/>
      <c r="CPT116" s="574"/>
      <c r="CPU116" s="575"/>
      <c r="CPV116" s="583"/>
      <c r="CPW116" s="590"/>
      <c r="CPX116" s="589"/>
      <c r="CPY116" s="585"/>
      <c r="CPZ116" s="577"/>
      <c r="CQA116" s="304"/>
      <c r="CQB116" s="572"/>
      <c r="CQC116" s="573"/>
      <c r="CQD116" s="574"/>
      <c r="CQE116" s="575"/>
      <c r="CQF116" s="583"/>
      <c r="CQG116" s="590"/>
      <c r="CQH116" s="589"/>
      <c r="CQI116" s="585"/>
      <c r="CQJ116" s="577"/>
      <c r="CQK116" s="304"/>
      <c r="CQL116" s="572"/>
      <c r="CQM116" s="573"/>
      <c r="CQN116" s="574"/>
      <c r="CQO116" s="575"/>
      <c r="CQP116" s="583"/>
      <c r="CQQ116" s="590"/>
      <c r="CQR116" s="589"/>
      <c r="CQS116" s="585"/>
      <c r="CQT116" s="577"/>
      <c r="CQU116" s="304"/>
      <c r="CQV116" s="572"/>
      <c r="CQW116" s="573"/>
      <c r="CQX116" s="574"/>
      <c r="CQY116" s="575"/>
      <c r="CQZ116" s="583"/>
      <c r="CRA116" s="590"/>
      <c r="CRB116" s="589"/>
      <c r="CRC116" s="585"/>
      <c r="CRD116" s="577"/>
      <c r="CRE116" s="304"/>
      <c r="CRF116" s="572"/>
      <c r="CRG116" s="573"/>
      <c r="CRH116" s="574"/>
      <c r="CRI116" s="575"/>
      <c r="CRJ116" s="583"/>
      <c r="CRK116" s="590"/>
      <c r="CRL116" s="589"/>
      <c r="CRM116" s="585"/>
      <c r="CRN116" s="577"/>
      <c r="CRO116" s="304"/>
      <c r="CRP116" s="572"/>
      <c r="CRQ116" s="573"/>
      <c r="CRR116" s="574"/>
      <c r="CRS116" s="575"/>
      <c r="CRT116" s="583"/>
      <c r="CRU116" s="590"/>
      <c r="CRV116" s="589"/>
      <c r="CRW116" s="585"/>
      <c r="CRX116" s="577"/>
      <c r="CRY116" s="304"/>
      <c r="CRZ116" s="572"/>
      <c r="CSA116" s="573"/>
      <c r="CSB116" s="574"/>
      <c r="CSC116" s="575"/>
      <c r="CSD116" s="583"/>
      <c r="CSE116" s="590"/>
      <c r="CSF116" s="589"/>
      <c r="CSG116" s="585"/>
      <c r="CSH116" s="577"/>
      <c r="CSI116" s="304"/>
      <c r="CSJ116" s="572"/>
      <c r="CSK116" s="573"/>
      <c r="CSL116" s="574"/>
      <c r="CSM116" s="575"/>
      <c r="CSN116" s="583"/>
      <c r="CSO116" s="590"/>
      <c r="CSP116" s="589"/>
      <c r="CSQ116" s="585"/>
      <c r="CSR116" s="577"/>
      <c r="CSS116" s="304"/>
      <c r="CST116" s="572"/>
      <c r="CSU116" s="573"/>
      <c r="CSV116" s="574"/>
      <c r="CSW116" s="575"/>
      <c r="CSX116" s="583"/>
      <c r="CSY116" s="590"/>
      <c r="CSZ116" s="589"/>
      <c r="CTA116" s="585"/>
      <c r="CTB116" s="577"/>
      <c r="CTC116" s="304"/>
      <c r="CTD116" s="572"/>
      <c r="CTE116" s="573"/>
      <c r="CTF116" s="574"/>
      <c r="CTG116" s="575"/>
      <c r="CTH116" s="583"/>
      <c r="CTI116" s="590"/>
      <c r="CTJ116" s="589"/>
      <c r="CTK116" s="585"/>
      <c r="CTL116" s="577"/>
      <c r="CTM116" s="304"/>
      <c r="CTN116" s="572"/>
      <c r="CTO116" s="573"/>
      <c r="CTP116" s="574"/>
      <c r="CTQ116" s="575"/>
      <c r="CTR116" s="583"/>
      <c r="CTS116" s="590"/>
      <c r="CTT116" s="589"/>
      <c r="CTU116" s="585"/>
      <c r="CTV116" s="577"/>
      <c r="CTW116" s="304"/>
      <c r="CTX116" s="572"/>
      <c r="CTY116" s="573"/>
      <c r="CTZ116" s="574"/>
      <c r="CUA116" s="575"/>
      <c r="CUB116" s="583"/>
      <c r="CUC116" s="590"/>
      <c r="CUD116" s="589"/>
      <c r="CUE116" s="585"/>
      <c r="CUF116" s="577"/>
      <c r="CUG116" s="304"/>
      <c r="CUH116" s="572"/>
      <c r="CUI116" s="573"/>
      <c r="CUJ116" s="574"/>
      <c r="CUK116" s="575"/>
      <c r="CUL116" s="583"/>
      <c r="CUM116" s="590"/>
      <c r="CUN116" s="589"/>
      <c r="CUO116" s="585"/>
      <c r="CUP116" s="577"/>
      <c r="CUQ116" s="304"/>
      <c r="CUR116" s="572"/>
      <c r="CUS116" s="573"/>
      <c r="CUT116" s="574"/>
      <c r="CUU116" s="575"/>
      <c r="CUV116" s="583"/>
      <c r="CUW116" s="590"/>
      <c r="CUX116" s="589"/>
      <c r="CUY116" s="585"/>
      <c r="CUZ116" s="577"/>
      <c r="CVA116" s="304"/>
      <c r="CVB116" s="572"/>
      <c r="CVC116" s="573"/>
      <c r="CVD116" s="574"/>
      <c r="CVE116" s="575"/>
      <c r="CVF116" s="583"/>
      <c r="CVG116" s="590"/>
      <c r="CVH116" s="589"/>
      <c r="CVI116" s="585"/>
      <c r="CVJ116" s="577"/>
      <c r="CVK116" s="304"/>
      <c r="CVL116" s="572"/>
      <c r="CVM116" s="573"/>
      <c r="CVN116" s="574"/>
      <c r="CVO116" s="575"/>
      <c r="CVP116" s="583"/>
      <c r="CVQ116" s="590"/>
      <c r="CVR116" s="589"/>
      <c r="CVS116" s="585"/>
      <c r="CVT116" s="577"/>
      <c r="CVU116" s="304"/>
      <c r="CVV116" s="572"/>
      <c r="CVW116" s="573"/>
      <c r="CVX116" s="574"/>
      <c r="CVY116" s="575"/>
      <c r="CVZ116" s="583"/>
      <c r="CWA116" s="590"/>
      <c r="CWB116" s="589"/>
      <c r="CWC116" s="585"/>
      <c r="CWD116" s="577"/>
      <c r="CWE116" s="304"/>
      <c r="CWF116" s="572"/>
      <c r="CWG116" s="573"/>
      <c r="CWH116" s="574"/>
      <c r="CWI116" s="575"/>
      <c r="CWJ116" s="583"/>
      <c r="CWK116" s="590"/>
      <c r="CWL116" s="589"/>
      <c r="CWM116" s="585"/>
      <c r="CWN116" s="577"/>
      <c r="CWO116" s="304"/>
      <c r="CWP116" s="572"/>
      <c r="CWQ116" s="573"/>
      <c r="CWR116" s="574"/>
      <c r="CWS116" s="575"/>
      <c r="CWT116" s="583"/>
      <c r="CWU116" s="590"/>
      <c r="CWV116" s="589"/>
      <c r="CWW116" s="585"/>
      <c r="CWX116" s="577"/>
      <c r="CWY116" s="304"/>
      <c r="CWZ116" s="572"/>
      <c r="CXA116" s="573"/>
      <c r="CXB116" s="574"/>
      <c r="CXC116" s="575"/>
      <c r="CXD116" s="583"/>
      <c r="CXE116" s="590"/>
      <c r="CXF116" s="589"/>
      <c r="CXG116" s="585"/>
      <c r="CXH116" s="577"/>
      <c r="CXI116" s="304"/>
      <c r="CXJ116" s="572"/>
      <c r="CXK116" s="573"/>
      <c r="CXL116" s="574"/>
      <c r="CXM116" s="575"/>
      <c r="CXN116" s="583"/>
      <c r="CXO116" s="590"/>
      <c r="CXP116" s="589"/>
      <c r="CXQ116" s="585"/>
      <c r="CXR116" s="577"/>
      <c r="CXS116" s="304"/>
      <c r="CXT116" s="572"/>
      <c r="CXU116" s="573"/>
      <c r="CXV116" s="574"/>
      <c r="CXW116" s="575"/>
      <c r="CXX116" s="583"/>
      <c r="CXY116" s="590"/>
      <c r="CXZ116" s="589"/>
      <c r="CYA116" s="585"/>
      <c r="CYB116" s="577"/>
      <c r="CYC116" s="304"/>
      <c r="CYD116" s="572"/>
      <c r="CYE116" s="573"/>
      <c r="CYF116" s="574"/>
      <c r="CYG116" s="575"/>
      <c r="CYH116" s="583"/>
      <c r="CYI116" s="590"/>
      <c r="CYJ116" s="589"/>
      <c r="CYK116" s="585"/>
      <c r="CYL116" s="577"/>
      <c r="CYM116" s="304"/>
      <c r="CYN116" s="572"/>
      <c r="CYO116" s="573"/>
      <c r="CYP116" s="574"/>
      <c r="CYQ116" s="575"/>
      <c r="CYR116" s="583"/>
      <c r="CYS116" s="590"/>
      <c r="CYT116" s="589"/>
      <c r="CYU116" s="585"/>
      <c r="CYV116" s="577"/>
      <c r="CYW116" s="304"/>
      <c r="CYX116" s="572"/>
      <c r="CYY116" s="573"/>
      <c r="CYZ116" s="574"/>
      <c r="CZA116" s="575"/>
      <c r="CZB116" s="583"/>
      <c r="CZC116" s="590"/>
      <c r="CZD116" s="589"/>
      <c r="CZE116" s="585"/>
      <c r="CZF116" s="577"/>
      <c r="CZG116" s="304"/>
      <c r="CZH116" s="572"/>
      <c r="CZI116" s="573"/>
      <c r="CZJ116" s="574"/>
      <c r="CZK116" s="575"/>
      <c r="CZL116" s="583"/>
      <c r="CZM116" s="590"/>
      <c r="CZN116" s="589"/>
      <c r="CZO116" s="585"/>
      <c r="CZP116" s="577"/>
      <c r="CZQ116" s="304"/>
      <c r="CZR116" s="572"/>
      <c r="CZS116" s="573"/>
      <c r="CZT116" s="574"/>
      <c r="CZU116" s="575"/>
      <c r="CZV116" s="583"/>
      <c r="CZW116" s="590"/>
      <c r="CZX116" s="589"/>
      <c r="CZY116" s="585"/>
      <c r="CZZ116" s="577"/>
      <c r="DAA116" s="304"/>
      <c r="DAB116" s="572"/>
      <c r="DAC116" s="573"/>
      <c r="DAD116" s="574"/>
      <c r="DAE116" s="575"/>
      <c r="DAF116" s="583"/>
      <c r="DAG116" s="590"/>
      <c r="DAH116" s="589"/>
      <c r="DAI116" s="585"/>
      <c r="DAJ116" s="577"/>
      <c r="DAK116" s="304"/>
      <c r="DAL116" s="572"/>
      <c r="DAM116" s="573"/>
      <c r="DAN116" s="574"/>
      <c r="DAO116" s="575"/>
      <c r="DAP116" s="583"/>
      <c r="DAQ116" s="590"/>
      <c r="DAR116" s="589"/>
      <c r="DAS116" s="585"/>
      <c r="DAT116" s="577"/>
      <c r="DAU116" s="304"/>
      <c r="DAV116" s="572"/>
      <c r="DAW116" s="573"/>
      <c r="DAX116" s="574"/>
      <c r="DAY116" s="575"/>
      <c r="DAZ116" s="583"/>
      <c r="DBA116" s="590"/>
      <c r="DBB116" s="589"/>
      <c r="DBC116" s="585"/>
      <c r="DBD116" s="577"/>
      <c r="DBE116" s="304"/>
      <c r="DBF116" s="572"/>
      <c r="DBG116" s="573"/>
      <c r="DBH116" s="574"/>
      <c r="DBI116" s="575"/>
      <c r="DBJ116" s="583"/>
      <c r="DBK116" s="590"/>
      <c r="DBL116" s="589"/>
      <c r="DBM116" s="585"/>
      <c r="DBN116" s="577"/>
      <c r="DBO116" s="304"/>
      <c r="DBP116" s="572"/>
      <c r="DBQ116" s="573"/>
      <c r="DBR116" s="574"/>
      <c r="DBS116" s="575"/>
      <c r="DBT116" s="583"/>
      <c r="DBU116" s="590"/>
      <c r="DBV116" s="589"/>
      <c r="DBW116" s="585"/>
      <c r="DBX116" s="577"/>
      <c r="DBY116" s="304"/>
      <c r="DBZ116" s="572"/>
      <c r="DCA116" s="573"/>
      <c r="DCB116" s="574"/>
      <c r="DCC116" s="575"/>
      <c r="DCD116" s="583"/>
      <c r="DCE116" s="590"/>
      <c r="DCF116" s="589"/>
      <c r="DCG116" s="585"/>
      <c r="DCH116" s="577"/>
      <c r="DCI116" s="304"/>
      <c r="DCJ116" s="572"/>
      <c r="DCK116" s="573"/>
      <c r="DCL116" s="574"/>
      <c r="DCM116" s="575"/>
      <c r="DCN116" s="583"/>
      <c r="DCO116" s="590"/>
      <c r="DCP116" s="589"/>
      <c r="DCQ116" s="585"/>
      <c r="DCR116" s="577"/>
      <c r="DCS116" s="304"/>
      <c r="DCT116" s="572"/>
      <c r="DCU116" s="573"/>
      <c r="DCV116" s="574"/>
      <c r="DCW116" s="575"/>
      <c r="DCX116" s="583"/>
      <c r="DCY116" s="590"/>
      <c r="DCZ116" s="589"/>
      <c r="DDA116" s="585"/>
      <c r="DDB116" s="577"/>
      <c r="DDC116" s="304"/>
      <c r="DDD116" s="572"/>
      <c r="DDE116" s="573"/>
      <c r="DDF116" s="574"/>
      <c r="DDG116" s="575"/>
      <c r="DDH116" s="583"/>
      <c r="DDI116" s="590"/>
      <c r="DDJ116" s="589"/>
      <c r="DDK116" s="585"/>
      <c r="DDL116" s="577"/>
      <c r="DDM116" s="304"/>
      <c r="DDN116" s="572"/>
      <c r="DDO116" s="573"/>
      <c r="DDP116" s="574"/>
      <c r="DDQ116" s="575"/>
      <c r="DDR116" s="583"/>
      <c r="DDS116" s="590"/>
      <c r="DDT116" s="589"/>
      <c r="DDU116" s="585"/>
      <c r="DDV116" s="577"/>
      <c r="DDW116" s="304"/>
      <c r="DDX116" s="572"/>
      <c r="DDY116" s="573"/>
      <c r="DDZ116" s="574"/>
      <c r="DEA116" s="575"/>
      <c r="DEB116" s="583"/>
      <c r="DEC116" s="590"/>
      <c r="DED116" s="589"/>
      <c r="DEE116" s="585"/>
      <c r="DEF116" s="577"/>
      <c r="DEG116" s="304"/>
      <c r="DEH116" s="572"/>
      <c r="DEI116" s="573"/>
      <c r="DEJ116" s="574"/>
      <c r="DEK116" s="575"/>
      <c r="DEL116" s="583"/>
      <c r="DEM116" s="590"/>
      <c r="DEN116" s="589"/>
      <c r="DEO116" s="585"/>
      <c r="DEP116" s="577"/>
      <c r="DEQ116" s="304"/>
      <c r="DER116" s="572"/>
      <c r="DES116" s="573"/>
      <c r="DET116" s="574"/>
      <c r="DEU116" s="575"/>
      <c r="DEV116" s="583"/>
      <c r="DEW116" s="590"/>
      <c r="DEX116" s="589"/>
      <c r="DEY116" s="585"/>
      <c r="DEZ116" s="577"/>
      <c r="DFA116" s="304"/>
      <c r="DFB116" s="572"/>
      <c r="DFC116" s="573"/>
      <c r="DFD116" s="574"/>
      <c r="DFE116" s="575"/>
      <c r="DFF116" s="583"/>
      <c r="DFG116" s="590"/>
      <c r="DFH116" s="589"/>
      <c r="DFI116" s="585"/>
      <c r="DFJ116" s="577"/>
      <c r="DFK116" s="304"/>
      <c r="DFL116" s="572"/>
      <c r="DFM116" s="573"/>
      <c r="DFN116" s="574"/>
      <c r="DFO116" s="575"/>
      <c r="DFP116" s="583"/>
      <c r="DFQ116" s="590"/>
      <c r="DFR116" s="589"/>
      <c r="DFS116" s="585"/>
      <c r="DFT116" s="577"/>
      <c r="DFU116" s="304"/>
      <c r="DFV116" s="572"/>
      <c r="DFW116" s="573"/>
      <c r="DFX116" s="574"/>
      <c r="DFY116" s="575"/>
      <c r="DFZ116" s="583"/>
      <c r="DGA116" s="590"/>
      <c r="DGB116" s="589"/>
      <c r="DGC116" s="585"/>
      <c r="DGD116" s="577"/>
      <c r="DGE116" s="304"/>
      <c r="DGF116" s="572"/>
      <c r="DGG116" s="573"/>
      <c r="DGH116" s="574"/>
      <c r="DGI116" s="575"/>
      <c r="DGJ116" s="583"/>
      <c r="DGK116" s="590"/>
      <c r="DGL116" s="589"/>
      <c r="DGM116" s="585"/>
      <c r="DGN116" s="577"/>
      <c r="DGO116" s="304"/>
      <c r="DGP116" s="572"/>
      <c r="DGQ116" s="573"/>
      <c r="DGR116" s="574"/>
      <c r="DGS116" s="575"/>
      <c r="DGT116" s="583"/>
      <c r="DGU116" s="590"/>
      <c r="DGV116" s="589"/>
      <c r="DGW116" s="585"/>
      <c r="DGX116" s="577"/>
      <c r="DGY116" s="304"/>
      <c r="DGZ116" s="572"/>
      <c r="DHA116" s="573"/>
      <c r="DHB116" s="574"/>
      <c r="DHC116" s="575"/>
      <c r="DHD116" s="583"/>
      <c r="DHE116" s="590"/>
      <c r="DHF116" s="589"/>
      <c r="DHG116" s="585"/>
      <c r="DHH116" s="577"/>
      <c r="DHI116" s="304"/>
      <c r="DHJ116" s="572"/>
      <c r="DHK116" s="573"/>
      <c r="DHL116" s="574"/>
      <c r="DHM116" s="575"/>
      <c r="DHN116" s="583"/>
      <c r="DHO116" s="590"/>
      <c r="DHP116" s="589"/>
      <c r="DHQ116" s="585"/>
      <c r="DHR116" s="577"/>
      <c r="DHS116" s="304"/>
      <c r="DHT116" s="572"/>
      <c r="DHU116" s="573"/>
      <c r="DHV116" s="574"/>
      <c r="DHW116" s="575"/>
      <c r="DHX116" s="583"/>
      <c r="DHY116" s="590"/>
      <c r="DHZ116" s="589"/>
      <c r="DIA116" s="585"/>
      <c r="DIB116" s="577"/>
      <c r="DIC116" s="304"/>
      <c r="DID116" s="572"/>
      <c r="DIE116" s="573"/>
      <c r="DIF116" s="574"/>
      <c r="DIG116" s="575"/>
      <c r="DIH116" s="583"/>
      <c r="DII116" s="590"/>
      <c r="DIJ116" s="589"/>
      <c r="DIK116" s="585"/>
      <c r="DIL116" s="577"/>
      <c r="DIM116" s="304"/>
      <c r="DIN116" s="572"/>
      <c r="DIO116" s="573"/>
      <c r="DIP116" s="574"/>
      <c r="DIQ116" s="575"/>
      <c r="DIR116" s="583"/>
      <c r="DIS116" s="590"/>
      <c r="DIT116" s="589"/>
      <c r="DIU116" s="585"/>
      <c r="DIV116" s="577"/>
      <c r="DIW116" s="304"/>
      <c r="DIX116" s="572"/>
      <c r="DIY116" s="573"/>
      <c r="DIZ116" s="574"/>
      <c r="DJA116" s="575"/>
      <c r="DJB116" s="583"/>
      <c r="DJC116" s="590"/>
      <c r="DJD116" s="589"/>
      <c r="DJE116" s="585"/>
      <c r="DJF116" s="577"/>
      <c r="DJG116" s="304"/>
      <c r="DJH116" s="572"/>
      <c r="DJI116" s="573"/>
      <c r="DJJ116" s="574"/>
      <c r="DJK116" s="575"/>
      <c r="DJL116" s="583"/>
      <c r="DJM116" s="590"/>
      <c r="DJN116" s="589"/>
      <c r="DJO116" s="585"/>
      <c r="DJP116" s="577"/>
      <c r="DJQ116" s="304"/>
      <c r="DJR116" s="572"/>
      <c r="DJS116" s="573"/>
      <c r="DJT116" s="574"/>
      <c r="DJU116" s="575"/>
      <c r="DJV116" s="583"/>
      <c r="DJW116" s="590"/>
      <c r="DJX116" s="589"/>
      <c r="DJY116" s="585"/>
      <c r="DJZ116" s="577"/>
      <c r="DKA116" s="304"/>
      <c r="DKB116" s="572"/>
      <c r="DKC116" s="573"/>
      <c r="DKD116" s="574"/>
      <c r="DKE116" s="575"/>
      <c r="DKF116" s="583"/>
      <c r="DKG116" s="590"/>
      <c r="DKH116" s="589"/>
      <c r="DKI116" s="585"/>
      <c r="DKJ116" s="577"/>
      <c r="DKK116" s="304"/>
      <c r="DKL116" s="572"/>
      <c r="DKM116" s="573"/>
      <c r="DKN116" s="574"/>
      <c r="DKO116" s="575"/>
      <c r="DKP116" s="583"/>
      <c r="DKQ116" s="590"/>
      <c r="DKR116" s="589"/>
      <c r="DKS116" s="585"/>
      <c r="DKT116" s="577"/>
      <c r="DKU116" s="304"/>
      <c r="DKV116" s="572"/>
      <c r="DKW116" s="573"/>
      <c r="DKX116" s="574"/>
      <c r="DKY116" s="575"/>
      <c r="DKZ116" s="583"/>
      <c r="DLA116" s="590"/>
      <c r="DLB116" s="589"/>
      <c r="DLC116" s="585"/>
      <c r="DLD116" s="577"/>
      <c r="DLE116" s="304"/>
      <c r="DLF116" s="572"/>
      <c r="DLG116" s="573"/>
      <c r="DLH116" s="574"/>
      <c r="DLI116" s="575"/>
      <c r="DLJ116" s="583"/>
      <c r="DLK116" s="590"/>
      <c r="DLL116" s="589"/>
      <c r="DLM116" s="585"/>
      <c r="DLN116" s="577"/>
      <c r="DLO116" s="304"/>
      <c r="DLP116" s="572"/>
      <c r="DLQ116" s="573"/>
      <c r="DLR116" s="574"/>
      <c r="DLS116" s="575"/>
      <c r="DLT116" s="583"/>
      <c r="DLU116" s="590"/>
      <c r="DLV116" s="589"/>
      <c r="DLW116" s="585"/>
      <c r="DLX116" s="577"/>
      <c r="DLY116" s="304"/>
      <c r="DLZ116" s="572"/>
      <c r="DMA116" s="573"/>
      <c r="DMB116" s="574"/>
      <c r="DMC116" s="575"/>
      <c r="DMD116" s="583"/>
      <c r="DME116" s="590"/>
      <c r="DMF116" s="589"/>
      <c r="DMG116" s="585"/>
      <c r="DMH116" s="577"/>
      <c r="DMI116" s="304"/>
      <c r="DMJ116" s="572"/>
      <c r="DMK116" s="573"/>
      <c r="DML116" s="574"/>
      <c r="DMM116" s="575"/>
      <c r="DMN116" s="583"/>
      <c r="DMO116" s="590"/>
      <c r="DMP116" s="589"/>
      <c r="DMQ116" s="585"/>
      <c r="DMR116" s="577"/>
      <c r="DMS116" s="304"/>
      <c r="DMT116" s="572"/>
      <c r="DMU116" s="573"/>
      <c r="DMV116" s="574"/>
      <c r="DMW116" s="575"/>
      <c r="DMX116" s="583"/>
      <c r="DMY116" s="590"/>
      <c r="DMZ116" s="589"/>
      <c r="DNA116" s="585"/>
      <c r="DNB116" s="577"/>
      <c r="DNC116" s="304"/>
      <c r="DND116" s="572"/>
      <c r="DNE116" s="573"/>
      <c r="DNF116" s="574"/>
      <c r="DNG116" s="575"/>
      <c r="DNH116" s="583"/>
      <c r="DNI116" s="590"/>
      <c r="DNJ116" s="589"/>
      <c r="DNK116" s="585"/>
      <c r="DNL116" s="577"/>
      <c r="DNM116" s="304"/>
      <c r="DNN116" s="572"/>
      <c r="DNO116" s="573"/>
      <c r="DNP116" s="574"/>
      <c r="DNQ116" s="575"/>
      <c r="DNR116" s="583"/>
      <c r="DNS116" s="590"/>
      <c r="DNT116" s="589"/>
      <c r="DNU116" s="585"/>
      <c r="DNV116" s="577"/>
      <c r="DNW116" s="304"/>
      <c r="DNX116" s="572"/>
      <c r="DNY116" s="573"/>
      <c r="DNZ116" s="574"/>
      <c r="DOA116" s="575"/>
      <c r="DOB116" s="583"/>
      <c r="DOC116" s="590"/>
      <c r="DOD116" s="589"/>
      <c r="DOE116" s="585"/>
      <c r="DOF116" s="577"/>
      <c r="DOG116" s="304"/>
      <c r="DOH116" s="572"/>
      <c r="DOI116" s="573"/>
      <c r="DOJ116" s="574"/>
      <c r="DOK116" s="575"/>
      <c r="DOL116" s="583"/>
      <c r="DOM116" s="590"/>
      <c r="DON116" s="589"/>
      <c r="DOO116" s="585"/>
      <c r="DOP116" s="577"/>
      <c r="DOQ116" s="304"/>
      <c r="DOR116" s="572"/>
      <c r="DOS116" s="573"/>
      <c r="DOT116" s="574"/>
      <c r="DOU116" s="575"/>
      <c r="DOV116" s="583"/>
      <c r="DOW116" s="590"/>
      <c r="DOX116" s="589"/>
      <c r="DOY116" s="585"/>
      <c r="DOZ116" s="577"/>
      <c r="DPA116" s="304"/>
      <c r="DPB116" s="572"/>
      <c r="DPC116" s="573"/>
      <c r="DPD116" s="574"/>
      <c r="DPE116" s="575"/>
      <c r="DPF116" s="583"/>
      <c r="DPG116" s="590"/>
      <c r="DPH116" s="589"/>
      <c r="DPI116" s="585"/>
      <c r="DPJ116" s="577"/>
      <c r="DPK116" s="304"/>
      <c r="DPL116" s="572"/>
      <c r="DPM116" s="573"/>
      <c r="DPN116" s="574"/>
      <c r="DPO116" s="575"/>
      <c r="DPP116" s="583"/>
      <c r="DPQ116" s="590"/>
      <c r="DPR116" s="589"/>
      <c r="DPS116" s="585"/>
      <c r="DPT116" s="577"/>
      <c r="DPU116" s="304"/>
      <c r="DPV116" s="572"/>
      <c r="DPW116" s="573"/>
      <c r="DPX116" s="574"/>
      <c r="DPY116" s="575"/>
      <c r="DPZ116" s="583"/>
      <c r="DQA116" s="590"/>
      <c r="DQB116" s="589"/>
      <c r="DQC116" s="585"/>
      <c r="DQD116" s="577"/>
      <c r="DQE116" s="304"/>
      <c r="DQF116" s="572"/>
      <c r="DQG116" s="573"/>
      <c r="DQH116" s="574"/>
      <c r="DQI116" s="575"/>
      <c r="DQJ116" s="583"/>
      <c r="DQK116" s="590"/>
      <c r="DQL116" s="589"/>
      <c r="DQM116" s="585"/>
      <c r="DQN116" s="577"/>
      <c r="DQO116" s="304"/>
      <c r="DQP116" s="572"/>
      <c r="DQQ116" s="573"/>
      <c r="DQR116" s="574"/>
      <c r="DQS116" s="575"/>
      <c r="DQT116" s="583"/>
      <c r="DQU116" s="590"/>
      <c r="DQV116" s="589"/>
      <c r="DQW116" s="585"/>
      <c r="DQX116" s="577"/>
      <c r="DQY116" s="304"/>
      <c r="DQZ116" s="572"/>
      <c r="DRA116" s="573"/>
      <c r="DRB116" s="574"/>
      <c r="DRC116" s="575"/>
      <c r="DRD116" s="583"/>
      <c r="DRE116" s="590"/>
      <c r="DRF116" s="589"/>
      <c r="DRG116" s="585"/>
      <c r="DRH116" s="577"/>
      <c r="DRI116" s="304"/>
      <c r="DRJ116" s="572"/>
      <c r="DRK116" s="573"/>
      <c r="DRL116" s="574"/>
      <c r="DRM116" s="575"/>
      <c r="DRN116" s="583"/>
      <c r="DRO116" s="590"/>
      <c r="DRP116" s="589"/>
      <c r="DRQ116" s="585"/>
      <c r="DRR116" s="577"/>
      <c r="DRS116" s="304"/>
      <c r="DRT116" s="572"/>
      <c r="DRU116" s="573"/>
      <c r="DRV116" s="574"/>
      <c r="DRW116" s="575"/>
      <c r="DRX116" s="583"/>
      <c r="DRY116" s="590"/>
      <c r="DRZ116" s="589"/>
      <c r="DSA116" s="585"/>
      <c r="DSB116" s="577"/>
      <c r="DSC116" s="304"/>
      <c r="DSD116" s="572"/>
      <c r="DSE116" s="573"/>
      <c r="DSF116" s="574"/>
      <c r="DSG116" s="575"/>
      <c r="DSH116" s="583"/>
      <c r="DSI116" s="590"/>
      <c r="DSJ116" s="589"/>
      <c r="DSK116" s="585"/>
      <c r="DSL116" s="577"/>
      <c r="DSM116" s="304"/>
      <c r="DSN116" s="572"/>
      <c r="DSO116" s="573"/>
      <c r="DSP116" s="574"/>
      <c r="DSQ116" s="575"/>
      <c r="DSR116" s="583"/>
      <c r="DSS116" s="590"/>
      <c r="DST116" s="589"/>
      <c r="DSU116" s="585"/>
      <c r="DSV116" s="577"/>
      <c r="DSW116" s="304"/>
      <c r="DSX116" s="572"/>
      <c r="DSY116" s="573"/>
      <c r="DSZ116" s="574"/>
      <c r="DTA116" s="575"/>
      <c r="DTB116" s="583"/>
      <c r="DTC116" s="590"/>
      <c r="DTD116" s="589"/>
      <c r="DTE116" s="585"/>
      <c r="DTF116" s="577"/>
      <c r="DTG116" s="304"/>
      <c r="DTH116" s="572"/>
      <c r="DTI116" s="573"/>
      <c r="DTJ116" s="574"/>
      <c r="DTK116" s="575"/>
      <c r="DTL116" s="583"/>
      <c r="DTM116" s="590"/>
      <c r="DTN116" s="589"/>
      <c r="DTO116" s="585"/>
      <c r="DTP116" s="577"/>
      <c r="DTQ116" s="304"/>
      <c r="DTR116" s="572"/>
      <c r="DTS116" s="573"/>
      <c r="DTT116" s="574"/>
      <c r="DTU116" s="575"/>
      <c r="DTV116" s="583"/>
      <c r="DTW116" s="590"/>
      <c r="DTX116" s="589"/>
      <c r="DTY116" s="585"/>
      <c r="DTZ116" s="577"/>
      <c r="DUA116" s="304"/>
      <c r="DUB116" s="572"/>
      <c r="DUC116" s="573"/>
      <c r="DUD116" s="574"/>
      <c r="DUE116" s="575"/>
      <c r="DUF116" s="583"/>
      <c r="DUG116" s="590"/>
      <c r="DUH116" s="589"/>
      <c r="DUI116" s="585"/>
      <c r="DUJ116" s="577"/>
      <c r="DUK116" s="304"/>
      <c r="DUL116" s="572"/>
      <c r="DUM116" s="573"/>
      <c r="DUN116" s="574"/>
      <c r="DUO116" s="575"/>
      <c r="DUP116" s="583"/>
      <c r="DUQ116" s="590"/>
      <c r="DUR116" s="589"/>
      <c r="DUS116" s="585"/>
      <c r="DUT116" s="577"/>
      <c r="DUU116" s="304"/>
      <c r="DUV116" s="572"/>
      <c r="DUW116" s="573"/>
      <c r="DUX116" s="574"/>
      <c r="DUY116" s="575"/>
      <c r="DUZ116" s="583"/>
      <c r="DVA116" s="590"/>
      <c r="DVB116" s="589"/>
      <c r="DVC116" s="585"/>
      <c r="DVD116" s="577"/>
      <c r="DVE116" s="304"/>
      <c r="DVF116" s="572"/>
      <c r="DVG116" s="573"/>
      <c r="DVH116" s="574"/>
      <c r="DVI116" s="575"/>
      <c r="DVJ116" s="583"/>
      <c r="DVK116" s="590"/>
      <c r="DVL116" s="589"/>
      <c r="DVM116" s="585"/>
      <c r="DVN116" s="577"/>
      <c r="DVO116" s="304"/>
      <c r="DVP116" s="572"/>
      <c r="DVQ116" s="573"/>
      <c r="DVR116" s="574"/>
      <c r="DVS116" s="575"/>
      <c r="DVT116" s="583"/>
      <c r="DVU116" s="590"/>
      <c r="DVV116" s="589"/>
      <c r="DVW116" s="585"/>
      <c r="DVX116" s="577"/>
      <c r="DVY116" s="304"/>
      <c r="DVZ116" s="572"/>
      <c r="DWA116" s="573"/>
      <c r="DWB116" s="574"/>
      <c r="DWC116" s="575"/>
      <c r="DWD116" s="583"/>
      <c r="DWE116" s="590"/>
      <c r="DWF116" s="589"/>
      <c r="DWG116" s="585"/>
      <c r="DWH116" s="577"/>
      <c r="DWI116" s="304"/>
      <c r="DWJ116" s="572"/>
      <c r="DWK116" s="573"/>
      <c r="DWL116" s="574"/>
      <c r="DWM116" s="575"/>
      <c r="DWN116" s="583"/>
      <c r="DWO116" s="590"/>
      <c r="DWP116" s="589"/>
      <c r="DWQ116" s="585"/>
      <c r="DWR116" s="577"/>
      <c r="DWS116" s="304"/>
      <c r="DWT116" s="572"/>
      <c r="DWU116" s="573"/>
      <c r="DWV116" s="574"/>
      <c r="DWW116" s="575"/>
      <c r="DWX116" s="583"/>
      <c r="DWY116" s="590"/>
      <c r="DWZ116" s="589"/>
      <c r="DXA116" s="585"/>
      <c r="DXB116" s="577"/>
      <c r="DXC116" s="304"/>
      <c r="DXD116" s="572"/>
      <c r="DXE116" s="573"/>
      <c r="DXF116" s="574"/>
      <c r="DXG116" s="575"/>
      <c r="DXH116" s="583"/>
      <c r="DXI116" s="590"/>
      <c r="DXJ116" s="589"/>
      <c r="DXK116" s="585"/>
      <c r="DXL116" s="577"/>
      <c r="DXM116" s="304"/>
      <c r="DXN116" s="572"/>
      <c r="DXO116" s="573"/>
      <c r="DXP116" s="574"/>
      <c r="DXQ116" s="575"/>
      <c r="DXR116" s="583"/>
      <c r="DXS116" s="590"/>
      <c r="DXT116" s="589"/>
      <c r="DXU116" s="585"/>
      <c r="DXV116" s="577"/>
      <c r="DXW116" s="304"/>
      <c r="DXX116" s="572"/>
      <c r="DXY116" s="573"/>
      <c r="DXZ116" s="574"/>
      <c r="DYA116" s="575"/>
      <c r="DYB116" s="583"/>
      <c r="DYC116" s="590"/>
      <c r="DYD116" s="589"/>
      <c r="DYE116" s="585"/>
      <c r="DYF116" s="577"/>
      <c r="DYG116" s="304"/>
      <c r="DYH116" s="572"/>
      <c r="DYI116" s="573"/>
      <c r="DYJ116" s="574"/>
      <c r="DYK116" s="575"/>
      <c r="DYL116" s="583"/>
      <c r="DYM116" s="590"/>
      <c r="DYN116" s="589"/>
      <c r="DYO116" s="585"/>
      <c r="DYP116" s="577"/>
      <c r="DYQ116" s="304"/>
      <c r="DYR116" s="572"/>
      <c r="DYS116" s="573"/>
      <c r="DYT116" s="574"/>
      <c r="DYU116" s="575"/>
      <c r="DYV116" s="583"/>
      <c r="DYW116" s="590"/>
      <c r="DYX116" s="589"/>
      <c r="DYY116" s="585"/>
      <c r="DYZ116" s="577"/>
      <c r="DZA116" s="304"/>
      <c r="DZB116" s="572"/>
      <c r="DZC116" s="573"/>
      <c r="DZD116" s="574"/>
      <c r="DZE116" s="575"/>
      <c r="DZF116" s="583"/>
      <c r="DZG116" s="590"/>
      <c r="DZH116" s="589"/>
      <c r="DZI116" s="585"/>
      <c r="DZJ116" s="577"/>
      <c r="DZK116" s="304"/>
      <c r="DZL116" s="572"/>
      <c r="DZM116" s="573"/>
      <c r="DZN116" s="574"/>
      <c r="DZO116" s="575"/>
      <c r="DZP116" s="583"/>
      <c r="DZQ116" s="590"/>
      <c r="DZR116" s="589"/>
      <c r="DZS116" s="585"/>
      <c r="DZT116" s="577"/>
      <c r="DZU116" s="304"/>
      <c r="DZV116" s="572"/>
      <c r="DZW116" s="573"/>
      <c r="DZX116" s="574"/>
      <c r="DZY116" s="575"/>
      <c r="DZZ116" s="583"/>
      <c r="EAA116" s="590"/>
      <c r="EAB116" s="589"/>
      <c r="EAC116" s="585"/>
      <c r="EAD116" s="577"/>
      <c r="EAE116" s="304"/>
      <c r="EAF116" s="572"/>
      <c r="EAG116" s="573"/>
      <c r="EAH116" s="574"/>
      <c r="EAI116" s="575"/>
      <c r="EAJ116" s="583"/>
      <c r="EAK116" s="590"/>
      <c r="EAL116" s="589"/>
      <c r="EAM116" s="585"/>
      <c r="EAN116" s="577"/>
      <c r="EAO116" s="304"/>
      <c r="EAP116" s="572"/>
      <c r="EAQ116" s="573"/>
      <c r="EAR116" s="574"/>
      <c r="EAS116" s="575"/>
      <c r="EAT116" s="583"/>
      <c r="EAU116" s="590"/>
      <c r="EAV116" s="589"/>
      <c r="EAW116" s="585"/>
      <c r="EAX116" s="577"/>
      <c r="EAY116" s="304"/>
      <c r="EAZ116" s="572"/>
      <c r="EBA116" s="573"/>
      <c r="EBB116" s="574"/>
      <c r="EBC116" s="575"/>
      <c r="EBD116" s="583"/>
      <c r="EBE116" s="590"/>
      <c r="EBF116" s="589"/>
      <c r="EBG116" s="585"/>
      <c r="EBH116" s="577"/>
      <c r="EBI116" s="304"/>
      <c r="EBJ116" s="572"/>
      <c r="EBK116" s="573"/>
      <c r="EBL116" s="574"/>
      <c r="EBM116" s="575"/>
      <c r="EBN116" s="583"/>
      <c r="EBO116" s="590"/>
      <c r="EBP116" s="589"/>
      <c r="EBQ116" s="585"/>
      <c r="EBR116" s="577"/>
      <c r="EBS116" s="304"/>
      <c r="EBT116" s="572"/>
      <c r="EBU116" s="573"/>
      <c r="EBV116" s="574"/>
      <c r="EBW116" s="575"/>
      <c r="EBX116" s="583"/>
      <c r="EBY116" s="590"/>
      <c r="EBZ116" s="589"/>
      <c r="ECA116" s="585"/>
      <c r="ECB116" s="577"/>
      <c r="ECC116" s="304"/>
      <c r="ECD116" s="572"/>
      <c r="ECE116" s="573"/>
      <c r="ECF116" s="574"/>
      <c r="ECG116" s="575"/>
      <c r="ECH116" s="583"/>
      <c r="ECI116" s="590"/>
      <c r="ECJ116" s="589"/>
      <c r="ECK116" s="585"/>
      <c r="ECL116" s="577"/>
      <c r="ECM116" s="304"/>
      <c r="ECN116" s="572"/>
      <c r="ECO116" s="573"/>
      <c r="ECP116" s="574"/>
      <c r="ECQ116" s="575"/>
      <c r="ECR116" s="583"/>
      <c r="ECS116" s="590"/>
      <c r="ECT116" s="589"/>
      <c r="ECU116" s="585"/>
      <c r="ECV116" s="577"/>
      <c r="ECW116" s="304"/>
      <c r="ECX116" s="572"/>
      <c r="ECY116" s="573"/>
      <c r="ECZ116" s="574"/>
      <c r="EDA116" s="575"/>
      <c r="EDB116" s="583"/>
      <c r="EDC116" s="590"/>
      <c r="EDD116" s="589"/>
      <c r="EDE116" s="585"/>
      <c r="EDF116" s="577"/>
      <c r="EDG116" s="304"/>
      <c r="EDH116" s="572"/>
      <c r="EDI116" s="573"/>
      <c r="EDJ116" s="574"/>
      <c r="EDK116" s="575"/>
      <c r="EDL116" s="583"/>
      <c r="EDM116" s="590"/>
      <c r="EDN116" s="589"/>
      <c r="EDO116" s="585"/>
      <c r="EDP116" s="577"/>
      <c r="EDQ116" s="304"/>
      <c r="EDR116" s="572"/>
      <c r="EDS116" s="573"/>
      <c r="EDT116" s="574"/>
      <c r="EDU116" s="575"/>
      <c r="EDV116" s="583"/>
      <c r="EDW116" s="590"/>
      <c r="EDX116" s="589"/>
      <c r="EDY116" s="585"/>
      <c r="EDZ116" s="577"/>
      <c r="EEA116" s="304"/>
      <c r="EEB116" s="572"/>
      <c r="EEC116" s="573"/>
      <c r="EED116" s="574"/>
      <c r="EEE116" s="575"/>
      <c r="EEF116" s="583"/>
      <c r="EEG116" s="590"/>
      <c r="EEH116" s="589"/>
      <c r="EEI116" s="585"/>
      <c r="EEJ116" s="577"/>
      <c r="EEK116" s="304"/>
      <c r="EEL116" s="572"/>
      <c r="EEM116" s="573"/>
      <c r="EEN116" s="574"/>
      <c r="EEO116" s="575"/>
      <c r="EEP116" s="583"/>
      <c r="EEQ116" s="590"/>
      <c r="EER116" s="589"/>
      <c r="EES116" s="585"/>
      <c r="EET116" s="577"/>
      <c r="EEU116" s="304"/>
      <c r="EEV116" s="572"/>
      <c r="EEW116" s="573"/>
      <c r="EEX116" s="574"/>
      <c r="EEY116" s="575"/>
      <c r="EEZ116" s="583"/>
      <c r="EFA116" s="590"/>
      <c r="EFB116" s="589"/>
      <c r="EFC116" s="585"/>
      <c r="EFD116" s="577"/>
      <c r="EFE116" s="304"/>
      <c r="EFF116" s="572"/>
      <c r="EFG116" s="573"/>
      <c r="EFH116" s="574"/>
      <c r="EFI116" s="575"/>
      <c r="EFJ116" s="583"/>
      <c r="EFK116" s="590"/>
      <c r="EFL116" s="589"/>
      <c r="EFM116" s="585"/>
      <c r="EFN116" s="577"/>
      <c r="EFO116" s="304"/>
      <c r="EFP116" s="572"/>
      <c r="EFQ116" s="573"/>
      <c r="EFR116" s="574"/>
      <c r="EFS116" s="575"/>
      <c r="EFT116" s="583"/>
      <c r="EFU116" s="590"/>
      <c r="EFV116" s="589"/>
      <c r="EFW116" s="585"/>
      <c r="EFX116" s="577"/>
      <c r="EFY116" s="304"/>
      <c r="EFZ116" s="572"/>
      <c r="EGA116" s="573"/>
      <c r="EGB116" s="574"/>
      <c r="EGC116" s="575"/>
      <c r="EGD116" s="583"/>
      <c r="EGE116" s="590"/>
      <c r="EGF116" s="589"/>
      <c r="EGG116" s="585"/>
      <c r="EGH116" s="577"/>
      <c r="EGI116" s="304"/>
      <c r="EGJ116" s="572"/>
      <c r="EGK116" s="573"/>
      <c r="EGL116" s="574"/>
      <c r="EGM116" s="575"/>
      <c r="EGN116" s="583"/>
      <c r="EGO116" s="590"/>
      <c r="EGP116" s="589"/>
      <c r="EGQ116" s="585"/>
      <c r="EGR116" s="577"/>
      <c r="EGS116" s="304"/>
      <c r="EGT116" s="572"/>
      <c r="EGU116" s="573"/>
      <c r="EGV116" s="574"/>
      <c r="EGW116" s="575"/>
      <c r="EGX116" s="583"/>
      <c r="EGY116" s="590"/>
      <c r="EGZ116" s="589"/>
      <c r="EHA116" s="585"/>
      <c r="EHB116" s="577"/>
      <c r="EHC116" s="304"/>
      <c r="EHD116" s="572"/>
      <c r="EHE116" s="573"/>
      <c r="EHF116" s="574"/>
      <c r="EHG116" s="575"/>
      <c r="EHH116" s="583"/>
      <c r="EHI116" s="590"/>
      <c r="EHJ116" s="589"/>
      <c r="EHK116" s="585"/>
      <c r="EHL116" s="577"/>
      <c r="EHM116" s="304"/>
      <c r="EHN116" s="572"/>
      <c r="EHO116" s="573"/>
      <c r="EHP116" s="574"/>
      <c r="EHQ116" s="575"/>
      <c r="EHR116" s="583"/>
      <c r="EHS116" s="590"/>
      <c r="EHT116" s="589"/>
      <c r="EHU116" s="585"/>
      <c r="EHV116" s="577"/>
      <c r="EHW116" s="304"/>
      <c r="EHX116" s="572"/>
      <c r="EHY116" s="573"/>
      <c r="EHZ116" s="574"/>
      <c r="EIA116" s="575"/>
      <c r="EIB116" s="583"/>
      <c r="EIC116" s="590"/>
      <c r="EID116" s="589"/>
      <c r="EIE116" s="585"/>
      <c r="EIF116" s="577"/>
      <c r="EIG116" s="304"/>
      <c r="EIH116" s="572"/>
      <c r="EII116" s="573"/>
      <c r="EIJ116" s="574"/>
      <c r="EIK116" s="575"/>
      <c r="EIL116" s="583"/>
      <c r="EIM116" s="590"/>
      <c r="EIN116" s="589"/>
      <c r="EIO116" s="585"/>
      <c r="EIP116" s="577"/>
      <c r="EIQ116" s="304"/>
      <c r="EIR116" s="572"/>
      <c r="EIS116" s="573"/>
      <c r="EIT116" s="574"/>
      <c r="EIU116" s="575"/>
      <c r="EIV116" s="583"/>
      <c r="EIW116" s="590"/>
      <c r="EIX116" s="589"/>
      <c r="EIY116" s="585"/>
      <c r="EIZ116" s="577"/>
      <c r="EJA116" s="304"/>
      <c r="EJB116" s="572"/>
      <c r="EJC116" s="573"/>
      <c r="EJD116" s="574"/>
      <c r="EJE116" s="575"/>
      <c r="EJF116" s="583"/>
      <c r="EJG116" s="590"/>
      <c r="EJH116" s="589"/>
      <c r="EJI116" s="585"/>
      <c r="EJJ116" s="577"/>
      <c r="EJK116" s="304"/>
      <c r="EJL116" s="572"/>
      <c r="EJM116" s="573"/>
      <c r="EJN116" s="574"/>
      <c r="EJO116" s="575"/>
      <c r="EJP116" s="583"/>
      <c r="EJQ116" s="590"/>
      <c r="EJR116" s="589"/>
      <c r="EJS116" s="585"/>
      <c r="EJT116" s="577"/>
      <c r="EJU116" s="304"/>
      <c r="EJV116" s="572"/>
      <c r="EJW116" s="573"/>
      <c r="EJX116" s="574"/>
      <c r="EJY116" s="575"/>
      <c r="EJZ116" s="583"/>
      <c r="EKA116" s="590"/>
      <c r="EKB116" s="589"/>
      <c r="EKC116" s="585"/>
      <c r="EKD116" s="577"/>
      <c r="EKE116" s="304"/>
      <c r="EKF116" s="572"/>
      <c r="EKG116" s="573"/>
      <c r="EKH116" s="574"/>
      <c r="EKI116" s="575"/>
      <c r="EKJ116" s="583"/>
      <c r="EKK116" s="590"/>
      <c r="EKL116" s="589"/>
      <c r="EKM116" s="585"/>
      <c r="EKN116" s="577"/>
      <c r="EKO116" s="304"/>
      <c r="EKP116" s="572"/>
      <c r="EKQ116" s="573"/>
      <c r="EKR116" s="574"/>
      <c r="EKS116" s="575"/>
      <c r="EKT116" s="583"/>
      <c r="EKU116" s="590"/>
      <c r="EKV116" s="589"/>
      <c r="EKW116" s="585"/>
      <c r="EKX116" s="577"/>
      <c r="EKY116" s="304"/>
      <c r="EKZ116" s="572"/>
      <c r="ELA116" s="573"/>
      <c r="ELB116" s="574"/>
      <c r="ELC116" s="575"/>
      <c r="ELD116" s="583"/>
      <c r="ELE116" s="590"/>
      <c r="ELF116" s="589"/>
      <c r="ELG116" s="585"/>
      <c r="ELH116" s="577"/>
      <c r="ELI116" s="304"/>
      <c r="ELJ116" s="572"/>
      <c r="ELK116" s="573"/>
      <c r="ELL116" s="574"/>
      <c r="ELM116" s="575"/>
      <c r="ELN116" s="583"/>
      <c r="ELO116" s="590"/>
      <c r="ELP116" s="589"/>
      <c r="ELQ116" s="585"/>
      <c r="ELR116" s="577"/>
      <c r="ELS116" s="304"/>
      <c r="ELT116" s="572"/>
      <c r="ELU116" s="573"/>
      <c r="ELV116" s="574"/>
      <c r="ELW116" s="575"/>
      <c r="ELX116" s="583"/>
      <c r="ELY116" s="590"/>
      <c r="ELZ116" s="589"/>
      <c r="EMA116" s="585"/>
      <c r="EMB116" s="577"/>
      <c r="EMC116" s="304"/>
      <c r="EMD116" s="572"/>
      <c r="EME116" s="573"/>
      <c r="EMF116" s="574"/>
      <c r="EMG116" s="575"/>
      <c r="EMH116" s="583"/>
      <c r="EMI116" s="590"/>
      <c r="EMJ116" s="589"/>
      <c r="EMK116" s="585"/>
      <c r="EML116" s="577"/>
      <c r="EMM116" s="304"/>
      <c r="EMN116" s="572"/>
      <c r="EMO116" s="573"/>
      <c r="EMP116" s="574"/>
      <c r="EMQ116" s="575"/>
      <c r="EMR116" s="583"/>
      <c r="EMS116" s="590"/>
      <c r="EMT116" s="589"/>
      <c r="EMU116" s="585"/>
      <c r="EMV116" s="577"/>
      <c r="EMW116" s="304"/>
      <c r="EMX116" s="572"/>
      <c r="EMY116" s="573"/>
      <c r="EMZ116" s="574"/>
      <c r="ENA116" s="575"/>
      <c r="ENB116" s="583"/>
      <c r="ENC116" s="590"/>
      <c r="END116" s="589"/>
      <c r="ENE116" s="585"/>
      <c r="ENF116" s="577"/>
      <c r="ENG116" s="304"/>
      <c r="ENH116" s="572"/>
      <c r="ENI116" s="573"/>
      <c r="ENJ116" s="574"/>
      <c r="ENK116" s="575"/>
      <c r="ENL116" s="583"/>
      <c r="ENM116" s="590"/>
      <c r="ENN116" s="589"/>
      <c r="ENO116" s="585"/>
      <c r="ENP116" s="577"/>
      <c r="ENQ116" s="304"/>
      <c r="ENR116" s="572"/>
      <c r="ENS116" s="573"/>
      <c r="ENT116" s="574"/>
      <c r="ENU116" s="575"/>
      <c r="ENV116" s="583"/>
      <c r="ENW116" s="590"/>
      <c r="ENX116" s="589"/>
      <c r="ENY116" s="585"/>
      <c r="ENZ116" s="577"/>
      <c r="EOA116" s="304"/>
      <c r="EOB116" s="572"/>
      <c r="EOC116" s="573"/>
      <c r="EOD116" s="574"/>
      <c r="EOE116" s="575"/>
      <c r="EOF116" s="583"/>
      <c r="EOG116" s="590"/>
      <c r="EOH116" s="589"/>
      <c r="EOI116" s="585"/>
      <c r="EOJ116" s="577"/>
      <c r="EOK116" s="304"/>
      <c r="EOL116" s="572"/>
      <c r="EOM116" s="573"/>
      <c r="EON116" s="574"/>
      <c r="EOO116" s="575"/>
      <c r="EOP116" s="583"/>
      <c r="EOQ116" s="590"/>
      <c r="EOR116" s="589"/>
      <c r="EOS116" s="585"/>
      <c r="EOT116" s="577"/>
      <c r="EOU116" s="304"/>
      <c r="EOV116" s="572"/>
      <c r="EOW116" s="573"/>
      <c r="EOX116" s="574"/>
      <c r="EOY116" s="575"/>
      <c r="EOZ116" s="583"/>
      <c r="EPA116" s="590"/>
      <c r="EPB116" s="589"/>
      <c r="EPC116" s="585"/>
      <c r="EPD116" s="577"/>
      <c r="EPE116" s="304"/>
      <c r="EPF116" s="572"/>
      <c r="EPG116" s="573"/>
      <c r="EPH116" s="574"/>
      <c r="EPI116" s="575"/>
      <c r="EPJ116" s="583"/>
      <c r="EPK116" s="590"/>
      <c r="EPL116" s="589"/>
      <c r="EPM116" s="585"/>
      <c r="EPN116" s="577"/>
      <c r="EPO116" s="304"/>
      <c r="EPP116" s="572"/>
      <c r="EPQ116" s="573"/>
      <c r="EPR116" s="574"/>
      <c r="EPS116" s="575"/>
      <c r="EPT116" s="583"/>
      <c r="EPU116" s="590"/>
      <c r="EPV116" s="589"/>
      <c r="EPW116" s="585"/>
      <c r="EPX116" s="577"/>
      <c r="EPY116" s="304"/>
      <c r="EPZ116" s="572"/>
      <c r="EQA116" s="573"/>
      <c r="EQB116" s="574"/>
      <c r="EQC116" s="575"/>
      <c r="EQD116" s="583"/>
      <c r="EQE116" s="590"/>
      <c r="EQF116" s="589"/>
      <c r="EQG116" s="585"/>
      <c r="EQH116" s="577"/>
      <c r="EQI116" s="304"/>
      <c r="EQJ116" s="572"/>
      <c r="EQK116" s="573"/>
      <c r="EQL116" s="574"/>
      <c r="EQM116" s="575"/>
      <c r="EQN116" s="583"/>
      <c r="EQO116" s="590"/>
      <c r="EQP116" s="589"/>
      <c r="EQQ116" s="585"/>
      <c r="EQR116" s="577"/>
      <c r="EQS116" s="304"/>
      <c r="EQT116" s="572"/>
      <c r="EQU116" s="573"/>
      <c r="EQV116" s="574"/>
      <c r="EQW116" s="575"/>
      <c r="EQX116" s="583"/>
      <c r="EQY116" s="590"/>
      <c r="EQZ116" s="589"/>
      <c r="ERA116" s="585"/>
      <c r="ERB116" s="577"/>
      <c r="ERC116" s="304"/>
      <c r="ERD116" s="572"/>
      <c r="ERE116" s="573"/>
      <c r="ERF116" s="574"/>
      <c r="ERG116" s="575"/>
      <c r="ERH116" s="583"/>
      <c r="ERI116" s="590"/>
      <c r="ERJ116" s="589"/>
      <c r="ERK116" s="585"/>
      <c r="ERL116" s="577"/>
      <c r="ERM116" s="304"/>
      <c r="ERN116" s="572"/>
      <c r="ERO116" s="573"/>
      <c r="ERP116" s="574"/>
      <c r="ERQ116" s="575"/>
      <c r="ERR116" s="583"/>
      <c r="ERS116" s="590"/>
      <c r="ERT116" s="589"/>
      <c r="ERU116" s="585"/>
      <c r="ERV116" s="577"/>
      <c r="ERW116" s="304"/>
      <c r="ERX116" s="572"/>
      <c r="ERY116" s="573"/>
      <c r="ERZ116" s="574"/>
      <c r="ESA116" s="575"/>
      <c r="ESB116" s="583"/>
      <c r="ESC116" s="590"/>
      <c r="ESD116" s="589"/>
      <c r="ESE116" s="585"/>
      <c r="ESF116" s="577"/>
      <c r="ESG116" s="304"/>
      <c r="ESH116" s="572"/>
      <c r="ESI116" s="573"/>
      <c r="ESJ116" s="574"/>
      <c r="ESK116" s="575"/>
      <c r="ESL116" s="583"/>
      <c r="ESM116" s="590"/>
      <c r="ESN116" s="589"/>
      <c r="ESO116" s="585"/>
      <c r="ESP116" s="577"/>
      <c r="ESQ116" s="304"/>
      <c r="ESR116" s="572"/>
      <c r="ESS116" s="573"/>
      <c r="EST116" s="574"/>
      <c r="ESU116" s="575"/>
      <c r="ESV116" s="583"/>
      <c r="ESW116" s="590"/>
      <c r="ESX116" s="589"/>
      <c r="ESY116" s="585"/>
      <c r="ESZ116" s="577"/>
      <c r="ETA116" s="304"/>
      <c r="ETB116" s="572"/>
      <c r="ETC116" s="573"/>
      <c r="ETD116" s="574"/>
      <c r="ETE116" s="575"/>
      <c r="ETF116" s="583"/>
      <c r="ETG116" s="590"/>
      <c r="ETH116" s="589"/>
      <c r="ETI116" s="585"/>
      <c r="ETJ116" s="577"/>
      <c r="ETK116" s="304"/>
      <c r="ETL116" s="572"/>
      <c r="ETM116" s="573"/>
      <c r="ETN116" s="574"/>
      <c r="ETO116" s="575"/>
      <c r="ETP116" s="583"/>
      <c r="ETQ116" s="590"/>
      <c r="ETR116" s="589"/>
      <c r="ETS116" s="585"/>
      <c r="ETT116" s="577"/>
      <c r="ETU116" s="304"/>
      <c r="ETV116" s="572"/>
      <c r="ETW116" s="573"/>
      <c r="ETX116" s="574"/>
      <c r="ETY116" s="575"/>
      <c r="ETZ116" s="583"/>
      <c r="EUA116" s="590"/>
      <c r="EUB116" s="589"/>
      <c r="EUC116" s="585"/>
      <c r="EUD116" s="577"/>
      <c r="EUE116" s="304"/>
      <c r="EUF116" s="572"/>
      <c r="EUG116" s="573"/>
      <c r="EUH116" s="574"/>
      <c r="EUI116" s="575"/>
      <c r="EUJ116" s="583"/>
      <c r="EUK116" s="590"/>
      <c r="EUL116" s="589"/>
      <c r="EUM116" s="585"/>
      <c r="EUN116" s="577"/>
      <c r="EUO116" s="304"/>
      <c r="EUP116" s="572"/>
      <c r="EUQ116" s="573"/>
      <c r="EUR116" s="574"/>
      <c r="EUS116" s="575"/>
      <c r="EUT116" s="583"/>
      <c r="EUU116" s="590"/>
      <c r="EUV116" s="589"/>
      <c r="EUW116" s="585"/>
      <c r="EUX116" s="577"/>
      <c r="EUY116" s="304"/>
      <c r="EUZ116" s="572"/>
      <c r="EVA116" s="573"/>
      <c r="EVB116" s="574"/>
      <c r="EVC116" s="575"/>
      <c r="EVD116" s="583"/>
      <c r="EVE116" s="590"/>
      <c r="EVF116" s="589"/>
      <c r="EVG116" s="585"/>
      <c r="EVH116" s="577"/>
      <c r="EVI116" s="304"/>
      <c r="EVJ116" s="572"/>
      <c r="EVK116" s="573"/>
      <c r="EVL116" s="574"/>
      <c r="EVM116" s="575"/>
      <c r="EVN116" s="583"/>
      <c r="EVO116" s="590"/>
      <c r="EVP116" s="589"/>
      <c r="EVQ116" s="585"/>
      <c r="EVR116" s="577"/>
      <c r="EVS116" s="304"/>
      <c r="EVT116" s="572"/>
      <c r="EVU116" s="573"/>
      <c r="EVV116" s="574"/>
      <c r="EVW116" s="575"/>
      <c r="EVX116" s="583"/>
      <c r="EVY116" s="590"/>
      <c r="EVZ116" s="589"/>
      <c r="EWA116" s="585"/>
      <c r="EWB116" s="577"/>
      <c r="EWC116" s="304"/>
      <c r="EWD116" s="572"/>
      <c r="EWE116" s="573"/>
      <c r="EWF116" s="574"/>
      <c r="EWG116" s="575"/>
      <c r="EWH116" s="583"/>
      <c r="EWI116" s="590"/>
      <c r="EWJ116" s="589"/>
      <c r="EWK116" s="585"/>
      <c r="EWL116" s="577"/>
      <c r="EWM116" s="304"/>
      <c r="EWN116" s="572"/>
      <c r="EWO116" s="573"/>
      <c r="EWP116" s="574"/>
      <c r="EWQ116" s="575"/>
      <c r="EWR116" s="583"/>
      <c r="EWS116" s="590"/>
      <c r="EWT116" s="589"/>
      <c r="EWU116" s="585"/>
      <c r="EWV116" s="577"/>
      <c r="EWW116" s="304"/>
      <c r="EWX116" s="572"/>
      <c r="EWY116" s="573"/>
      <c r="EWZ116" s="574"/>
      <c r="EXA116" s="575"/>
      <c r="EXB116" s="583"/>
      <c r="EXC116" s="590"/>
      <c r="EXD116" s="589"/>
      <c r="EXE116" s="585"/>
      <c r="EXF116" s="577"/>
      <c r="EXG116" s="304"/>
      <c r="EXH116" s="572"/>
      <c r="EXI116" s="573"/>
      <c r="EXJ116" s="574"/>
      <c r="EXK116" s="575"/>
      <c r="EXL116" s="583"/>
      <c r="EXM116" s="590"/>
      <c r="EXN116" s="589"/>
      <c r="EXO116" s="585"/>
      <c r="EXP116" s="577"/>
      <c r="EXQ116" s="304"/>
      <c r="EXR116" s="572"/>
      <c r="EXS116" s="573"/>
      <c r="EXT116" s="574"/>
      <c r="EXU116" s="575"/>
      <c r="EXV116" s="583"/>
      <c r="EXW116" s="590"/>
      <c r="EXX116" s="589"/>
      <c r="EXY116" s="585"/>
      <c r="EXZ116" s="577"/>
      <c r="EYA116" s="304"/>
      <c r="EYB116" s="572"/>
      <c r="EYC116" s="573"/>
      <c r="EYD116" s="574"/>
      <c r="EYE116" s="575"/>
      <c r="EYF116" s="583"/>
      <c r="EYG116" s="590"/>
      <c r="EYH116" s="589"/>
      <c r="EYI116" s="585"/>
      <c r="EYJ116" s="577"/>
      <c r="EYK116" s="304"/>
      <c r="EYL116" s="572"/>
      <c r="EYM116" s="573"/>
      <c r="EYN116" s="574"/>
      <c r="EYO116" s="575"/>
      <c r="EYP116" s="583"/>
      <c r="EYQ116" s="590"/>
      <c r="EYR116" s="589"/>
      <c r="EYS116" s="585"/>
      <c r="EYT116" s="577"/>
      <c r="EYU116" s="304"/>
      <c r="EYV116" s="572"/>
      <c r="EYW116" s="573"/>
      <c r="EYX116" s="574"/>
      <c r="EYY116" s="575"/>
      <c r="EYZ116" s="583"/>
      <c r="EZA116" s="590"/>
      <c r="EZB116" s="589"/>
      <c r="EZC116" s="585"/>
      <c r="EZD116" s="577"/>
      <c r="EZE116" s="304"/>
      <c r="EZF116" s="572"/>
      <c r="EZG116" s="573"/>
      <c r="EZH116" s="574"/>
      <c r="EZI116" s="575"/>
      <c r="EZJ116" s="583"/>
      <c r="EZK116" s="590"/>
      <c r="EZL116" s="589"/>
      <c r="EZM116" s="585"/>
      <c r="EZN116" s="577"/>
      <c r="EZO116" s="304"/>
      <c r="EZP116" s="572"/>
      <c r="EZQ116" s="573"/>
      <c r="EZR116" s="574"/>
      <c r="EZS116" s="575"/>
      <c r="EZT116" s="583"/>
      <c r="EZU116" s="590"/>
      <c r="EZV116" s="589"/>
      <c r="EZW116" s="585"/>
      <c r="EZX116" s="577"/>
      <c r="EZY116" s="304"/>
      <c r="EZZ116" s="572"/>
      <c r="FAA116" s="573"/>
      <c r="FAB116" s="574"/>
      <c r="FAC116" s="575"/>
      <c r="FAD116" s="583"/>
      <c r="FAE116" s="590"/>
      <c r="FAF116" s="589"/>
      <c r="FAG116" s="585"/>
      <c r="FAH116" s="577"/>
      <c r="FAI116" s="304"/>
      <c r="FAJ116" s="572"/>
      <c r="FAK116" s="573"/>
      <c r="FAL116" s="574"/>
      <c r="FAM116" s="575"/>
      <c r="FAN116" s="583"/>
      <c r="FAO116" s="590"/>
      <c r="FAP116" s="589"/>
      <c r="FAQ116" s="585"/>
      <c r="FAR116" s="577"/>
      <c r="FAS116" s="304"/>
      <c r="FAT116" s="572"/>
      <c r="FAU116" s="573"/>
      <c r="FAV116" s="574"/>
      <c r="FAW116" s="575"/>
      <c r="FAX116" s="583"/>
      <c r="FAY116" s="590"/>
      <c r="FAZ116" s="589"/>
      <c r="FBA116" s="585"/>
      <c r="FBB116" s="577"/>
      <c r="FBC116" s="304"/>
      <c r="FBD116" s="572"/>
      <c r="FBE116" s="573"/>
      <c r="FBF116" s="574"/>
      <c r="FBG116" s="575"/>
      <c r="FBH116" s="583"/>
      <c r="FBI116" s="590"/>
      <c r="FBJ116" s="589"/>
      <c r="FBK116" s="585"/>
      <c r="FBL116" s="577"/>
      <c r="FBM116" s="304"/>
      <c r="FBN116" s="572"/>
      <c r="FBO116" s="573"/>
      <c r="FBP116" s="574"/>
      <c r="FBQ116" s="575"/>
      <c r="FBR116" s="583"/>
      <c r="FBS116" s="590"/>
      <c r="FBT116" s="589"/>
      <c r="FBU116" s="585"/>
      <c r="FBV116" s="577"/>
      <c r="FBW116" s="304"/>
      <c r="FBX116" s="572"/>
      <c r="FBY116" s="573"/>
      <c r="FBZ116" s="574"/>
      <c r="FCA116" s="575"/>
      <c r="FCB116" s="583"/>
      <c r="FCC116" s="590"/>
      <c r="FCD116" s="589"/>
      <c r="FCE116" s="585"/>
      <c r="FCF116" s="577"/>
      <c r="FCG116" s="304"/>
      <c r="FCH116" s="572"/>
      <c r="FCI116" s="573"/>
      <c r="FCJ116" s="574"/>
      <c r="FCK116" s="575"/>
      <c r="FCL116" s="583"/>
      <c r="FCM116" s="590"/>
      <c r="FCN116" s="589"/>
      <c r="FCO116" s="585"/>
      <c r="FCP116" s="577"/>
      <c r="FCQ116" s="304"/>
      <c r="FCR116" s="572"/>
      <c r="FCS116" s="573"/>
      <c r="FCT116" s="574"/>
      <c r="FCU116" s="575"/>
      <c r="FCV116" s="583"/>
      <c r="FCW116" s="590"/>
      <c r="FCX116" s="589"/>
      <c r="FCY116" s="585"/>
      <c r="FCZ116" s="577"/>
      <c r="FDA116" s="304"/>
      <c r="FDB116" s="572"/>
      <c r="FDC116" s="573"/>
      <c r="FDD116" s="574"/>
      <c r="FDE116" s="575"/>
      <c r="FDF116" s="583"/>
      <c r="FDG116" s="590"/>
      <c r="FDH116" s="589"/>
      <c r="FDI116" s="585"/>
      <c r="FDJ116" s="577"/>
      <c r="FDK116" s="304"/>
      <c r="FDL116" s="572"/>
      <c r="FDM116" s="573"/>
      <c r="FDN116" s="574"/>
      <c r="FDO116" s="575"/>
      <c r="FDP116" s="583"/>
      <c r="FDQ116" s="590"/>
      <c r="FDR116" s="589"/>
      <c r="FDS116" s="585"/>
      <c r="FDT116" s="577"/>
      <c r="FDU116" s="304"/>
      <c r="FDV116" s="572"/>
      <c r="FDW116" s="573"/>
      <c r="FDX116" s="574"/>
      <c r="FDY116" s="575"/>
      <c r="FDZ116" s="583"/>
      <c r="FEA116" s="590"/>
      <c r="FEB116" s="589"/>
      <c r="FEC116" s="585"/>
      <c r="FED116" s="577"/>
      <c r="FEE116" s="304"/>
      <c r="FEF116" s="572"/>
      <c r="FEG116" s="573"/>
      <c r="FEH116" s="574"/>
      <c r="FEI116" s="575"/>
      <c r="FEJ116" s="583"/>
      <c r="FEK116" s="590"/>
      <c r="FEL116" s="589"/>
      <c r="FEM116" s="585"/>
      <c r="FEN116" s="577"/>
      <c r="FEO116" s="304"/>
      <c r="FEP116" s="572"/>
      <c r="FEQ116" s="573"/>
      <c r="FER116" s="574"/>
      <c r="FES116" s="575"/>
      <c r="FET116" s="583"/>
      <c r="FEU116" s="590"/>
      <c r="FEV116" s="589"/>
      <c r="FEW116" s="585"/>
      <c r="FEX116" s="577"/>
      <c r="FEY116" s="304"/>
      <c r="FEZ116" s="572"/>
      <c r="FFA116" s="573"/>
      <c r="FFB116" s="574"/>
      <c r="FFC116" s="575"/>
      <c r="FFD116" s="583"/>
      <c r="FFE116" s="590"/>
      <c r="FFF116" s="589"/>
      <c r="FFG116" s="585"/>
      <c r="FFH116" s="577"/>
      <c r="FFI116" s="304"/>
      <c r="FFJ116" s="572"/>
      <c r="FFK116" s="573"/>
      <c r="FFL116" s="574"/>
      <c r="FFM116" s="575"/>
      <c r="FFN116" s="583"/>
      <c r="FFO116" s="590"/>
      <c r="FFP116" s="589"/>
      <c r="FFQ116" s="585"/>
      <c r="FFR116" s="577"/>
      <c r="FFS116" s="304"/>
      <c r="FFT116" s="572"/>
      <c r="FFU116" s="573"/>
      <c r="FFV116" s="574"/>
      <c r="FFW116" s="575"/>
      <c r="FFX116" s="583"/>
      <c r="FFY116" s="590"/>
      <c r="FFZ116" s="589"/>
      <c r="FGA116" s="585"/>
      <c r="FGB116" s="577"/>
      <c r="FGC116" s="304"/>
      <c r="FGD116" s="572"/>
      <c r="FGE116" s="573"/>
      <c r="FGF116" s="574"/>
      <c r="FGG116" s="575"/>
      <c r="FGH116" s="583"/>
      <c r="FGI116" s="590"/>
      <c r="FGJ116" s="589"/>
      <c r="FGK116" s="585"/>
      <c r="FGL116" s="577"/>
      <c r="FGM116" s="304"/>
      <c r="FGN116" s="572"/>
      <c r="FGO116" s="573"/>
      <c r="FGP116" s="574"/>
      <c r="FGQ116" s="575"/>
      <c r="FGR116" s="583"/>
      <c r="FGS116" s="590"/>
      <c r="FGT116" s="589"/>
      <c r="FGU116" s="585"/>
      <c r="FGV116" s="577"/>
      <c r="FGW116" s="304"/>
      <c r="FGX116" s="572"/>
      <c r="FGY116" s="573"/>
      <c r="FGZ116" s="574"/>
      <c r="FHA116" s="575"/>
      <c r="FHB116" s="583"/>
      <c r="FHC116" s="590"/>
      <c r="FHD116" s="589"/>
      <c r="FHE116" s="585"/>
      <c r="FHF116" s="577"/>
      <c r="FHG116" s="304"/>
      <c r="FHH116" s="572"/>
      <c r="FHI116" s="573"/>
      <c r="FHJ116" s="574"/>
      <c r="FHK116" s="575"/>
      <c r="FHL116" s="583"/>
      <c r="FHM116" s="590"/>
      <c r="FHN116" s="589"/>
      <c r="FHO116" s="585"/>
      <c r="FHP116" s="577"/>
      <c r="FHQ116" s="304"/>
      <c r="FHR116" s="572"/>
      <c r="FHS116" s="573"/>
      <c r="FHT116" s="574"/>
      <c r="FHU116" s="575"/>
      <c r="FHV116" s="583"/>
      <c r="FHW116" s="590"/>
      <c r="FHX116" s="589"/>
      <c r="FHY116" s="585"/>
      <c r="FHZ116" s="577"/>
      <c r="FIA116" s="304"/>
      <c r="FIB116" s="572"/>
      <c r="FIC116" s="573"/>
      <c r="FID116" s="574"/>
      <c r="FIE116" s="575"/>
      <c r="FIF116" s="583"/>
      <c r="FIG116" s="590"/>
      <c r="FIH116" s="589"/>
      <c r="FII116" s="585"/>
      <c r="FIJ116" s="577"/>
      <c r="FIK116" s="304"/>
      <c r="FIL116" s="572"/>
      <c r="FIM116" s="573"/>
      <c r="FIN116" s="574"/>
      <c r="FIO116" s="575"/>
      <c r="FIP116" s="583"/>
      <c r="FIQ116" s="590"/>
      <c r="FIR116" s="589"/>
      <c r="FIS116" s="585"/>
      <c r="FIT116" s="577"/>
      <c r="FIU116" s="304"/>
      <c r="FIV116" s="572"/>
      <c r="FIW116" s="573"/>
      <c r="FIX116" s="574"/>
      <c r="FIY116" s="575"/>
      <c r="FIZ116" s="583"/>
      <c r="FJA116" s="590"/>
      <c r="FJB116" s="589"/>
      <c r="FJC116" s="585"/>
      <c r="FJD116" s="577"/>
      <c r="FJE116" s="304"/>
      <c r="FJF116" s="572"/>
      <c r="FJG116" s="573"/>
      <c r="FJH116" s="574"/>
      <c r="FJI116" s="575"/>
      <c r="FJJ116" s="583"/>
      <c r="FJK116" s="590"/>
      <c r="FJL116" s="589"/>
      <c r="FJM116" s="585"/>
      <c r="FJN116" s="577"/>
      <c r="FJO116" s="304"/>
      <c r="FJP116" s="572"/>
      <c r="FJQ116" s="573"/>
      <c r="FJR116" s="574"/>
      <c r="FJS116" s="575"/>
      <c r="FJT116" s="583"/>
      <c r="FJU116" s="590"/>
      <c r="FJV116" s="589"/>
      <c r="FJW116" s="585"/>
      <c r="FJX116" s="577"/>
      <c r="FJY116" s="304"/>
      <c r="FJZ116" s="572"/>
      <c r="FKA116" s="573"/>
      <c r="FKB116" s="574"/>
      <c r="FKC116" s="575"/>
      <c r="FKD116" s="583"/>
      <c r="FKE116" s="590"/>
      <c r="FKF116" s="589"/>
      <c r="FKG116" s="585"/>
      <c r="FKH116" s="577"/>
      <c r="FKI116" s="304"/>
      <c r="FKJ116" s="572"/>
      <c r="FKK116" s="573"/>
      <c r="FKL116" s="574"/>
      <c r="FKM116" s="575"/>
      <c r="FKN116" s="583"/>
      <c r="FKO116" s="590"/>
      <c r="FKP116" s="589"/>
      <c r="FKQ116" s="585"/>
      <c r="FKR116" s="577"/>
      <c r="FKS116" s="304"/>
      <c r="FKT116" s="572"/>
      <c r="FKU116" s="573"/>
      <c r="FKV116" s="574"/>
      <c r="FKW116" s="575"/>
      <c r="FKX116" s="583"/>
      <c r="FKY116" s="590"/>
      <c r="FKZ116" s="589"/>
      <c r="FLA116" s="585"/>
      <c r="FLB116" s="577"/>
      <c r="FLC116" s="304"/>
      <c r="FLD116" s="572"/>
      <c r="FLE116" s="573"/>
      <c r="FLF116" s="574"/>
      <c r="FLG116" s="575"/>
      <c r="FLH116" s="583"/>
      <c r="FLI116" s="590"/>
      <c r="FLJ116" s="589"/>
      <c r="FLK116" s="585"/>
      <c r="FLL116" s="577"/>
      <c r="FLM116" s="304"/>
      <c r="FLN116" s="572"/>
      <c r="FLO116" s="573"/>
      <c r="FLP116" s="574"/>
      <c r="FLQ116" s="575"/>
      <c r="FLR116" s="583"/>
      <c r="FLS116" s="590"/>
      <c r="FLT116" s="589"/>
      <c r="FLU116" s="585"/>
      <c r="FLV116" s="577"/>
      <c r="FLW116" s="304"/>
      <c r="FLX116" s="572"/>
      <c r="FLY116" s="573"/>
      <c r="FLZ116" s="574"/>
      <c r="FMA116" s="575"/>
      <c r="FMB116" s="583"/>
      <c r="FMC116" s="590"/>
      <c r="FMD116" s="589"/>
      <c r="FME116" s="585"/>
      <c r="FMF116" s="577"/>
      <c r="FMG116" s="304"/>
      <c r="FMH116" s="572"/>
      <c r="FMI116" s="573"/>
      <c r="FMJ116" s="574"/>
      <c r="FMK116" s="575"/>
      <c r="FML116" s="583"/>
      <c r="FMM116" s="590"/>
      <c r="FMN116" s="589"/>
      <c r="FMO116" s="585"/>
      <c r="FMP116" s="577"/>
      <c r="FMQ116" s="304"/>
      <c r="FMR116" s="572"/>
      <c r="FMS116" s="573"/>
      <c r="FMT116" s="574"/>
      <c r="FMU116" s="575"/>
      <c r="FMV116" s="583"/>
      <c r="FMW116" s="590"/>
      <c r="FMX116" s="589"/>
      <c r="FMY116" s="585"/>
      <c r="FMZ116" s="577"/>
      <c r="FNA116" s="304"/>
      <c r="FNB116" s="572"/>
      <c r="FNC116" s="573"/>
      <c r="FND116" s="574"/>
      <c r="FNE116" s="575"/>
      <c r="FNF116" s="583"/>
      <c r="FNG116" s="590"/>
      <c r="FNH116" s="589"/>
      <c r="FNI116" s="585"/>
      <c r="FNJ116" s="577"/>
      <c r="FNK116" s="304"/>
      <c r="FNL116" s="572"/>
      <c r="FNM116" s="573"/>
      <c r="FNN116" s="574"/>
      <c r="FNO116" s="575"/>
      <c r="FNP116" s="583"/>
      <c r="FNQ116" s="590"/>
      <c r="FNR116" s="589"/>
      <c r="FNS116" s="585"/>
      <c r="FNT116" s="577"/>
      <c r="FNU116" s="304"/>
      <c r="FNV116" s="572"/>
      <c r="FNW116" s="573"/>
      <c r="FNX116" s="574"/>
      <c r="FNY116" s="575"/>
      <c r="FNZ116" s="583"/>
      <c r="FOA116" s="590"/>
      <c r="FOB116" s="589"/>
      <c r="FOC116" s="585"/>
      <c r="FOD116" s="577"/>
      <c r="FOE116" s="304"/>
      <c r="FOF116" s="572"/>
      <c r="FOG116" s="573"/>
      <c r="FOH116" s="574"/>
      <c r="FOI116" s="575"/>
      <c r="FOJ116" s="583"/>
      <c r="FOK116" s="590"/>
      <c r="FOL116" s="589"/>
      <c r="FOM116" s="585"/>
      <c r="FON116" s="577"/>
      <c r="FOO116" s="304"/>
      <c r="FOP116" s="572"/>
      <c r="FOQ116" s="573"/>
      <c r="FOR116" s="574"/>
      <c r="FOS116" s="575"/>
      <c r="FOT116" s="583"/>
      <c r="FOU116" s="590"/>
      <c r="FOV116" s="589"/>
      <c r="FOW116" s="585"/>
      <c r="FOX116" s="577"/>
      <c r="FOY116" s="304"/>
      <c r="FOZ116" s="572"/>
      <c r="FPA116" s="573"/>
      <c r="FPB116" s="574"/>
      <c r="FPC116" s="575"/>
      <c r="FPD116" s="583"/>
      <c r="FPE116" s="590"/>
      <c r="FPF116" s="589"/>
      <c r="FPG116" s="585"/>
      <c r="FPH116" s="577"/>
      <c r="FPI116" s="304"/>
      <c r="FPJ116" s="572"/>
      <c r="FPK116" s="573"/>
      <c r="FPL116" s="574"/>
      <c r="FPM116" s="575"/>
      <c r="FPN116" s="583"/>
      <c r="FPO116" s="590"/>
      <c r="FPP116" s="589"/>
      <c r="FPQ116" s="585"/>
      <c r="FPR116" s="577"/>
      <c r="FPS116" s="304"/>
      <c r="FPT116" s="572"/>
      <c r="FPU116" s="573"/>
      <c r="FPV116" s="574"/>
      <c r="FPW116" s="575"/>
      <c r="FPX116" s="583"/>
      <c r="FPY116" s="590"/>
      <c r="FPZ116" s="589"/>
      <c r="FQA116" s="585"/>
      <c r="FQB116" s="577"/>
      <c r="FQC116" s="304"/>
      <c r="FQD116" s="572"/>
      <c r="FQE116" s="573"/>
      <c r="FQF116" s="574"/>
      <c r="FQG116" s="575"/>
      <c r="FQH116" s="583"/>
      <c r="FQI116" s="590"/>
      <c r="FQJ116" s="589"/>
      <c r="FQK116" s="585"/>
      <c r="FQL116" s="577"/>
      <c r="FQM116" s="304"/>
      <c r="FQN116" s="572"/>
      <c r="FQO116" s="573"/>
      <c r="FQP116" s="574"/>
      <c r="FQQ116" s="575"/>
      <c r="FQR116" s="583"/>
      <c r="FQS116" s="590"/>
      <c r="FQT116" s="589"/>
      <c r="FQU116" s="585"/>
      <c r="FQV116" s="577"/>
      <c r="FQW116" s="304"/>
      <c r="FQX116" s="572"/>
      <c r="FQY116" s="573"/>
      <c r="FQZ116" s="574"/>
      <c r="FRA116" s="575"/>
      <c r="FRB116" s="583"/>
      <c r="FRC116" s="590"/>
      <c r="FRD116" s="589"/>
      <c r="FRE116" s="585"/>
      <c r="FRF116" s="577"/>
      <c r="FRG116" s="304"/>
      <c r="FRH116" s="572"/>
      <c r="FRI116" s="573"/>
      <c r="FRJ116" s="574"/>
      <c r="FRK116" s="575"/>
      <c r="FRL116" s="583"/>
      <c r="FRM116" s="590"/>
      <c r="FRN116" s="589"/>
      <c r="FRO116" s="585"/>
      <c r="FRP116" s="577"/>
      <c r="FRQ116" s="304"/>
      <c r="FRR116" s="572"/>
      <c r="FRS116" s="573"/>
      <c r="FRT116" s="574"/>
      <c r="FRU116" s="575"/>
      <c r="FRV116" s="583"/>
      <c r="FRW116" s="590"/>
      <c r="FRX116" s="589"/>
      <c r="FRY116" s="585"/>
      <c r="FRZ116" s="577"/>
      <c r="FSA116" s="304"/>
      <c r="FSB116" s="572"/>
      <c r="FSC116" s="573"/>
      <c r="FSD116" s="574"/>
      <c r="FSE116" s="575"/>
      <c r="FSF116" s="583"/>
      <c r="FSG116" s="590"/>
      <c r="FSH116" s="589"/>
      <c r="FSI116" s="585"/>
      <c r="FSJ116" s="577"/>
      <c r="FSK116" s="304"/>
      <c r="FSL116" s="572"/>
      <c r="FSM116" s="573"/>
      <c r="FSN116" s="574"/>
      <c r="FSO116" s="575"/>
      <c r="FSP116" s="583"/>
      <c r="FSQ116" s="590"/>
      <c r="FSR116" s="589"/>
      <c r="FSS116" s="585"/>
      <c r="FST116" s="577"/>
      <c r="FSU116" s="304"/>
      <c r="FSV116" s="572"/>
      <c r="FSW116" s="573"/>
      <c r="FSX116" s="574"/>
      <c r="FSY116" s="575"/>
      <c r="FSZ116" s="583"/>
      <c r="FTA116" s="590"/>
      <c r="FTB116" s="589"/>
      <c r="FTC116" s="585"/>
      <c r="FTD116" s="577"/>
      <c r="FTE116" s="304"/>
      <c r="FTF116" s="572"/>
      <c r="FTG116" s="573"/>
      <c r="FTH116" s="574"/>
      <c r="FTI116" s="575"/>
      <c r="FTJ116" s="583"/>
      <c r="FTK116" s="590"/>
      <c r="FTL116" s="589"/>
      <c r="FTM116" s="585"/>
      <c r="FTN116" s="577"/>
      <c r="FTO116" s="304"/>
      <c r="FTP116" s="572"/>
      <c r="FTQ116" s="573"/>
      <c r="FTR116" s="574"/>
      <c r="FTS116" s="575"/>
      <c r="FTT116" s="583"/>
      <c r="FTU116" s="590"/>
      <c r="FTV116" s="589"/>
      <c r="FTW116" s="585"/>
      <c r="FTX116" s="577"/>
      <c r="FTY116" s="304"/>
      <c r="FTZ116" s="572"/>
      <c r="FUA116" s="573"/>
      <c r="FUB116" s="574"/>
      <c r="FUC116" s="575"/>
      <c r="FUD116" s="583"/>
      <c r="FUE116" s="590"/>
      <c r="FUF116" s="589"/>
      <c r="FUG116" s="585"/>
      <c r="FUH116" s="577"/>
      <c r="FUI116" s="304"/>
      <c r="FUJ116" s="572"/>
      <c r="FUK116" s="573"/>
      <c r="FUL116" s="574"/>
      <c r="FUM116" s="575"/>
      <c r="FUN116" s="583"/>
      <c r="FUO116" s="590"/>
      <c r="FUP116" s="589"/>
      <c r="FUQ116" s="585"/>
      <c r="FUR116" s="577"/>
      <c r="FUS116" s="304"/>
      <c r="FUT116" s="572"/>
      <c r="FUU116" s="573"/>
      <c r="FUV116" s="574"/>
      <c r="FUW116" s="575"/>
      <c r="FUX116" s="583"/>
      <c r="FUY116" s="590"/>
      <c r="FUZ116" s="589"/>
      <c r="FVA116" s="585"/>
      <c r="FVB116" s="577"/>
      <c r="FVC116" s="304"/>
      <c r="FVD116" s="572"/>
      <c r="FVE116" s="573"/>
      <c r="FVF116" s="574"/>
      <c r="FVG116" s="575"/>
      <c r="FVH116" s="583"/>
      <c r="FVI116" s="590"/>
      <c r="FVJ116" s="589"/>
      <c r="FVK116" s="585"/>
      <c r="FVL116" s="577"/>
      <c r="FVM116" s="304"/>
      <c r="FVN116" s="572"/>
      <c r="FVO116" s="573"/>
      <c r="FVP116" s="574"/>
      <c r="FVQ116" s="575"/>
      <c r="FVR116" s="583"/>
      <c r="FVS116" s="590"/>
      <c r="FVT116" s="589"/>
      <c r="FVU116" s="585"/>
      <c r="FVV116" s="577"/>
      <c r="FVW116" s="304"/>
      <c r="FVX116" s="572"/>
      <c r="FVY116" s="573"/>
      <c r="FVZ116" s="574"/>
      <c r="FWA116" s="575"/>
      <c r="FWB116" s="583"/>
      <c r="FWC116" s="590"/>
      <c r="FWD116" s="589"/>
      <c r="FWE116" s="585"/>
      <c r="FWF116" s="577"/>
      <c r="FWG116" s="304"/>
      <c r="FWH116" s="572"/>
      <c r="FWI116" s="573"/>
      <c r="FWJ116" s="574"/>
      <c r="FWK116" s="575"/>
      <c r="FWL116" s="583"/>
      <c r="FWM116" s="590"/>
      <c r="FWN116" s="589"/>
      <c r="FWO116" s="585"/>
      <c r="FWP116" s="577"/>
      <c r="FWQ116" s="304"/>
      <c r="FWR116" s="572"/>
      <c r="FWS116" s="573"/>
      <c r="FWT116" s="574"/>
      <c r="FWU116" s="575"/>
      <c r="FWV116" s="583"/>
      <c r="FWW116" s="590"/>
      <c r="FWX116" s="589"/>
      <c r="FWY116" s="585"/>
      <c r="FWZ116" s="577"/>
      <c r="FXA116" s="304"/>
      <c r="FXB116" s="572"/>
      <c r="FXC116" s="573"/>
      <c r="FXD116" s="574"/>
      <c r="FXE116" s="575"/>
      <c r="FXF116" s="583"/>
      <c r="FXG116" s="590"/>
      <c r="FXH116" s="589"/>
      <c r="FXI116" s="585"/>
      <c r="FXJ116" s="577"/>
      <c r="FXK116" s="304"/>
      <c r="FXL116" s="572"/>
      <c r="FXM116" s="573"/>
      <c r="FXN116" s="574"/>
      <c r="FXO116" s="575"/>
      <c r="FXP116" s="583"/>
      <c r="FXQ116" s="590"/>
      <c r="FXR116" s="589"/>
      <c r="FXS116" s="585"/>
      <c r="FXT116" s="577"/>
      <c r="FXU116" s="304"/>
      <c r="FXV116" s="572"/>
      <c r="FXW116" s="573"/>
      <c r="FXX116" s="574"/>
      <c r="FXY116" s="575"/>
      <c r="FXZ116" s="583"/>
      <c r="FYA116" s="590"/>
      <c r="FYB116" s="589"/>
      <c r="FYC116" s="585"/>
      <c r="FYD116" s="577"/>
      <c r="FYE116" s="304"/>
      <c r="FYF116" s="572"/>
      <c r="FYG116" s="573"/>
      <c r="FYH116" s="574"/>
      <c r="FYI116" s="575"/>
      <c r="FYJ116" s="583"/>
      <c r="FYK116" s="590"/>
      <c r="FYL116" s="589"/>
      <c r="FYM116" s="585"/>
      <c r="FYN116" s="577"/>
      <c r="FYO116" s="304"/>
      <c r="FYP116" s="572"/>
      <c r="FYQ116" s="573"/>
      <c r="FYR116" s="574"/>
      <c r="FYS116" s="575"/>
      <c r="FYT116" s="583"/>
      <c r="FYU116" s="590"/>
      <c r="FYV116" s="589"/>
      <c r="FYW116" s="585"/>
      <c r="FYX116" s="577"/>
      <c r="FYY116" s="304"/>
      <c r="FYZ116" s="572"/>
      <c r="FZA116" s="573"/>
      <c r="FZB116" s="574"/>
      <c r="FZC116" s="575"/>
      <c r="FZD116" s="583"/>
      <c r="FZE116" s="590"/>
      <c r="FZF116" s="589"/>
      <c r="FZG116" s="585"/>
      <c r="FZH116" s="577"/>
      <c r="FZI116" s="304"/>
      <c r="FZJ116" s="572"/>
      <c r="FZK116" s="573"/>
      <c r="FZL116" s="574"/>
      <c r="FZM116" s="575"/>
      <c r="FZN116" s="583"/>
      <c r="FZO116" s="590"/>
      <c r="FZP116" s="589"/>
      <c r="FZQ116" s="585"/>
      <c r="FZR116" s="577"/>
      <c r="FZS116" s="304"/>
      <c r="FZT116" s="572"/>
      <c r="FZU116" s="573"/>
      <c r="FZV116" s="574"/>
      <c r="FZW116" s="575"/>
      <c r="FZX116" s="583"/>
      <c r="FZY116" s="590"/>
      <c r="FZZ116" s="589"/>
      <c r="GAA116" s="585"/>
      <c r="GAB116" s="577"/>
      <c r="GAC116" s="304"/>
      <c r="GAD116" s="572"/>
      <c r="GAE116" s="573"/>
      <c r="GAF116" s="574"/>
      <c r="GAG116" s="575"/>
      <c r="GAH116" s="583"/>
      <c r="GAI116" s="590"/>
      <c r="GAJ116" s="589"/>
      <c r="GAK116" s="585"/>
      <c r="GAL116" s="577"/>
      <c r="GAM116" s="304"/>
      <c r="GAN116" s="572"/>
      <c r="GAO116" s="573"/>
      <c r="GAP116" s="574"/>
      <c r="GAQ116" s="575"/>
      <c r="GAR116" s="583"/>
      <c r="GAS116" s="590"/>
      <c r="GAT116" s="589"/>
      <c r="GAU116" s="585"/>
      <c r="GAV116" s="577"/>
      <c r="GAW116" s="304"/>
      <c r="GAX116" s="572"/>
      <c r="GAY116" s="573"/>
      <c r="GAZ116" s="574"/>
      <c r="GBA116" s="575"/>
      <c r="GBB116" s="583"/>
      <c r="GBC116" s="590"/>
      <c r="GBD116" s="589"/>
      <c r="GBE116" s="585"/>
      <c r="GBF116" s="577"/>
      <c r="GBG116" s="304"/>
      <c r="GBH116" s="572"/>
      <c r="GBI116" s="573"/>
      <c r="GBJ116" s="574"/>
      <c r="GBK116" s="575"/>
      <c r="GBL116" s="583"/>
      <c r="GBM116" s="590"/>
      <c r="GBN116" s="589"/>
      <c r="GBO116" s="585"/>
      <c r="GBP116" s="577"/>
      <c r="GBQ116" s="304"/>
      <c r="GBR116" s="572"/>
      <c r="GBS116" s="573"/>
      <c r="GBT116" s="574"/>
      <c r="GBU116" s="575"/>
      <c r="GBV116" s="583"/>
      <c r="GBW116" s="590"/>
      <c r="GBX116" s="589"/>
      <c r="GBY116" s="585"/>
      <c r="GBZ116" s="577"/>
      <c r="GCA116" s="304"/>
      <c r="GCB116" s="572"/>
      <c r="GCC116" s="573"/>
      <c r="GCD116" s="574"/>
      <c r="GCE116" s="575"/>
      <c r="GCF116" s="583"/>
      <c r="GCG116" s="590"/>
      <c r="GCH116" s="589"/>
      <c r="GCI116" s="585"/>
      <c r="GCJ116" s="577"/>
      <c r="GCK116" s="304"/>
      <c r="GCL116" s="572"/>
      <c r="GCM116" s="573"/>
      <c r="GCN116" s="574"/>
      <c r="GCO116" s="575"/>
      <c r="GCP116" s="583"/>
      <c r="GCQ116" s="590"/>
      <c r="GCR116" s="589"/>
      <c r="GCS116" s="585"/>
      <c r="GCT116" s="577"/>
      <c r="GCU116" s="304"/>
      <c r="GCV116" s="572"/>
      <c r="GCW116" s="573"/>
      <c r="GCX116" s="574"/>
      <c r="GCY116" s="575"/>
      <c r="GCZ116" s="583"/>
      <c r="GDA116" s="590"/>
      <c r="GDB116" s="589"/>
      <c r="GDC116" s="585"/>
      <c r="GDD116" s="577"/>
      <c r="GDE116" s="304"/>
      <c r="GDF116" s="572"/>
      <c r="GDG116" s="573"/>
      <c r="GDH116" s="574"/>
      <c r="GDI116" s="575"/>
      <c r="GDJ116" s="583"/>
      <c r="GDK116" s="590"/>
      <c r="GDL116" s="589"/>
      <c r="GDM116" s="585"/>
      <c r="GDN116" s="577"/>
      <c r="GDO116" s="304"/>
      <c r="GDP116" s="572"/>
      <c r="GDQ116" s="573"/>
      <c r="GDR116" s="574"/>
      <c r="GDS116" s="575"/>
      <c r="GDT116" s="583"/>
      <c r="GDU116" s="590"/>
      <c r="GDV116" s="589"/>
      <c r="GDW116" s="585"/>
      <c r="GDX116" s="577"/>
      <c r="GDY116" s="304"/>
      <c r="GDZ116" s="572"/>
      <c r="GEA116" s="573"/>
      <c r="GEB116" s="574"/>
      <c r="GEC116" s="575"/>
      <c r="GED116" s="583"/>
      <c r="GEE116" s="590"/>
      <c r="GEF116" s="589"/>
      <c r="GEG116" s="585"/>
      <c r="GEH116" s="577"/>
      <c r="GEI116" s="304"/>
      <c r="GEJ116" s="572"/>
      <c r="GEK116" s="573"/>
      <c r="GEL116" s="574"/>
      <c r="GEM116" s="575"/>
      <c r="GEN116" s="583"/>
      <c r="GEO116" s="590"/>
      <c r="GEP116" s="589"/>
      <c r="GEQ116" s="585"/>
      <c r="GER116" s="577"/>
      <c r="GES116" s="304"/>
      <c r="GET116" s="572"/>
      <c r="GEU116" s="573"/>
      <c r="GEV116" s="574"/>
      <c r="GEW116" s="575"/>
      <c r="GEX116" s="583"/>
      <c r="GEY116" s="590"/>
      <c r="GEZ116" s="589"/>
      <c r="GFA116" s="585"/>
      <c r="GFB116" s="577"/>
      <c r="GFC116" s="304"/>
      <c r="GFD116" s="572"/>
      <c r="GFE116" s="573"/>
      <c r="GFF116" s="574"/>
      <c r="GFG116" s="575"/>
      <c r="GFH116" s="583"/>
      <c r="GFI116" s="590"/>
      <c r="GFJ116" s="589"/>
      <c r="GFK116" s="585"/>
      <c r="GFL116" s="577"/>
      <c r="GFM116" s="304"/>
      <c r="GFN116" s="572"/>
      <c r="GFO116" s="573"/>
      <c r="GFP116" s="574"/>
      <c r="GFQ116" s="575"/>
      <c r="GFR116" s="583"/>
      <c r="GFS116" s="590"/>
      <c r="GFT116" s="589"/>
      <c r="GFU116" s="585"/>
      <c r="GFV116" s="577"/>
      <c r="GFW116" s="304"/>
      <c r="GFX116" s="572"/>
      <c r="GFY116" s="573"/>
      <c r="GFZ116" s="574"/>
      <c r="GGA116" s="575"/>
      <c r="GGB116" s="583"/>
      <c r="GGC116" s="590"/>
      <c r="GGD116" s="589"/>
      <c r="GGE116" s="585"/>
      <c r="GGF116" s="577"/>
      <c r="GGG116" s="304"/>
      <c r="GGH116" s="572"/>
      <c r="GGI116" s="573"/>
      <c r="GGJ116" s="574"/>
      <c r="GGK116" s="575"/>
      <c r="GGL116" s="583"/>
      <c r="GGM116" s="590"/>
      <c r="GGN116" s="589"/>
      <c r="GGO116" s="585"/>
      <c r="GGP116" s="577"/>
      <c r="GGQ116" s="304"/>
      <c r="GGR116" s="572"/>
      <c r="GGS116" s="573"/>
      <c r="GGT116" s="574"/>
      <c r="GGU116" s="575"/>
      <c r="GGV116" s="583"/>
      <c r="GGW116" s="590"/>
      <c r="GGX116" s="589"/>
      <c r="GGY116" s="585"/>
      <c r="GGZ116" s="577"/>
      <c r="GHA116" s="304"/>
      <c r="GHB116" s="572"/>
      <c r="GHC116" s="573"/>
      <c r="GHD116" s="574"/>
      <c r="GHE116" s="575"/>
      <c r="GHF116" s="583"/>
      <c r="GHG116" s="590"/>
      <c r="GHH116" s="589"/>
      <c r="GHI116" s="585"/>
      <c r="GHJ116" s="577"/>
      <c r="GHK116" s="304"/>
      <c r="GHL116" s="572"/>
      <c r="GHM116" s="573"/>
      <c r="GHN116" s="574"/>
      <c r="GHO116" s="575"/>
      <c r="GHP116" s="583"/>
      <c r="GHQ116" s="590"/>
      <c r="GHR116" s="589"/>
      <c r="GHS116" s="585"/>
      <c r="GHT116" s="577"/>
      <c r="GHU116" s="304"/>
      <c r="GHV116" s="572"/>
      <c r="GHW116" s="573"/>
      <c r="GHX116" s="574"/>
      <c r="GHY116" s="575"/>
      <c r="GHZ116" s="583"/>
      <c r="GIA116" s="590"/>
      <c r="GIB116" s="589"/>
      <c r="GIC116" s="585"/>
      <c r="GID116" s="577"/>
      <c r="GIE116" s="304"/>
      <c r="GIF116" s="572"/>
      <c r="GIG116" s="573"/>
      <c r="GIH116" s="574"/>
      <c r="GII116" s="575"/>
      <c r="GIJ116" s="583"/>
      <c r="GIK116" s="590"/>
      <c r="GIL116" s="589"/>
      <c r="GIM116" s="585"/>
      <c r="GIN116" s="577"/>
      <c r="GIO116" s="304"/>
      <c r="GIP116" s="572"/>
      <c r="GIQ116" s="573"/>
      <c r="GIR116" s="574"/>
      <c r="GIS116" s="575"/>
      <c r="GIT116" s="583"/>
      <c r="GIU116" s="590"/>
      <c r="GIV116" s="589"/>
      <c r="GIW116" s="585"/>
      <c r="GIX116" s="577"/>
      <c r="GIY116" s="304"/>
      <c r="GIZ116" s="572"/>
      <c r="GJA116" s="573"/>
      <c r="GJB116" s="574"/>
      <c r="GJC116" s="575"/>
      <c r="GJD116" s="583"/>
      <c r="GJE116" s="590"/>
      <c r="GJF116" s="589"/>
      <c r="GJG116" s="585"/>
      <c r="GJH116" s="577"/>
      <c r="GJI116" s="304"/>
      <c r="GJJ116" s="572"/>
      <c r="GJK116" s="573"/>
      <c r="GJL116" s="574"/>
      <c r="GJM116" s="575"/>
      <c r="GJN116" s="583"/>
      <c r="GJO116" s="590"/>
      <c r="GJP116" s="589"/>
      <c r="GJQ116" s="585"/>
      <c r="GJR116" s="577"/>
      <c r="GJS116" s="304"/>
      <c r="GJT116" s="572"/>
      <c r="GJU116" s="573"/>
      <c r="GJV116" s="574"/>
      <c r="GJW116" s="575"/>
      <c r="GJX116" s="583"/>
      <c r="GJY116" s="590"/>
      <c r="GJZ116" s="589"/>
      <c r="GKA116" s="585"/>
      <c r="GKB116" s="577"/>
      <c r="GKC116" s="304"/>
      <c r="GKD116" s="572"/>
      <c r="GKE116" s="573"/>
      <c r="GKF116" s="574"/>
      <c r="GKG116" s="575"/>
      <c r="GKH116" s="583"/>
      <c r="GKI116" s="590"/>
      <c r="GKJ116" s="589"/>
      <c r="GKK116" s="585"/>
      <c r="GKL116" s="577"/>
      <c r="GKM116" s="304"/>
      <c r="GKN116" s="572"/>
      <c r="GKO116" s="573"/>
      <c r="GKP116" s="574"/>
      <c r="GKQ116" s="575"/>
      <c r="GKR116" s="583"/>
      <c r="GKS116" s="590"/>
      <c r="GKT116" s="589"/>
      <c r="GKU116" s="585"/>
      <c r="GKV116" s="577"/>
      <c r="GKW116" s="304"/>
      <c r="GKX116" s="572"/>
      <c r="GKY116" s="573"/>
      <c r="GKZ116" s="574"/>
      <c r="GLA116" s="575"/>
      <c r="GLB116" s="583"/>
      <c r="GLC116" s="590"/>
      <c r="GLD116" s="589"/>
      <c r="GLE116" s="585"/>
      <c r="GLF116" s="577"/>
      <c r="GLG116" s="304"/>
      <c r="GLH116" s="572"/>
      <c r="GLI116" s="573"/>
      <c r="GLJ116" s="574"/>
      <c r="GLK116" s="575"/>
      <c r="GLL116" s="583"/>
      <c r="GLM116" s="590"/>
      <c r="GLN116" s="589"/>
      <c r="GLO116" s="585"/>
      <c r="GLP116" s="577"/>
      <c r="GLQ116" s="304"/>
      <c r="GLR116" s="572"/>
      <c r="GLS116" s="573"/>
      <c r="GLT116" s="574"/>
      <c r="GLU116" s="575"/>
      <c r="GLV116" s="583"/>
      <c r="GLW116" s="590"/>
      <c r="GLX116" s="589"/>
      <c r="GLY116" s="585"/>
      <c r="GLZ116" s="577"/>
      <c r="GMA116" s="304"/>
      <c r="GMB116" s="572"/>
      <c r="GMC116" s="573"/>
      <c r="GMD116" s="574"/>
      <c r="GME116" s="575"/>
      <c r="GMF116" s="583"/>
      <c r="GMG116" s="590"/>
      <c r="GMH116" s="589"/>
      <c r="GMI116" s="585"/>
      <c r="GMJ116" s="577"/>
      <c r="GMK116" s="304"/>
      <c r="GML116" s="572"/>
      <c r="GMM116" s="573"/>
      <c r="GMN116" s="574"/>
      <c r="GMO116" s="575"/>
      <c r="GMP116" s="583"/>
      <c r="GMQ116" s="590"/>
      <c r="GMR116" s="589"/>
      <c r="GMS116" s="585"/>
      <c r="GMT116" s="577"/>
      <c r="GMU116" s="304"/>
      <c r="GMV116" s="572"/>
      <c r="GMW116" s="573"/>
      <c r="GMX116" s="574"/>
      <c r="GMY116" s="575"/>
      <c r="GMZ116" s="583"/>
      <c r="GNA116" s="590"/>
      <c r="GNB116" s="589"/>
      <c r="GNC116" s="585"/>
      <c r="GND116" s="577"/>
      <c r="GNE116" s="304"/>
      <c r="GNF116" s="572"/>
      <c r="GNG116" s="573"/>
      <c r="GNH116" s="574"/>
      <c r="GNI116" s="575"/>
      <c r="GNJ116" s="583"/>
      <c r="GNK116" s="590"/>
      <c r="GNL116" s="589"/>
      <c r="GNM116" s="585"/>
      <c r="GNN116" s="577"/>
      <c r="GNO116" s="304"/>
      <c r="GNP116" s="572"/>
      <c r="GNQ116" s="573"/>
      <c r="GNR116" s="574"/>
      <c r="GNS116" s="575"/>
      <c r="GNT116" s="583"/>
      <c r="GNU116" s="590"/>
      <c r="GNV116" s="589"/>
      <c r="GNW116" s="585"/>
      <c r="GNX116" s="577"/>
      <c r="GNY116" s="304"/>
      <c r="GNZ116" s="572"/>
      <c r="GOA116" s="573"/>
      <c r="GOB116" s="574"/>
      <c r="GOC116" s="575"/>
      <c r="GOD116" s="583"/>
      <c r="GOE116" s="590"/>
      <c r="GOF116" s="589"/>
      <c r="GOG116" s="585"/>
      <c r="GOH116" s="577"/>
      <c r="GOI116" s="304"/>
      <c r="GOJ116" s="572"/>
      <c r="GOK116" s="573"/>
      <c r="GOL116" s="574"/>
      <c r="GOM116" s="575"/>
      <c r="GON116" s="583"/>
      <c r="GOO116" s="590"/>
      <c r="GOP116" s="589"/>
      <c r="GOQ116" s="585"/>
      <c r="GOR116" s="577"/>
      <c r="GOS116" s="304"/>
      <c r="GOT116" s="572"/>
      <c r="GOU116" s="573"/>
      <c r="GOV116" s="574"/>
      <c r="GOW116" s="575"/>
      <c r="GOX116" s="583"/>
      <c r="GOY116" s="590"/>
      <c r="GOZ116" s="589"/>
      <c r="GPA116" s="585"/>
      <c r="GPB116" s="577"/>
      <c r="GPC116" s="304"/>
      <c r="GPD116" s="572"/>
      <c r="GPE116" s="573"/>
      <c r="GPF116" s="574"/>
      <c r="GPG116" s="575"/>
      <c r="GPH116" s="583"/>
      <c r="GPI116" s="590"/>
      <c r="GPJ116" s="589"/>
      <c r="GPK116" s="585"/>
      <c r="GPL116" s="577"/>
      <c r="GPM116" s="304"/>
      <c r="GPN116" s="572"/>
      <c r="GPO116" s="573"/>
      <c r="GPP116" s="574"/>
      <c r="GPQ116" s="575"/>
      <c r="GPR116" s="583"/>
      <c r="GPS116" s="590"/>
      <c r="GPT116" s="589"/>
      <c r="GPU116" s="585"/>
      <c r="GPV116" s="577"/>
      <c r="GPW116" s="304"/>
      <c r="GPX116" s="572"/>
      <c r="GPY116" s="573"/>
      <c r="GPZ116" s="574"/>
      <c r="GQA116" s="575"/>
      <c r="GQB116" s="583"/>
      <c r="GQC116" s="590"/>
      <c r="GQD116" s="589"/>
      <c r="GQE116" s="585"/>
      <c r="GQF116" s="577"/>
      <c r="GQG116" s="304"/>
      <c r="GQH116" s="572"/>
      <c r="GQI116" s="573"/>
      <c r="GQJ116" s="574"/>
      <c r="GQK116" s="575"/>
      <c r="GQL116" s="583"/>
      <c r="GQM116" s="590"/>
      <c r="GQN116" s="589"/>
      <c r="GQO116" s="585"/>
      <c r="GQP116" s="577"/>
      <c r="GQQ116" s="304"/>
      <c r="GQR116" s="572"/>
      <c r="GQS116" s="573"/>
      <c r="GQT116" s="574"/>
      <c r="GQU116" s="575"/>
      <c r="GQV116" s="583"/>
      <c r="GQW116" s="590"/>
      <c r="GQX116" s="589"/>
      <c r="GQY116" s="585"/>
      <c r="GQZ116" s="577"/>
      <c r="GRA116" s="304"/>
      <c r="GRB116" s="572"/>
      <c r="GRC116" s="573"/>
      <c r="GRD116" s="574"/>
      <c r="GRE116" s="575"/>
      <c r="GRF116" s="583"/>
      <c r="GRG116" s="590"/>
      <c r="GRH116" s="589"/>
      <c r="GRI116" s="585"/>
      <c r="GRJ116" s="577"/>
      <c r="GRK116" s="304"/>
      <c r="GRL116" s="572"/>
      <c r="GRM116" s="573"/>
      <c r="GRN116" s="574"/>
      <c r="GRO116" s="575"/>
      <c r="GRP116" s="583"/>
      <c r="GRQ116" s="590"/>
      <c r="GRR116" s="589"/>
      <c r="GRS116" s="585"/>
      <c r="GRT116" s="577"/>
      <c r="GRU116" s="304"/>
      <c r="GRV116" s="572"/>
      <c r="GRW116" s="573"/>
      <c r="GRX116" s="574"/>
      <c r="GRY116" s="575"/>
      <c r="GRZ116" s="583"/>
      <c r="GSA116" s="590"/>
      <c r="GSB116" s="589"/>
      <c r="GSC116" s="585"/>
      <c r="GSD116" s="577"/>
      <c r="GSE116" s="304"/>
      <c r="GSF116" s="572"/>
      <c r="GSG116" s="573"/>
      <c r="GSH116" s="574"/>
      <c r="GSI116" s="575"/>
      <c r="GSJ116" s="583"/>
      <c r="GSK116" s="590"/>
      <c r="GSL116" s="589"/>
      <c r="GSM116" s="585"/>
      <c r="GSN116" s="577"/>
      <c r="GSO116" s="304"/>
      <c r="GSP116" s="572"/>
      <c r="GSQ116" s="573"/>
      <c r="GSR116" s="574"/>
      <c r="GSS116" s="575"/>
      <c r="GST116" s="583"/>
      <c r="GSU116" s="590"/>
      <c r="GSV116" s="589"/>
      <c r="GSW116" s="585"/>
      <c r="GSX116" s="577"/>
      <c r="GSY116" s="304"/>
      <c r="GSZ116" s="572"/>
      <c r="GTA116" s="573"/>
      <c r="GTB116" s="574"/>
      <c r="GTC116" s="575"/>
      <c r="GTD116" s="583"/>
      <c r="GTE116" s="590"/>
      <c r="GTF116" s="589"/>
      <c r="GTG116" s="585"/>
      <c r="GTH116" s="577"/>
      <c r="GTI116" s="304"/>
      <c r="GTJ116" s="572"/>
      <c r="GTK116" s="573"/>
      <c r="GTL116" s="574"/>
      <c r="GTM116" s="575"/>
      <c r="GTN116" s="583"/>
      <c r="GTO116" s="590"/>
      <c r="GTP116" s="589"/>
      <c r="GTQ116" s="585"/>
      <c r="GTR116" s="577"/>
      <c r="GTS116" s="304"/>
      <c r="GTT116" s="572"/>
      <c r="GTU116" s="573"/>
      <c r="GTV116" s="574"/>
      <c r="GTW116" s="575"/>
      <c r="GTX116" s="583"/>
      <c r="GTY116" s="590"/>
      <c r="GTZ116" s="589"/>
      <c r="GUA116" s="585"/>
      <c r="GUB116" s="577"/>
      <c r="GUC116" s="304"/>
      <c r="GUD116" s="572"/>
      <c r="GUE116" s="573"/>
      <c r="GUF116" s="574"/>
      <c r="GUG116" s="575"/>
      <c r="GUH116" s="583"/>
      <c r="GUI116" s="590"/>
      <c r="GUJ116" s="589"/>
      <c r="GUK116" s="585"/>
      <c r="GUL116" s="577"/>
      <c r="GUM116" s="304"/>
      <c r="GUN116" s="572"/>
      <c r="GUO116" s="573"/>
      <c r="GUP116" s="574"/>
      <c r="GUQ116" s="575"/>
      <c r="GUR116" s="583"/>
      <c r="GUS116" s="590"/>
      <c r="GUT116" s="589"/>
      <c r="GUU116" s="585"/>
      <c r="GUV116" s="577"/>
      <c r="GUW116" s="304"/>
      <c r="GUX116" s="572"/>
      <c r="GUY116" s="573"/>
      <c r="GUZ116" s="574"/>
      <c r="GVA116" s="575"/>
      <c r="GVB116" s="583"/>
      <c r="GVC116" s="590"/>
      <c r="GVD116" s="589"/>
      <c r="GVE116" s="585"/>
      <c r="GVF116" s="577"/>
      <c r="GVG116" s="304"/>
      <c r="GVH116" s="572"/>
      <c r="GVI116" s="573"/>
      <c r="GVJ116" s="574"/>
      <c r="GVK116" s="575"/>
      <c r="GVL116" s="583"/>
      <c r="GVM116" s="590"/>
      <c r="GVN116" s="589"/>
      <c r="GVO116" s="585"/>
      <c r="GVP116" s="577"/>
      <c r="GVQ116" s="304"/>
      <c r="GVR116" s="572"/>
      <c r="GVS116" s="573"/>
      <c r="GVT116" s="574"/>
      <c r="GVU116" s="575"/>
      <c r="GVV116" s="583"/>
      <c r="GVW116" s="590"/>
      <c r="GVX116" s="589"/>
      <c r="GVY116" s="585"/>
      <c r="GVZ116" s="577"/>
      <c r="GWA116" s="304"/>
      <c r="GWB116" s="572"/>
      <c r="GWC116" s="573"/>
      <c r="GWD116" s="574"/>
      <c r="GWE116" s="575"/>
      <c r="GWF116" s="583"/>
      <c r="GWG116" s="590"/>
      <c r="GWH116" s="589"/>
      <c r="GWI116" s="585"/>
      <c r="GWJ116" s="577"/>
      <c r="GWK116" s="304"/>
      <c r="GWL116" s="572"/>
      <c r="GWM116" s="573"/>
      <c r="GWN116" s="574"/>
      <c r="GWO116" s="575"/>
      <c r="GWP116" s="583"/>
      <c r="GWQ116" s="590"/>
      <c r="GWR116" s="589"/>
      <c r="GWS116" s="585"/>
      <c r="GWT116" s="577"/>
      <c r="GWU116" s="304"/>
      <c r="GWV116" s="572"/>
      <c r="GWW116" s="573"/>
      <c r="GWX116" s="574"/>
      <c r="GWY116" s="575"/>
      <c r="GWZ116" s="583"/>
      <c r="GXA116" s="590"/>
      <c r="GXB116" s="589"/>
      <c r="GXC116" s="585"/>
      <c r="GXD116" s="577"/>
      <c r="GXE116" s="304"/>
      <c r="GXF116" s="572"/>
      <c r="GXG116" s="573"/>
      <c r="GXH116" s="574"/>
      <c r="GXI116" s="575"/>
      <c r="GXJ116" s="583"/>
      <c r="GXK116" s="590"/>
      <c r="GXL116" s="589"/>
      <c r="GXM116" s="585"/>
      <c r="GXN116" s="577"/>
      <c r="GXO116" s="304"/>
      <c r="GXP116" s="572"/>
      <c r="GXQ116" s="573"/>
      <c r="GXR116" s="574"/>
      <c r="GXS116" s="575"/>
      <c r="GXT116" s="583"/>
      <c r="GXU116" s="590"/>
      <c r="GXV116" s="589"/>
      <c r="GXW116" s="585"/>
      <c r="GXX116" s="577"/>
      <c r="GXY116" s="304"/>
      <c r="GXZ116" s="572"/>
      <c r="GYA116" s="573"/>
      <c r="GYB116" s="574"/>
      <c r="GYC116" s="575"/>
      <c r="GYD116" s="583"/>
      <c r="GYE116" s="590"/>
      <c r="GYF116" s="589"/>
      <c r="GYG116" s="585"/>
      <c r="GYH116" s="577"/>
      <c r="GYI116" s="304"/>
      <c r="GYJ116" s="572"/>
      <c r="GYK116" s="573"/>
      <c r="GYL116" s="574"/>
      <c r="GYM116" s="575"/>
      <c r="GYN116" s="583"/>
      <c r="GYO116" s="590"/>
      <c r="GYP116" s="589"/>
      <c r="GYQ116" s="585"/>
      <c r="GYR116" s="577"/>
      <c r="GYS116" s="304"/>
      <c r="GYT116" s="572"/>
      <c r="GYU116" s="573"/>
      <c r="GYV116" s="574"/>
      <c r="GYW116" s="575"/>
      <c r="GYX116" s="583"/>
      <c r="GYY116" s="590"/>
      <c r="GYZ116" s="589"/>
      <c r="GZA116" s="585"/>
      <c r="GZB116" s="577"/>
      <c r="GZC116" s="304"/>
      <c r="GZD116" s="572"/>
      <c r="GZE116" s="573"/>
      <c r="GZF116" s="574"/>
      <c r="GZG116" s="575"/>
      <c r="GZH116" s="583"/>
      <c r="GZI116" s="590"/>
      <c r="GZJ116" s="589"/>
      <c r="GZK116" s="585"/>
      <c r="GZL116" s="577"/>
      <c r="GZM116" s="304"/>
      <c r="GZN116" s="572"/>
      <c r="GZO116" s="573"/>
      <c r="GZP116" s="574"/>
      <c r="GZQ116" s="575"/>
      <c r="GZR116" s="583"/>
      <c r="GZS116" s="590"/>
      <c r="GZT116" s="589"/>
      <c r="GZU116" s="585"/>
      <c r="GZV116" s="577"/>
      <c r="GZW116" s="304"/>
      <c r="GZX116" s="572"/>
      <c r="GZY116" s="573"/>
      <c r="GZZ116" s="574"/>
      <c r="HAA116" s="575"/>
      <c r="HAB116" s="583"/>
      <c r="HAC116" s="590"/>
      <c r="HAD116" s="589"/>
      <c r="HAE116" s="585"/>
      <c r="HAF116" s="577"/>
      <c r="HAG116" s="304"/>
      <c r="HAH116" s="572"/>
      <c r="HAI116" s="573"/>
      <c r="HAJ116" s="574"/>
      <c r="HAK116" s="575"/>
      <c r="HAL116" s="583"/>
      <c r="HAM116" s="590"/>
      <c r="HAN116" s="589"/>
      <c r="HAO116" s="585"/>
      <c r="HAP116" s="577"/>
      <c r="HAQ116" s="304"/>
      <c r="HAR116" s="572"/>
      <c r="HAS116" s="573"/>
      <c r="HAT116" s="574"/>
      <c r="HAU116" s="575"/>
      <c r="HAV116" s="583"/>
      <c r="HAW116" s="590"/>
      <c r="HAX116" s="589"/>
      <c r="HAY116" s="585"/>
      <c r="HAZ116" s="577"/>
      <c r="HBA116" s="304"/>
      <c r="HBB116" s="572"/>
      <c r="HBC116" s="573"/>
      <c r="HBD116" s="574"/>
      <c r="HBE116" s="575"/>
      <c r="HBF116" s="583"/>
      <c r="HBG116" s="590"/>
      <c r="HBH116" s="589"/>
      <c r="HBI116" s="585"/>
      <c r="HBJ116" s="577"/>
      <c r="HBK116" s="304"/>
      <c r="HBL116" s="572"/>
      <c r="HBM116" s="573"/>
      <c r="HBN116" s="574"/>
      <c r="HBO116" s="575"/>
      <c r="HBP116" s="583"/>
      <c r="HBQ116" s="590"/>
      <c r="HBR116" s="589"/>
      <c r="HBS116" s="585"/>
      <c r="HBT116" s="577"/>
      <c r="HBU116" s="304"/>
      <c r="HBV116" s="572"/>
      <c r="HBW116" s="573"/>
      <c r="HBX116" s="574"/>
      <c r="HBY116" s="575"/>
      <c r="HBZ116" s="583"/>
      <c r="HCA116" s="590"/>
      <c r="HCB116" s="589"/>
      <c r="HCC116" s="585"/>
      <c r="HCD116" s="577"/>
      <c r="HCE116" s="304"/>
      <c r="HCF116" s="572"/>
      <c r="HCG116" s="573"/>
      <c r="HCH116" s="574"/>
      <c r="HCI116" s="575"/>
      <c r="HCJ116" s="583"/>
      <c r="HCK116" s="590"/>
      <c r="HCL116" s="589"/>
      <c r="HCM116" s="585"/>
      <c r="HCN116" s="577"/>
      <c r="HCO116" s="304"/>
      <c r="HCP116" s="572"/>
      <c r="HCQ116" s="573"/>
      <c r="HCR116" s="574"/>
      <c r="HCS116" s="575"/>
      <c r="HCT116" s="583"/>
      <c r="HCU116" s="590"/>
      <c r="HCV116" s="589"/>
      <c r="HCW116" s="585"/>
      <c r="HCX116" s="577"/>
      <c r="HCY116" s="304"/>
      <c r="HCZ116" s="572"/>
      <c r="HDA116" s="573"/>
      <c r="HDB116" s="574"/>
      <c r="HDC116" s="575"/>
      <c r="HDD116" s="583"/>
      <c r="HDE116" s="590"/>
      <c r="HDF116" s="589"/>
      <c r="HDG116" s="585"/>
      <c r="HDH116" s="577"/>
      <c r="HDI116" s="304"/>
      <c r="HDJ116" s="572"/>
      <c r="HDK116" s="573"/>
      <c r="HDL116" s="574"/>
      <c r="HDM116" s="575"/>
      <c r="HDN116" s="583"/>
      <c r="HDO116" s="590"/>
      <c r="HDP116" s="589"/>
      <c r="HDQ116" s="585"/>
      <c r="HDR116" s="577"/>
      <c r="HDS116" s="304"/>
      <c r="HDT116" s="572"/>
      <c r="HDU116" s="573"/>
      <c r="HDV116" s="574"/>
      <c r="HDW116" s="575"/>
      <c r="HDX116" s="583"/>
      <c r="HDY116" s="590"/>
      <c r="HDZ116" s="589"/>
      <c r="HEA116" s="585"/>
      <c r="HEB116" s="577"/>
      <c r="HEC116" s="304"/>
      <c r="HED116" s="572"/>
      <c r="HEE116" s="573"/>
      <c r="HEF116" s="574"/>
      <c r="HEG116" s="575"/>
      <c r="HEH116" s="583"/>
      <c r="HEI116" s="590"/>
      <c r="HEJ116" s="589"/>
      <c r="HEK116" s="585"/>
      <c r="HEL116" s="577"/>
      <c r="HEM116" s="304"/>
      <c r="HEN116" s="572"/>
      <c r="HEO116" s="573"/>
      <c r="HEP116" s="574"/>
      <c r="HEQ116" s="575"/>
      <c r="HER116" s="583"/>
      <c r="HES116" s="590"/>
      <c r="HET116" s="589"/>
      <c r="HEU116" s="585"/>
      <c r="HEV116" s="577"/>
      <c r="HEW116" s="304"/>
      <c r="HEX116" s="572"/>
      <c r="HEY116" s="573"/>
      <c r="HEZ116" s="574"/>
      <c r="HFA116" s="575"/>
      <c r="HFB116" s="583"/>
      <c r="HFC116" s="590"/>
      <c r="HFD116" s="589"/>
      <c r="HFE116" s="585"/>
      <c r="HFF116" s="577"/>
      <c r="HFG116" s="304"/>
      <c r="HFH116" s="572"/>
      <c r="HFI116" s="573"/>
      <c r="HFJ116" s="574"/>
      <c r="HFK116" s="575"/>
      <c r="HFL116" s="583"/>
      <c r="HFM116" s="590"/>
      <c r="HFN116" s="589"/>
      <c r="HFO116" s="585"/>
      <c r="HFP116" s="577"/>
      <c r="HFQ116" s="304"/>
      <c r="HFR116" s="572"/>
      <c r="HFS116" s="573"/>
      <c r="HFT116" s="574"/>
      <c r="HFU116" s="575"/>
      <c r="HFV116" s="583"/>
      <c r="HFW116" s="590"/>
      <c r="HFX116" s="589"/>
      <c r="HFY116" s="585"/>
      <c r="HFZ116" s="577"/>
      <c r="HGA116" s="304"/>
      <c r="HGB116" s="572"/>
      <c r="HGC116" s="573"/>
      <c r="HGD116" s="574"/>
      <c r="HGE116" s="575"/>
      <c r="HGF116" s="583"/>
      <c r="HGG116" s="590"/>
      <c r="HGH116" s="589"/>
      <c r="HGI116" s="585"/>
      <c r="HGJ116" s="577"/>
      <c r="HGK116" s="304"/>
      <c r="HGL116" s="572"/>
      <c r="HGM116" s="573"/>
      <c r="HGN116" s="574"/>
      <c r="HGO116" s="575"/>
      <c r="HGP116" s="583"/>
      <c r="HGQ116" s="590"/>
      <c r="HGR116" s="589"/>
      <c r="HGS116" s="585"/>
      <c r="HGT116" s="577"/>
      <c r="HGU116" s="304"/>
      <c r="HGV116" s="572"/>
      <c r="HGW116" s="573"/>
      <c r="HGX116" s="574"/>
      <c r="HGY116" s="575"/>
      <c r="HGZ116" s="583"/>
      <c r="HHA116" s="590"/>
      <c r="HHB116" s="589"/>
      <c r="HHC116" s="585"/>
      <c r="HHD116" s="577"/>
      <c r="HHE116" s="304"/>
      <c r="HHF116" s="572"/>
      <c r="HHG116" s="573"/>
      <c r="HHH116" s="574"/>
      <c r="HHI116" s="575"/>
      <c r="HHJ116" s="583"/>
      <c r="HHK116" s="590"/>
      <c r="HHL116" s="589"/>
      <c r="HHM116" s="585"/>
      <c r="HHN116" s="577"/>
      <c r="HHO116" s="304"/>
      <c r="HHP116" s="572"/>
      <c r="HHQ116" s="573"/>
      <c r="HHR116" s="574"/>
      <c r="HHS116" s="575"/>
      <c r="HHT116" s="583"/>
      <c r="HHU116" s="590"/>
      <c r="HHV116" s="589"/>
      <c r="HHW116" s="585"/>
      <c r="HHX116" s="577"/>
      <c r="HHY116" s="304"/>
      <c r="HHZ116" s="572"/>
      <c r="HIA116" s="573"/>
      <c r="HIB116" s="574"/>
      <c r="HIC116" s="575"/>
      <c r="HID116" s="583"/>
      <c r="HIE116" s="590"/>
      <c r="HIF116" s="589"/>
      <c r="HIG116" s="585"/>
      <c r="HIH116" s="577"/>
      <c r="HII116" s="304"/>
      <c r="HIJ116" s="572"/>
      <c r="HIK116" s="573"/>
      <c r="HIL116" s="574"/>
      <c r="HIM116" s="575"/>
      <c r="HIN116" s="583"/>
      <c r="HIO116" s="590"/>
      <c r="HIP116" s="589"/>
      <c r="HIQ116" s="585"/>
      <c r="HIR116" s="577"/>
      <c r="HIS116" s="304"/>
      <c r="HIT116" s="572"/>
      <c r="HIU116" s="573"/>
      <c r="HIV116" s="574"/>
      <c r="HIW116" s="575"/>
      <c r="HIX116" s="583"/>
      <c r="HIY116" s="590"/>
      <c r="HIZ116" s="589"/>
      <c r="HJA116" s="585"/>
      <c r="HJB116" s="577"/>
      <c r="HJC116" s="304"/>
      <c r="HJD116" s="572"/>
      <c r="HJE116" s="573"/>
      <c r="HJF116" s="574"/>
      <c r="HJG116" s="575"/>
      <c r="HJH116" s="583"/>
      <c r="HJI116" s="590"/>
      <c r="HJJ116" s="589"/>
      <c r="HJK116" s="585"/>
      <c r="HJL116" s="577"/>
      <c r="HJM116" s="304"/>
      <c r="HJN116" s="572"/>
      <c r="HJO116" s="573"/>
      <c r="HJP116" s="574"/>
      <c r="HJQ116" s="575"/>
      <c r="HJR116" s="583"/>
      <c r="HJS116" s="590"/>
      <c r="HJT116" s="589"/>
      <c r="HJU116" s="585"/>
      <c r="HJV116" s="577"/>
      <c r="HJW116" s="304"/>
      <c r="HJX116" s="572"/>
      <c r="HJY116" s="573"/>
      <c r="HJZ116" s="574"/>
      <c r="HKA116" s="575"/>
      <c r="HKB116" s="583"/>
      <c r="HKC116" s="590"/>
      <c r="HKD116" s="589"/>
      <c r="HKE116" s="585"/>
      <c r="HKF116" s="577"/>
      <c r="HKG116" s="304"/>
      <c r="HKH116" s="572"/>
      <c r="HKI116" s="573"/>
      <c r="HKJ116" s="574"/>
      <c r="HKK116" s="575"/>
      <c r="HKL116" s="583"/>
      <c r="HKM116" s="590"/>
      <c r="HKN116" s="589"/>
      <c r="HKO116" s="585"/>
      <c r="HKP116" s="577"/>
      <c r="HKQ116" s="304"/>
      <c r="HKR116" s="572"/>
      <c r="HKS116" s="573"/>
      <c r="HKT116" s="574"/>
      <c r="HKU116" s="575"/>
      <c r="HKV116" s="583"/>
      <c r="HKW116" s="590"/>
      <c r="HKX116" s="589"/>
      <c r="HKY116" s="585"/>
      <c r="HKZ116" s="577"/>
      <c r="HLA116" s="304"/>
      <c r="HLB116" s="572"/>
      <c r="HLC116" s="573"/>
      <c r="HLD116" s="574"/>
      <c r="HLE116" s="575"/>
      <c r="HLF116" s="583"/>
      <c r="HLG116" s="590"/>
      <c r="HLH116" s="589"/>
      <c r="HLI116" s="585"/>
      <c r="HLJ116" s="577"/>
      <c r="HLK116" s="304"/>
      <c r="HLL116" s="572"/>
      <c r="HLM116" s="573"/>
      <c r="HLN116" s="574"/>
      <c r="HLO116" s="575"/>
      <c r="HLP116" s="583"/>
      <c r="HLQ116" s="590"/>
      <c r="HLR116" s="589"/>
      <c r="HLS116" s="585"/>
      <c r="HLT116" s="577"/>
      <c r="HLU116" s="304"/>
      <c r="HLV116" s="572"/>
      <c r="HLW116" s="573"/>
      <c r="HLX116" s="574"/>
      <c r="HLY116" s="575"/>
      <c r="HLZ116" s="583"/>
      <c r="HMA116" s="590"/>
      <c r="HMB116" s="589"/>
      <c r="HMC116" s="585"/>
      <c r="HMD116" s="577"/>
      <c r="HME116" s="304"/>
      <c r="HMF116" s="572"/>
      <c r="HMG116" s="573"/>
      <c r="HMH116" s="574"/>
      <c r="HMI116" s="575"/>
      <c r="HMJ116" s="583"/>
      <c r="HMK116" s="590"/>
      <c r="HML116" s="589"/>
      <c r="HMM116" s="585"/>
      <c r="HMN116" s="577"/>
      <c r="HMO116" s="304"/>
      <c r="HMP116" s="572"/>
      <c r="HMQ116" s="573"/>
      <c r="HMR116" s="574"/>
      <c r="HMS116" s="575"/>
      <c r="HMT116" s="583"/>
      <c r="HMU116" s="590"/>
      <c r="HMV116" s="589"/>
      <c r="HMW116" s="585"/>
      <c r="HMX116" s="577"/>
      <c r="HMY116" s="304"/>
      <c r="HMZ116" s="572"/>
      <c r="HNA116" s="573"/>
      <c r="HNB116" s="574"/>
      <c r="HNC116" s="575"/>
      <c r="HND116" s="583"/>
      <c r="HNE116" s="590"/>
      <c r="HNF116" s="589"/>
      <c r="HNG116" s="585"/>
      <c r="HNH116" s="577"/>
      <c r="HNI116" s="304"/>
      <c r="HNJ116" s="572"/>
      <c r="HNK116" s="573"/>
      <c r="HNL116" s="574"/>
      <c r="HNM116" s="575"/>
      <c r="HNN116" s="583"/>
      <c r="HNO116" s="590"/>
      <c r="HNP116" s="589"/>
      <c r="HNQ116" s="585"/>
      <c r="HNR116" s="577"/>
      <c r="HNS116" s="304"/>
      <c r="HNT116" s="572"/>
      <c r="HNU116" s="573"/>
      <c r="HNV116" s="574"/>
      <c r="HNW116" s="575"/>
      <c r="HNX116" s="583"/>
      <c r="HNY116" s="590"/>
      <c r="HNZ116" s="589"/>
      <c r="HOA116" s="585"/>
      <c r="HOB116" s="577"/>
      <c r="HOC116" s="304"/>
      <c r="HOD116" s="572"/>
      <c r="HOE116" s="573"/>
      <c r="HOF116" s="574"/>
      <c r="HOG116" s="575"/>
      <c r="HOH116" s="583"/>
      <c r="HOI116" s="590"/>
      <c r="HOJ116" s="589"/>
      <c r="HOK116" s="585"/>
      <c r="HOL116" s="577"/>
      <c r="HOM116" s="304"/>
      <c r="HON116" s="572"/>
      <c r="HOO116" s="573"/>
      <c r="HOP116" s="574"/>
      <c r="HOQ116" s="575"/>
      <c r="HOR116" s="583"/>
      <c r="HOS116" s="590"/>
      <c r="HOT116" s="589"/>
      <c r="HOU116" s="585"/>
      <c r="HOV116" s="577"/>
      <c r="HOW116" s="304"/>
      <c r="HOX116" s="572"/>
      <c r="HOY116" s="573"/>
      <c r="HOZ116" s="574"/>
      <c r="HPA116" s="575"/>
      <c r="HPB116" s="583"/>
      <c r="HPC116" s="590"/>
      <c r="HPD116" s="589"/>
      <c r="HPE116" s="585"/>
      <c r="HPF116" s="577"/>
      <c r="HPG116" s="304"/>
      <c r="HPH116" s="572"/>
      <c r="HPI116" s="573"/>
      <c r="HPJ116" s="574"/>
      <c r="HPK116" s="575"/>
      <c r="HPL116" s="583"/>
      <c r="HPM116" s="590"/>
      <c r="HPN116" s="589"/>
      <c r="HPO116" s="585"/>
      <c r="HPP116" s="577"/>
      <c r="HPQ116" s="304"/>
      <c r="HPR116" s="572"/>
      <c r="HPS116" s="573"/>
      <c r="HPT116" s="574"/>
      <c r="HPU116" s="575"/>
      <c r="HPV116" s="583"/>
      <c r="HPW116" s="590"/>
      <c r="HPX116" s="589"/>
      <c r="HPY116" s="585"/>
      <c r="HPZ116" s="577"/>
      <c r="HQA116" s="304"/>
      <c r="HQB116" s="572"/>
      <c r="HQC116" s="573"/>
      <c r="HQD116" s="574"/>
      <c r="HQE116" s="575"/>
      <c r="HQF116" s="583"/>
      <c r="HQG116" s="590"/>
      <c r="HQH116" s="589"/>
      <c r="HQI116" s="585"/>
      <c r="HQJ116" s="577"/>
      <c r="HQK116" s="304"/>
      <c r="HQL116" s="572"/>
      <c r="HQM116" s="573"/>
      <c r="HQN116" s="574"/>
      <c r="HQO116" s="575"/>
      <c r="HQP116" s="583"/>
      <c r="HQQ116" s="590"/>
      <c r="HQR116" s="589"/>
      <c r="HQS116" s="585"/>
      <c r="HQT116" s="577"/>
      <c r="HQU116" s="304"/>
      <c r="HQV116" s="572"/>
      <c r="HQW116" s="573"/>
      <c r="HQX116" s="574"/>
      <c r="HQY116" s="575"/>
      <c r="HQZ116" s="583"/>
      <c r="HRA116" s="590"/>
      <c r="HRB116" s="589"/>
      <c r="HRC116" s="585"/>
      <c r="HRD116" s="577"/>
      <c r="HRE116" s="304"/>
      <c r="HRF116" s="572"/>
      <c r="HRG116" s="573"/>
      <c r="HRH116" s="574"/>
      <c r="HRI116" s="575"/>
      <c r="HRJ116" s="583"/>
      <c r="HRK116" s="590"/>
      <c r="HRL116" s="589"/>
      <c r="HRM116" s="585"/>
      <c r="HRN116" s="577"/>
      <c r="HRO116" s="304"/>
      <c r="HRP116" s="572"/>
      <c r="HRQ116" s="573"/>
      <c r="HRR116" s="574"/>
      <c r="HRS116" s="575"/>
      <c r="HRT116" s="583"/>
      <c r="HRU116" s="590"/>
      <c r="HRV116" s="589"/>
      <c r="HRW116" s="585"/>
      <c r="HRX116" s="577"/>
      <c r="HRY116" s="304"/>
      <c r="HRZ116" s="572"/>
      <c r="HSA116" s="573"/>
      <c r="HSB116" s="574"/>
      <c r="HSC116" s="575"/>
      <c r="HSD116" s="583"/>
      <c r="HSE116" s="590"/>
      <c r="HSF116" s="589"/>
      <c r="HSG116" s="585"/>
      <c r="HSH116" s="577"/>
      <c r="HSI116" s="304"/>
      <c r="HSJ116" s="572"/>
      <c r="HSK116" s="573"/>
      <c r="HSL116" s="574"/>
      <c r="HSM116" s="575"/>
      <c r="HSN116" s="583"/>
      <c r="HSO116" s="590"/>
      <c r="HSP116" s="589"/>
      <c r="HSQ116" s="585"/>
      <c r="HSR116" s="577"/>
      <c r="HSS116" s="304"/>
      <c r="HST116" s="572"/>
      <c r="HSU116" s="573"/>
      <c r="HSV116" s="574"/>
      <c r="HSW116" s="575"/>
      <c r="HSX116" s="583"/>
      <c r="HSY116" s="590"/>
      <c r="HSZ116" s="589"/>
      <c r="HTA116" s="585"/>
      <c r="HTB116" s="577"/>
      <c r="HTC116" s="304"/>
      <c r="HTD116" s="572"/>
      <c r="HTE116" s="573"/>
      <c r="HTF116" s="574"/>
      <c r="HTG116" s="575"/>
      <c r="HTH116" s="583"/>
      <c r="HTI116" s="590"/>
      <c r="HTJ116" s="589"/>
      <c r="HTK116" s="585"/>
      <c r="HTL116" s="577"/>
      <c r="HTM116" s="304"/>
      <c r="HTN116" s="572"/>
      <c r="HTO116" s="573"/>
      <c r="HTP116" s="574"/>
      <c r="HTQ116" s="575"/>
      <c r="HTR116" s="583"/>
      <c r="HTS116" s="590"/>
      <c r="HTT116" s="589"/>
      <c r="HTU116" s="585"/>
      <c r="HTV116" s="577"/>
      <c r="HTW116" s="304"/>
      <c r="HTX116" s="572"/>
      <c r="HTY116" s="573"/>
      <c r="HTZ116" s="574"/>
      <c r="HUA116" s="575"/>
      <c r="HUB116" s="583"/>
      <c r="HUC116" s="590"/>
      <c r="HUD116" s="589"/>
      <c r="HUE116" s="585"/>
      <c r="HUF116" s="577"/>
      <c r="HUG116" s="304"/>
      <c r="HUH116" s="572"/>
      <c r="HUI116" s="573"/>
      <c r="HUJ116" s="574"/>
      <c r="HUK116" s="575"/>
      <c r="HUL116" s="583"/>
      <c r="HUM116" s="590"/>
      <c r="HUN116" s="589"/>
      <c r="HUO116" s="585"/>
      <c r="HUP116" s="577"/>
      <c r="HUQ116" s="304"/>
      <c r="HUR116" s="572"/>
      <c r="HUS116" s="573"/>
      <c r="HUT116" s="574"/>
      <c r="HUU116" s="575"/>
      <c r="HUV116" s="583"/>
      <c r="HUW116" s="590"/>
      <c r="HUX116" s="589"/>
      <c r="HUY116" s="585"/>
      <c r="HUZ116" s="577"/>
      <c r="HVA116" s="304"/>
      <c r="HVB116" s="572"/>
      <c r="HVC116" s="573"/>
      <c r="HVD116" s="574"/>
      <c r="HVE116" s="575"/>
      <c r="HVF116" s="583"/>
      <c r="HVG116" s="590"/>
      <c r="HVH116" s="589"/>
      <c r="HVI116" s="585"/>
      <c r="HVJ116" s="577"/>
      <c r="HVK116" s="304"/>
      <c r="HVL116" s="572"/>
      <c r="HVM116" s="573"/>
      <c r="HVN116" s="574"/>
      <c r="HVO116" s="575"/>
      <c r="HVP116" s="583"/>
      <c r="HVQ116" s="590"/>
      <c r="HVR116" s="589"/>
      <c r="HVS116" s="585"/>
      <c r="HVT116" s="577"/>
      <c r="HVU116" s="304"/>
      <c r="HVV116" s="572"/>
      <c r="HVW116" s="573"/>
      <c r="HVX116" s="574"/>
      <c r="HVY116" s="575"/>
      <c r="HVZ116" s="583"/>
      <c r="HWA116" s="590"/>
      <c r="HWB116" s="589"/>
      <c r="HWC116" s="585"/>
      <c r="HWD116" s="577"/>
      <c r="HWE116" s="304"/>
      <c r="HWF116" s="572"/>
      <c r="HWG116" s="573"/>
      <c r="HWH116" s="574"/>
      <c r="HWI116" s="575"/>
      <c r="HWJ116" s="583"/>
      <c r="HWK116" s="590"/>
      <c r="HWL116" s="589"/>
      <c r="HWM116" s="585"/>
      <c r="HWN116" s="577"/>
      <c r="HWO116" s="304"/>
      <c r="HWP116" s="572"/>
      <c r="HWQ116" s="573"/>
      <c r="HWR116" s="574"/>
      <c r="HWS116" s="575"/>
      <c r="HWT116" s="583"/>
      <c r="HWU116" s="590"/>
      <c r="HWV116" s="589"/>
      <c r="HWW116" s="585"/>
      <c r="HWX116" s="577"/>
      <c r="HWY116" s="304"/>
      <c r="HWZ116" s="572"/>
      <c r="HXA116" s="573"/>
      <c r="HXB116" s="574"/>
      <c r="HXC116" s="575"/>
      <c r="HXD116" s="583"/>
      <c r="HXE116" s="590"/>
      <c r="HXF116" s="589"/>
      <c r="HXG116" s="585"/>
      <c r="HXH116" s="577"/>
      <c r="HXI116" s="304"/>
      <c r="HXJ116" s="572"/>
      <c r="HXK116" s="573"/>
      <c r="HXL116" s="574"/>
      <c r="HXM116" s="575"/>
      <c r="HXN116" s="583"/>
      <c r="HXO116" s="590"/>
      <c r="HXP116" s="589"/>
      <c r="HXQ116" s="585"/>
      <c r="HXR116" s="577"/>
      <c r="HXS116" s="304"/>
      <c r="HXT116" s="572"/>
      <c r="HXU116" s="573"/>
      <c r="HXV116" s="574"/>
      <c r="HXW116" s="575"/>
      <c r="HXX116" s="583"/>
      <c r="HXY116" s="590"/>
      <c r="HXZ116" s="589"/>
      <c r="HYA116" s="585"/>
      <c r="HYB116" s="577"/>
      <c r="HYC116" s="304"/>
      <c r="HYD116" s="572"/>
      <c r="HYE116" s="573"/>
      <c r="HYF116" s="574"/>
      <c r="HYG116" s="575"/>
      <c r="HYH116" s="583"/>
      <c r="HYI116" s="590"/>
      <c r="HYJ116" s="589"/>
      <c r="HYK116" s="585"/>
      <c r="HYL116" s="577"/>
      <c r="HYM116" s="304"/>
      <c r="HYN116" s="572"/>
      <c r="HYO116" s="573"/>
      <c r="HYP116" s="574"/>
      <c r="HYQ116" s="575"/>
      <c r="HYR116" s="583"/>
      <c r="HYS116" s="590"/>
      <c r="HYT116" s="589"/>
      <c r="HYU116" s="585"/>
      <c r="HYV116" s="577"/>
      <c r="HYW116" s="304"/>
      <c r="HYX116" s="572"/>
      <c r="HYY116" s="573"/>
      <c r="HYZ116" s="574"/>
      <c r="HZA116" s="575"/>
      <c r="HZB116" s="583"/>
      <c r="HZC116" s="590"/>
      <c r="HZD116" s="589"/>
      <c r="HZE116" s="585"/>
      <c r="HZF116" s="577"/>
      <c r="HZG116" s="304"/>
      <c r="HZH116" s="572"/>
      <c r="HZI116" s="573"/>
      <c r="HZJ116" s="574"/>
      <c r="HZK116" s="575"/>
      <c r="HZL116" s="583"/>
      <c r="HZM116" s="590"/>
      <c r="HZN116" s="589"/>
      <c r="HZO116" s="585"/>
      <c r="HZP116" s="577"/>
      <c r="HZQ116" s="304"/>
      <c r="HZR116" s="572"/>
      <c r="HZS116" s="573"/>
      <c r="HZT116" s="574"/>
      <c r="HZU116" s="575"/>
      <c r="HZV116" s="583"/>
      <c r="HZW116" s="590"/>
      <c r="HZX116" s="589"/>
      <c r="HZY116" s="585"/>
      <c r="HZZ116" s="577"/>
      <c r="IAA116" s="304"/>
      <c r="IAB116" s="572"/>
      <c r="IAC116" s="573"/>
      <c r="IAD116" s="574"/>
      <c r="IAE116" s="575"/>
      <c r="IAF116" s="583"/>
      <c r="IAG116" s="590"/>
      <c r="IAH116" s="589"/>
      <c r="IAI116" s="585"/>
      <c r="IAJ116" s="577"/>
      <c r="IAK116" s="304"/>
      <c r="IAL116" s="572"/>
      <c r="IAM116" s="573"/>
      <c r="IAN116" s="574"/>
      <c r="IAO116" s="575"/>
      <c r="IAP116" s="583"/>
      <c r="IAQ116" s="590"/>
      <c r="IAR116" s="589"/>
      <c r="IAS116" s="585"/>
      <c r="IAT116" s="577"/>
      <c r="IAU116" s="304"/>
      <c r="IAV116" s="572"/>
      <c r="IAW116" s="573"/>
      <c r="IAX116" s="574"/>
      <c r="IAY116" s="575"/>
      <c r="IAZ116" s="583"/>
      <c r="IBA116" s="590"/>
      <c r="IBB116" s="589"/>
      <c r="IBC116" s="585"/>
      <c r="IBD116" s="577"/>
      <c r="IBE116" s="304"/>
      <c r="IBF116" s="572"/>
      <c r="IBG116" s="573"/>
      <c r="IBH116" s="574"/>
      <c r="IBI116" s="575"/>
      <c r="IBJ116" s="583"/>
      <c r="IBK116" s="590"/>
      <c r="IBL116" s="589"/>
      <c r="IBM116" s="585"/>
      <c r="IBN116" s="577"/>
      <c r="IBO116" s="304"/>
      <c r="IBP116" s="572"/>
      <c r="IBQ116" s="573"/>
      <c r="IBR116" s="574"/>
      <c r="IBS116" s="575"/>
      <c r="IBT116" s="583"/>
      <c r="IBU116" s="590"/>
      <c r="IBV116" s="589"/>
      <c r="IBW116" s="585"/>
      <c r="IBX116" s="577"/>
      <c r="IBY116" s="304"/>
      <c r="IBZ116" s="572"/>
      <c r="ICA116" s="573"/>
      <c r="ICB116" s="574"/>
      <c r="ICC116" s="575"/>
      <c r="ICD116" s="583"/>
      <c r="ICE116" s="590"/>
      <c r="ICF116" s="589"/>
      <c r="ICG116" s="585"/>
      <c r="ICH116" s="577"/>
      <c r="ICI116" s="304"/>
      <c r="ICJ116" s="572"/>
      <c r="ICK116" s="573"/>
      <c r="ICL116" s="574"/>
      <c r="ICM116" s="575"/>
      <c r="ICN116" s="583"/>
      <c r="ICO116" s="590"/>
      <c r="ICP116" s="589"/>
      <c r="ICQ116" s="585"/>
      <c r="ICR116" s="577"/>
      <c r="ICS116" s="304"/>
      <c r="ICT116" s="572"/>
      <c r="ICU116" s="573"/>
      <c r="ICV116" s="574"/>
      <c r="ICW116" s="575"/>
      <c r="ICX116" s="583"/>
      <c r="ICY116" s="590"/>
      <c r="ICZ116" s="589"/>
      <c r="IDA116" s="585"/>
      <c r="IDB116" s="577"/>
      <c r="IDC116" s="304"/>
      <c r="IDD116" s="572"/>
      <c r="IDE116" s="573"/>
      <c r="IDF116" s="574"/>
      <c r="IDG116" s="575"/>
      <c r="IDH116" s="583"/>
      <c r="IDI116" s="590"/>
      <c r="IDJ116" s="589"/>
      <c r="IDK116" s="585"/>
      <c r="IDL116" s="577"/>
      <c r="IDM116" s="304"/>
      <c r="IDN116" s="572"/>
      <c r="IDO116" s="573"/>
      <c r="IDP116" s="574"/>
      <c r="IDQ116" s="575"/>
      <c r="IDR116" s="583"/>
      <c r="IDS116" s="590"/>
      <c r="IDT116" s="589"/>
      <c r="IDU116" s="585"/>
      <c r="IDV116" s="577"/>
      <c r="IDW116" s="304"/>
      <c r="IDX116" s="572"/>
      <c r="IDY116" s="573"/>
      <c r="IDZ116" s="574"/>
      <c r="IEA116" s="575"/>
      <c r="IEB116" s="583"/>
      <c r="IEC116" s="590"/>
      <c r="IED116" s="589"/>
      <c r="IEE116" s="585"/>
      <c r="IEF116" s="577"/>
      <c r="IEG116" s="304"/>
      <c r="IEH116" s="572"/>
      <c r="IEI116" s="573"/>
      <c r="IEJ116" s="574"/>
      <c r="IEK116" s="575"/>
      <c r="IEL116" s="583"/>
      <c r="IEM116" s="590"/>
      <c r="IEN116" s="589"/>
      <c r="IEO116" s="585"/>
      <c r="IEP116" s="577"/>
      <c r="IEQ116" s="304"/>
      <c r="IER116" s="572"/>
      <c r="IES116" s="573"/>
      <c r="IET116" s="574"/>
      <c r="IEU116" s="575"/>
      <c r="IEV116" s="583"/>
      <c r="IEW116" s="590"/>
      <c r="IEX116" s="589"/>
      <c r="IEY116" s="585"/>
      <c r="IEZ116" s="577"/>
      <c r="IFA116" s="304"/>
      <c r="IFB116" s="572"/>
      <c r="IFC116" s="573"/>
      <c r="IFD116" s="574"/>
      <c r="IFE116" s="575"/>
      <c r="IFF116" s="583"/>
      <c r="IFG116" s="590"/>
      <c r="IFH116" s="589"/>
      <c r="IFI116" s="585"/>
      <c r="IFJ116" s="577"/>
      <c r="IFK116" s="304"/>
      <c r="IFL116" s="572"/>
      <c r="IFM116" s="573"/>
      <c r="IFN116" s="574"/>
      <c r="IFO116" s="575"/>
      <c r="IFP116" s="583"/>
      <c r="IFQ116" s="590"/>
      <c r="IFR116" s="589"/>
      <c r="IFS116" s="585"/>
      <c r="IFT116" s="577"/>
      <c r="IFU116" s="304"/>
      <c r="IFV116" s="572"/>
      <c r="IFW116" s="573"/>
      <c r="IFX116" s="574"/>
      <c r="IFY116" s="575"/>
      <c r="IFZ116" s="583"/>
      <c r="IGA116" s="590"/>
      <c r="IGB116" s="589"/>
      <c r="IGC116" s="585"/>
      <c r="IGD116" s="577"/>
      <c r="IGE116" s="304"/>
      <c r="IGF116" s="572"/>
      <c r="IGG116" s="573"/>
      <c r="IGH116" s="574"/>
      <c r="IGI116" s="575"/>
      <c r="IGJ116" s="583"/>
      <c r="IGK116" s="590"/>
      <c r="IGL116" s="589"/>
      <c r="IGM116" s="585"/>
      <c r="IGN116" s="577"/>
      <c r="IGO116" s="304"/>
      <c r="IGP116" s="572"/>
      <c r="IGQ116" s="573"/>
      <c r="IGR116" s="574"/>
      <c r="IGS116" s="575"/>
      <c r="IGT116" s="583"/>
      <c r="IGU116" s="590"/>
      <c r="IGV116" s="589"/>
      <c r="IGW116" s="585"/>
      <c r="IGX116" s="577"/>
      <c r="IGY116" s="304"/>
      <c r="IGZ116" s="572"/>
      <c r="IHA116" s="573"/>
      <c r="IHB116" s="574"/>
      <c r="IHC116" s="575"/>
      <c r="IHD116" s="583"/>
      <c r="IHE116" s="590"/>
      <c r="IHF116" s="589"/>
      <c r="IHG116" s="585"/>
      <c r="IHH116" s="577"/>
      <c r="IHI116" s="304"/>
      <c r="IHJ116" s="572"/>
      <c r="IHK116" s="573"/>
      <c r="IHL116" s="574"/>
      <c r="IHM116" s="575"/>
      <c r="IHN116" s="583"/>
      <c r="IHO116" s="590"/>
      <c r="IHP116" s="589"/>
      <c r="IHQ116" s="585"/>
      <c r="IHR116" s="577"/>
      <c r="IHS116" s="304"/>
      <c r="IHT116" s="572"/>
      <c r="IHU116" s="573"/>
      <c r="IHV116" s="574"/>
      <c r="IHW116" s="575"/>
      <c r="IHX116" s="583"/>
      <c r="IHY116" s="590"/>
      <c r="IHZ116" s="589"/>
      <c r="IIA116" s="585"/>
      <c r="IIB116" s="577"/>
      <c r="IIC116" s="304"/>
      <c r="IID116" s="572"/>
      <c r="IIE116" s="573"/>
      <c r="IIF116" s="574"/>
      <c r="IIG116" s="575"/>
      <c r="IIH116" s="583"/>
      <c r="III116" s="590"/>
      <c r="IIJ116" s="589"/>
      <c r="IIK116" s="585"/>
      <c r="IIL116" s="577"/>
      <c r="IIM116" s="304"/>
      <c r="IIN116" s="572"/>
      <c r="IIO116" s="573"/>
      <c r="IIP116" s="574"/>
      <c r="IIQ116" s="575"/>
      <c r="IIR116" s="583"/>
      <c r="IIS116" s="590"/>
      <c r="IIT116" s="589"/>
      <c r="IIU116" s="585"/>
      <c r="IIV116" s="577"/>
      <c r="IIW116" s="304"/>
      <c r="IIX116" s="572"/>
      <c r="IIY116" s="573"/>
      <c r="IIZ116" s="574"/>
      <c r="IJA116" s="575"/>
      <c r="IJB116" s="583"/>
      <c r="IJC116" s="590"/>
      <c r="IJD116" s="589"/>
      <c r="IJE116" s="585"/>
      <c r="IJF116" s="577"/>
      <c r="IJG116" s="304"/>
      <c r="IJH116" s="572"/>
      <c r="IJI116" s="573"/>
      <c r="IJJ116" s="574"/>
      <c r="IJK116" s="575"/>
      <c r="IJL116" s="583"/>
      <c r="IJM116" s="590"/>
      <c r="IJN116" s="589"/>
      <c r="IJO116" s="585"/>
      <c r="IJP116" s="577"/>
      <c r="IJQ116" s="304"/>
      <c r="IJR116" s="572"/>
      <c r="IJS116" s="573"/>
      <c r="IJT116" s="574"/>
      <c r="IJU116" s="575"/>
      <c r="IJV116" s="583"/>
      <c r="IJW116" s="590"/>
      <c r="IJX116" s="589"/>
      <c r="IJY116" s="585"/>
      <c r="IJZ116" s="577"/>
      <c r="IKA116" s="304"/>
      <c r="IKB116" s="572"/>
      <c r="IKC116" s="573"/>
      <c r="IKD116" s="574"/>
      <c r="IKE116" s="575"/>
      <c r="IKF116" s="583"/>
      <c r="IKG116" s="590"/>
      <c r="IKH116" s="589"/>
      <c r="IKI116" s="585"/>
      <c r="IKJ116" s="577"/>
      <c r="IKK116" s="304"/>
      <c r="IKL116" s="572"/>
      <c r="IKM116" s="573"/>
      <c r="IKN116" s="574"/>
      <c r="IKO116" s="575"/>
      <c r="IKP116" s="583"/>
      <c r="IKQ116" s="590"/>
      <c r="IKR116" s="589"/>
      <c r="IKS116" s="585"/>
      <c r="IKT116" s="577"/>
      <c r="IKU116" s="304"/>
      <c r="IKV116" s="572"/>
      <c r="IKW116" s="573"/>
      <c r="IKX116" s="574"/>
      <c r="IKY116" s="575"/>
      <c r="IKZ116" s="583"/>
      <c r="ILA116" s="590"/>
      <c r="ILB116" s="589"/>
      <c r="ILC116" s="585"/>
      <c r="ILD116" s="577"/>
      <c r="ILE116" s="304"/>
      <c r="ILF116" s="572"/>
      <c r="ILG116" s="573"/>
      <c r="ILH116" s="574"/>
      <c r="ILI116" s="575"/>
      <c r="ILJ116" s="583"/>
      <c r="ILK116" s="590"/>
      <c r="ILL116" s="589"/>
      <c r="ILM116" s="585"/>
      <c r="ILN116" s="577"/>
      <c r="ILO116" s="304"/>
      <c r="ILP116" s="572"/>
      <c r="ILQ116" s="573"/>
      <c r="ILR116" s="574"/>
      <c r="ILS116" s="575"/>
      <c r="ILT116" s="583"/>
      <c r="ILU116" s="590"/>
      <c r="ILV116" s="589"/>
      <c r="ILW116" s="585"/>
      <c r="ILX116" s="577"/>
      <c r="ILY116" s="304"/>
      <c r="ILZ116" s="572"/>
      <c r="IMA116" s="573"/>
      <c r="IMB116" s="574"/>
      <c r="IMC116" s="575"/>
      <c r="IMD116" s="583"/>
      <c r="IME116" s="590"/>
      <c r="IMF116" s="589"/>
      <c r="IMG116" s="585"/>
      <c r="IMH116" s="577"/>
      <c r="IMI116" s="304"/>
      <c r="IMJ116" s="572"/>
      <c r="IMK116" s="573"/>
      <c r="IML116" s="574"/>
      <c r="IMM116" s="575"/>
      <c r="IMN116" s="583"/>
      <c r="IMO116" s="590"/>
      <c r="IMP116" s="589"/>
      <c r="IMQ116" s="585"/>
      <c r="IMR116" s="577"/>
      <c r="IMS116" s="304"/>
      <c r="IMT116" s="572"/>
      <c r="IMU116" s="573"/>
      <c r="IMV116" s="574"/>
      <c r="IMW116" s="575"/>
      <c r="IMX116" s="583"/>
      <c r="IMY116" s="590"/>
      <c r="IMZ116" s="589"/>
      <c r="INA116" s="585"/>
      <c r="INB116" s="577"/>
      <c r="INC116" s="304"/>
      <c r="IND116" s="572"/>
      <c r="INE116" s="573"/>
      <c r="INF116" s="574"/>
      <c r="ING116" s="575"/>
      <c r="INH116" s="583"/>
      <c r="INI116" s="590"/>
      <c r="INJ116" s="589"/>
      <c r="INK116" s="585"/>
      <c r="INL116" s="577"/>
      <c r="INM116" s="304"/>
      <c r="INN116" s="572"/>
      <c r="INO116" s="573"/>
      <c r="INP116" s="574"/>
      <c r="INQ116" s="575"/>
      <c r="INR116" s="583"/>
      <c r="INS116" s="590"/>
      <c r="INT116" s="589"/>
      <c r="INU116" s="585"/>
      <c r="INV116" s="577"/>
      <c r="INW116" s="304"/>
      <c r="INX116" s="572"/>
      <c r="INY116" s="573"/>
      <c r="INZ116" s="574"/>
      <c r="IOA116" s="575"/>
      <c r="IOB116" s="583"/>
      <c r="IOC116" s="590"/>
      <c r="IOD116" s="589"/>
      <c r="IOE116" s="585"/>
      <c r="IOF116" s="577"/>
      <c r="IOG116" s="304"/>
      <c r="IOH116" s="572"/>
      <c r="IOI116" s="573"/>
      <c r="IOJ116" s="574"/>
      <c r="IOK116" s="575"/>
      <c r="IOL116" s="583"/>
      <c r="IOM116" s="590"/>
      <c r="ION116" s="589"/>
      <c r="IOO116" s="585"/>
      <c r="IOP116" s="577"/>
      <c r="IOQ116" s="304"/>
      <c r="IOR116" s="572"/>
      <c r="IOS116" s="573"/>
      <c r="IOT116" s="574"/>
      <c r="IOU116" s="575"/>
      <c r="IOV116" s="583"/>
      <c r="IOW116" s="590"/>
      <c r="IOX116" s="589"/>
      <c r="IOY116" s="585"/>
      <c r="IOZ116" s="577"/>
      <c r="IPA116" s="304"/>
      <c r="IPB116" s="572"/>
      <c r="IPC116" s="573"/>
      <c r="IPD116" s="574"/>
      <c r="IPE116" s="575"/>
      <c r="IPF116" s="583"/>
      <c r="IPG116" s="590"/>
      <c r="IPH116" s="589"/>
      <c r="IPI116" s="585"/>
      <c r="IPJ116" s="577"/>
      <c r="IPK116" s="304"/>
      <c r="IPL116" s="572"/>
      <c r="IPM116" s="573"/>
      <c r="IPN116" s="574"/>
      <c r="IPO116" s="575"/>
      <c r="IPP116" s="583"/>
      <c r="IPQ116" s="590"/>
      <c r="IPR116" s="589"/>
      <c r="IPS116" s="585"/>
      <c r="IPT116" s="577"/>
      <c r="IPU116" s="304"/>
      <c r="IPV116" s="572"/>
      <c r="IPW116" s="573"/>
      <c r="IPX116" s="574"/>
      <c r="IPY116" s="575"/>
      <c r="IPZ116" s="583"/>
      <c r="IQA116" s="590"/>
      <c r="IQB116" s="589"/>
      <c r="IQC116" s="585"/>
      <c r="IQD116" s="577"/>
      <c r="IQE116" s="304"/>
      <c r="IQF116" s="572"/>
      <c r="IQG116" s="573"/>
      <c r="IQH116" s="574"/>
      <c r="IQI116" s="575"/>
      <c r="IQJ116" s="583"/>
      <c r="IQK116" s="590"/>
      <c r="IQL116" s="589"/>
      <c r="IQM116" s="585"/>
      <c r="IQN116" s="577"/>
      <c r="IQO116" s="304"/>
      <c r="IQP116" s="572"/>
      <c r="IQQ116" s="573"/>
      <c r="IQR116" s="574"/>
      <c r="IQS116" s="575"/>
      <c r="IQT116" s="583"/>
      <c r="IQU116" s="590"/>
      <c r="IQV116" s="589"/>
      <c r="IQW116" s="585"/>
      <c r="IQX116" s="577"/>
      <c r="IQY116" s="304"/>
      <c r="IQZ116" s="572"/>
      <c r="IRA116" s="573"/>
      <c r="IRB116" s="574"/>
      <c r="IRC116" s="575"/>
      <c r="IRD116" s="583"/>
      <c r="IRE116" s="590"/>
      <c r="IRF116" s="589"/>
      <c r="IRG116" s="585"/>
      <c r="IRH116" s="577"/>
      <c r="IRI116" s="304"/>
      <c r="IRJ116" s="572"/>
      <c r="IRK116" s="573"/>
      <c r="IRL116" s="574"/>
      <c r="IRM116" s="575"/>
      <c r="IRN116" s="583"/>
      <c r="IRO116" s="590"/>
      <c r="IRP116" s="589"/>
      <c r="IRQ116" s="585"/>
      <c r="IRR116" s="577"/>
      <c r="IRS116" s="304"/>
      <c r="IRT116" s="572"/>
      <c r="IRU116" s="573"/>
      <c r="IRV116" s="574"/>
      <c r="IRW116" s="575"/>
      <c r="IRX116" s="583"/>
      <c r="IRY116" s="590"/>
      <c r="IRZ116" s="589"/>
      <c r="ISA116" s="585"/>
      <c r="ISB116" s="577"/>
      <c r="ISC116" s="304"/>
      <c r="ISD116" s="572"/>
      <c r="ISE116" s="573"/>
      <c r="ISF116" s="574"/>
      <c r="ISG116" s="575"/>
      <c r="ISH116" s="583"/>
      <c r="ISI116" s="590"/>
      <c r="ISJ116" s="589"/>
      <c r="ISK116" s="585"/>
      <c r="ISL116" s="577"/>
      <c r="ISM116" s="304"/>
      <c r="ISN116" s="572"/>
      <c r="ISO116" s="573"/>
      <c r="ISP116" s="574"/>
      <c r="ISQ116" s="575"/>
      <c r="ISR116" s="583"/>
      <c r="ISS116" s="590"/>
      <c r="IST116" s="589"/>
      <c r="ISU116" s="585"/>
      <c r="ISV116" s="577"/>
      <c r="ISW116" s="304"/>
      <c r="ISX116" s="572"/>
      <c r="ISY116" s="573"/>
      <c r="ISZ116" s="574"/>
      <c r="ITA116" s="575"/>
      <c r="ITB116" s="583"/>
      <c r="ITC116" s="590"/>
      <c r="ITD116" s="589"/>
      <c r="ITE116" s="585"/>
      <c r="ITF116" s="577"/>
      <c r="ITG116" s="304"/>
      <c r="ITH116" s="572"/>
      <c r="ITI116" s="573"/>
      <c r="ITJ116" s="574"/>
      <c r="ITK116" s="575"/>
      <c r="ITL116" s="583"/>
      <c r="ITM116" s="590"/>
      <c r="ITN116" s="589"/>
      <c r="ITO116" s="585"/>
      <c r="ITP116" s="577"/>
      <c r="ITQ116" s="304"/>
      <c r="ITR116" s="572"/>
      <c r="ITS116" s="573"/>
      <c r="ITT116" s="574"/>
      <c r="ITU116" s="575"/>
      <c r="ITV116" s="583"/>
      <c r="ITW116" s="590"/>
      <c r="ITX116" s="589"/>
      <c r="ITY116" s="585"/>
      <c r="ITZ116" s="577"/>
      <c r="IUA116" s="304"/>
      <c r="IUB116" s="572"/>
      <c r="IUC116" s="573"/>
      <c r="IUD116" s="574"/>
      <c r="IUE116" s="575"/>
      <c r="IUF116" s="583"/>
      <c r="IUG116" s="590"/>
      <c r="IUH116" s="589"/>
      <c r="IUI116" s="585"/>
      <c r="IUJ116" s="577"/>
      <c r="IUK116" s="304"/>
      <c r="IUL116" s="572"/>
      <c r="IUM116" s="573"/>
      <c r="IUN116" s="574"/>
      <c r="IUO116" s="575"/>
      <c r="IUP116" s="583"/>
      <c r="IUQ116" s="590"/>
      <c r="IUR116" s="589"/>
      <c r="IUS116" s="585"/>
      <c r="IUT116" s="577"/>
      <c r="IUU116" s="304"/>
      <c r="IUV116" s="572"/>
      <c r="IUW116" s="573"/>
      <c r="IUX116" s="574"/>
      <c r="IUY116" s="575"/>
      <c r="IUZ116" s="583"/>
      <c r="IVA116" s="590"/>
      <c r="IVB116" s="589"/>
      <c r="IVC116" s="585"/>
      <c r="IVD116" s="577"/>
      <c r="IVE116" s="304"/>
      <c r="IVF116" s="572"/>
      <c r="IVG116" s="573"/>
      <c r="IVH116" s="574"/>
      <c r="IVI116" s="575"/>
      <c r="IVJ116" s="583"/>
      <c r="IVK116" s="590"/>
      <c r="IVL116" s="589"/>
      <c r="IVM116" s="585"/>
      <c r="IVN116" s="577"/>
      <c r="IVO116" s="304"/>
      <c r="IVP116" s="572"/>
      <c r="IVQ116" s="573"/>
      <c r="IVR116" s="574"/>
      <c r="IVS116" s="575"/>
      <c r="IVT116" s="583"/>
      <c r="IVU116" s="590"/>
      <c r="IVV116" s="589"/>
      <c r="IVW116" s="585"/>
      <c r="IVX116" s="577"/>
      <c r="IVY116" s="304"/>
      <c r="IVZ116" s="572"/>
      <c r="IWA116" s="573"/>
      <c r="IWB116" s="574"/>
      <c r="IWC116" s="575"/>
      <c r="IWD116" s="583"/>
      <c r="IWE116" s="590"/>
      <c r="IWF116" s="589"/>
      <c r="IWG116" s="585"/>
      <c r="IWH116" s="577"/>
      <c r="IWI116" s="304"/>
      <c r="IWJ116" s="572"/>
      <c r="IWK116" s="573"/>
      <c r="IWL116" s="574"/>
      <c r="IWM116" s="575"/>
      <c r="IWN116" s="583"/>
      <c r="IWO116" s="590"/>
      <c r="IWP116" s="589"/>
      <c r="IWQ116" s="585"/>
      <c r="IWR116" s="577"/>
      <c r="IWS116" s="304"/>
      <c r="IWT116" s="572"/>
      <c r="IWU116" s="573"/>
      <c r="IWV116" s="574"/>
      <c r="IWW116" s="575"/>
      <c r="IWX116" s="583"/>
      <c r="IWY116" s="590"/>
      <c r="IWZ116" s="589"/>
      <c r="IXA116" s="585"/>
      <c r="IXB116" s="577"/>
      <c r="IXC116" s="304"/>
      <c r="IXD116" s="572"/>
      <c r="IXE116" s="573"/>
      <c r="IXF116" s="574"/>
      <c r="IXG116" s="575"/>
      <c r="IXH116" s="583"/>
      <c r="IXI116" s="590"/>
      <c r="IXJ116" s="589"/>
      <c r="IXK116" s="585"/>
      <c r="IXL116" s="577"/>
      <c r="IXM116" s="304"/>
      <c r="IXN116" s="572"/>
      <c r="IXO116" s="573"/>
      <c r="IXP116" s="574"/>
      <c r="IXQ116" s="575"/>
      <c r="IXR116" s="583"/>
      <c r="IXS116" s="590"/>
      <c r="IXT116" s="589"/>
      <c r="IXU116" s="585"/>
      <c r="IXV116" s="577"/>
      <c r="IXW116" s="304"/>
      <c r="IXX116" s="572"/>
      <c r="IXY116" s="573"/>
      <c r="IXZ116" s="574"/>
      <c r="IYA116" s="575"/>
      <c r="IYB116" s="583"/>
      <c r="IYC116" s="590"/>
      <c r="IYD116" s="589"/>
      <c r="IYE116" s="585"/>
      <c r="IYF116" s="577"/>
      <c r="IYG116" s="304"/>
      <c r="IYH116" s="572"/>
      <c r="IYI116" s="573"/>
      <c r="IYJ116" s="574"/>
      <c r="IYK116" s="575"/>
      <c r="IYL116" s="583"/>
      <c r="IYM116" s="590"/>
      <c r="IYN116" s="589"/>
      <c r="IYO116" s="585"/>
      <c r="IYP116" s="577"/>
      <c r="IYQ116" s="304"/>
      <c r="IYR116" s="572"/>
      <c r="IYS116" s="573"/>
      <c r="IYT116" s="574"/>
      <c r="IYU116" s="575"/>
      <c r="IYV116" s="583"/>
      <c r="IYW116" s="590"/>
      <c r="IYX116" s="589"/>
      <c r="IYY116" s="585"/>
      <c r="IYZ116" s="577"/>
      <c r="IZA116" s="304"/>
      <c r="IZB116" s="572"/>
      <c r="IZC116" s="573"/>
      <c r="IZD116" s="574"/>
      <c r="IZE116" s="575"/>
      <c r="IZF116" s="583"/>
      <c r="IZG116" s="590"/>
      <c r="IZH116" s="589"/>
      <c r="IZI116" s="585"/>
      <c r="IZJ116" s="577"/>
      <c r="IZK116" s="304"/>
      <c r="IZL116" s="572"/>
      <c r="IZM116" s="573"/>
      <c r="IZN116" s="574"/>
      <c r="IZO116" s="575"/>
      <c r="IZP116" s="583"/>
      <c r="IZQ116" s="590"/>
      <c r="IZR116" s="589"/>
      <c r="IZS116" s="585"/>
      <c r="IZT116" s="577"/>
      <c r="IZU116" s="304"/>
      <c r="IZV116" s="572"/>
      <c r="IZW116" s="573"/>
      <c r="IZX116" s="574"/>
      <c r="IZY116" s="575"/>
      <c r="IZZ116" s="583"/>
      <c r="JAA116" s="590"/>
      <c r="JAB116" s="589"/>
      <c r="JAC116" s="585"/>
      <c r="JAD116" s="577"/>
      <c r="JAE116" s="304"/>
      <c r="JAF116" s="572"/>
      <c r="JAG116" s="573"/>
      <c r="JAH116" s="574"/>
      <c r="JAI116" s="575"/>
      <c r="JAJ116" s="583"/>
      <c r="JAK116" s="590"/>
      <c r="JAL116" s="589"/>
      <c r="JAM116" s="585"/>
      <c r="JAN116" s="577"/>
      <c r="JAO116" s="304"/>
      <c r="JAP116" s="572"/>
      <c r="JAQ116" s="573"/>
      <c r="JAR116" s="574"/>
      <c r="JAS116" s="575"/>
      <c r="JAT116" s="583"/>
      <c r="JAU116" s="590"/>
      <c r="JAV116" s="589"/>
      <c r="JAW116" s="585"/>
      <c r="JAX116" s="577"/>
      <c r="JAY116" s="304"/>
      <c r="JAZ116" s="572"/>
      <c r="JBA116" s="573"/>
      <c r="JBB116" s="574"/>
      <c r="JBC116" s="575"/>
      <c r="JBD116" s="583"/>
      <c r="JBE116" s="590"/>
      <c r="JBF116" s="589"/>
      <c r="JBG116" s="585"/>
      <c r="JBH116" s="577"/>
      <c r="JBI116" s="304"/>
      <c r="JBJ116" s="572"/>
      <c r="JBK116" s="573"/>
      <c r="JBL116" s="574"/>
      <c r="JBM116" s="575"/>
      <c r="JBN116" s="583"/>
      <c r="JBO116" s="590"/>
      <c r="JBP116" s="589"/>
      <c r="JBQ116" s="585"/>
      <c r="JBR116" s="577"/>
      <c r="JBS116" s="304"/>
      <c r="JBT116" s="572"/>
      <c r="JBU116" s="573"/>
      <c r="JBV116" s="574"/>
      <c r="JBW116" s="575"/>
      <c r="JBX116" s="583"/>
      <c r="JBY116" s="590"/>
      <c r="JBZ116" s="589"/>
      <c r="JCA116" s="585"/>
      <c r="JCB116" s="577"/>
      <c r="JCC116" s="304"/>
      <c r="JCD116" s="572"/>
      <c r="JCE116" s="573"/>
      <c r="JCF116" s="574"/>
      <c r="JCG116" s="575"/>
      <c r="JCH116" s="583"/>
      <c r="JCI116" s="590"/>
      <c r="JCJ116" s="589"/>
      <c r="JCK116" s="585"/>
      <c r="JCL116" s="577"/>
      <c r="JCM116" s="304"/>
      <c r="JCN116" s="572"/>
      <c r="JCO116" s="573"/>
      <c r="JCP116" s="574"/>
      <c r="JCQ116" s="575"/>
      <c r="JCR116" s="583"/>
      <c r="JCS116" s="590"/>
      <c r="JCT116" s="589"/>
      <c r="JCU116" s="585"/>
      <c r="JCV116" s="577"/>
      <c r="JCW116" s="304"/>
      <c r="JCX116" s="572"/>
      <c r="JCY116" s="573"/>
      <c r="JCZ116" s="574"/>
      <c r="JDA116" s="575"/>
      <c r="JDB116" s="583"/>
      <c r="JDC116" s="590"/>
      <c r="JDD116" s="589"/>
      <c r="JDE116" s="585"/>
      <c r="JDF116" s="577"/>
      <c r="JDG116" s="304"/>
      <c r="JDH116" s="572"/>
      <c r="JDI116" s="573"/>
      <c r="JDJ116" s="574"/>
      <c r="JDK116" s="575"/>
      <c r="JDL116" s="583"/>
      <c r="JDM116" s="590"/>
      <c r="JDN116" s="589"/>
      <c r="JDO116" s="585"/>
      <c r="JDP116" s="577"/>
      <c r="JDQ116" s="304"/>
      <c r="JDR116" s="572"/>
      <c r="JDS116" s="573"/>
      <c r="JDT116" s="574"/>
      <c r="JDU116" s="575"/>
      <c r="JDV116" s="583"/>
      <c r="JDW116" s="590"/>
      <c r="JDX116" s="589"/>
      <c r="JDY116" s="585"/>
      <c r="JDZ116" s="577"/>
      <c r="JEA116" s="304"/>
      <c r="JEB116" s="572"/>
      <c r="JEC116" s="573"/>
      <c r="JED116" s="574"/>
      <c r="JEE116" s="575"/>
      <c r="JEF116" s="583"/>
      <c r="JEG116" s="590"/>
      <c r="JEH116" s="589"/>
      <c r="JEI116" s="585"/>
      <c r="JEJ116" s="577"/>
      <c r="JEK116" s="304"/>
      <c r="JEL116" s="572"/>
      <c r="JEM116" s="573"/>
      <c r="JEN116" s="574"/>
      <c r="JEO116" s="575"/>
      <c r="JEP116" s="583"/>
      <c r="JEQ116" s="590"/>
      <c r="JER116" s="589"/>
      <c r="JES116" s="585"/>
      <c r="JET116" s="577"/>
      <c r="JEU116" s="304"/>
      <c r="JEV116" s="572"/>
      <c r="JEW116" s="573"/>
      <c r="JEX116" s="574"/>
      <c r="JEY116" s="575"/>
      <c r="JEZ116" s="583"/>
      <c r="JFA116" s="590"/>
      <c r="JFB116" s="589"/>
      <c r="JFC116" s="585"/>
      <c r="JFD116" s="577"/>
      <c r="JFE116" s="304"/>
      <c r="JFF116" s="572"/>
      <c r="JFG116" s="573"/>
      <c r="JFH116" s="574"/>
      <c r="JFI116" s="575"/>
      <c r="JFJ116" s="583"/>
      <c r="JFK116" s="590"/>
      <c r="JFL116" s="589"/>
      <c r="JFM116" s="585"/>
      <c r="JFN116" s="577"/>
      <c r="JFO116" s="304"/>
      <c r="JFP116" s="572"/>
      <c r="JFQ116" s="573"/>
      <c r="JFR116" s="574"/>
      <c r="JFS116" s="575"/>
      <c r="JFT116" s="583"/>
      <c r="JFU116" s="590"/>
      <c r="JFV116" s="589"/>
      <c r="JFW116" s="585"/>
      <c r="JFX116" s="577"/>
      <c r="JFY116" s="304"/>
      <c r="JFZ116" s="572"/>
      <c r="JGA116" s="573"/>
      <c r="JGB116" s="574"/>
      <c r="JGC116" s="575"/>
      <c r="JGD116" s="583"/>
      <c r="JGE116" s="590"/>
      <c r="JGF116" s="589"/>
      <c r="JGG116" s="585"/>
      <c r="JGH116" s="577"/>
      <c r="JGI116" s="304"/>
      <c r="JGJ116" s="572"/>
      <c r="JGK116" s="573"/>
      <c r="JGL116" s="574"/>
      <c r="JGM116" s="575"/>
      <c r="JGN116" s="583"/>
      <c r="JGO116" s="590"/>
      <c r="JGP116" s="589"/>
      <c r="JGQ116" s="585"/>
      <c r="JGR116" s="577"/>
      <c r="JGS116" s="304"/>
      <c r="JGT116" s="572"/>
      <c r="JGU116" s="573"/>
      <c r="JGV116" s="574"/>
      <c r="JGW116" s="575"/>
      <c r="JGX116" s="583"/>
      <c r="JGY116" s="590"/>
      <c r="JGZ116" s="589"/>
      <c r="JHA116" s="585"/>
      <c r="JHB116" s="577"/>
      <c r="JHC116" s="304"/>
      <c r="JHD116" s="572"/>
      <c r="JHE116" s="573"/>
      <c r="JHF116" s="574"/>
      <c r="JHG116" s="575"/>
      <c r="JHH116" s="583"/>
      <c r="JHI116" s="590"/>
      <c r="JHJ116" s="589"/>
      <c r="JHK116" s="585"/>
      <c r="JHL116" s="577"/>
      <c r="JHM116" s="304"/>
      <c r="JHN116" s="572"/>
      <c r="JHO116" s="573"/>
      <c r="JHP116" s="574"/>
      <c r="JHQ116" s="575"/>
      <c r="JHR116" s="583"/>
      <c r="JHS116" s="590"/>
      <c r="JHT116" s="589"/>
      <c r="JHU116" s="585"/>
      <c r="JHV116" s="577"/>
      <c r="JHW116" s="304"/>
      <c r="JHX116" s="572"/>
      <c r="JHY116" s="573"/>
      <c r="JHZ116" s="574"/>
      <c r="JIA116" s="575"/>
      <c r="JIB116" s="583"/>
      <c r="JIC116" s="590"/>
      <c r="JID116" s="589"/>
      <c r="JIE116" s="585"/>
      <c r="JIF116" s="577"/>
      <c r="JIG116" s="304"/>
      <c r="JIH116" s="572"/>
      <c r="JII116" s="573"/>
      <c r="JIJ116" s="574"/>
      <c r="JIK116" s="575"/>
      <c r="JIL116" s="583"/>
      <c r="JIM116" s="590"/>
      <c r="JIN116" s="589"/>
      <c r="JIO116" s="585"/>
      <c r="JIP116" s="577"/>
      <c r="JIQ116" s="304"/>
      <c r="JIR116" s="572"/>
      <c r="JIS116" s="573"/>
      <c r="JIT116" s="574"/>
      <c r="JIU116" s="575"/>
      <c r="JIV116" s="583"/>
      <c r="JIW116" s="590"/>
      <c r="JIX116" s="589"/>
      <c r="JIY116" s="585"/>
      <c r="JIZ116" s="577"/>
      <c r="JJA116" s="304"/>
      <c r="JJB116" s="572"/>
      <c r="JJC116" s="573"/>
      <c r="JJD116" s="574"/>
      <c r="JJE116" s="575"/>
      <c r="JJF116" s="583"/>
      <c r="JJG116" s="590"/>
      <c r="JJH116" s="589"/>
      <c r="JJI116" s="585"/>
      <c r="JJJ116" s="577"/>
      <c r="JJK116" s="304"/>
      <c r="JJL116" s="572"/>
      <c r="JJM116" s="573"/>
      <c r="JJN116" s="574"/>
      <c r="JJO116" s="575"/>
      <c r="JJP116" s="583"/>
      <c r="JJQ116" s="590"/>
      <c r="JJR116" s="589"/>
      <c r="JJS116" s="585"/>
      <c r="JJT116" s="577"/>
      <c r="JJU116" s="304"/>
      <c r="JJV116" s="572"/>
      <c r="JJW116" s="573"/>
      <c r="JJX116" s="574"/>
      <c r="JJY116" s="575"/>
      <c r="JJZ116" s="583"/>
      <c r="JKA116" s="590"/>
      <c r="JKB116" s="589"/>
      <c r="JKC116" s="585"/>
      <c r="JKD116" s="577"/>
      <c r="JKE116" s="304"/>
      <c r="JKF116" s="572"/>
      <c r="JKG116" s="573"/>
      <c r="JKH116" s="574"/>
      <c r="JKI116" s="575"/>
      <c r="JKJ116" s="583"/>
      <c r="JKK116" s="590"/>
      <c r="JKL116" s="589"/>
      <c r="JKM116" s="585"/>
      <c r="JKN116" s="577"/>
      <c r="JKO116" s="304"/>
      <c r="JKP116" s="572"/>
      <c r="JKQ116" s="573"/>
      <c r="JKR116" s="574"/>
      <c r="JKS116" s="575"/>
      <c r="JKT116" s="583"/>
      <c r="JKU116" s="590"/>
      <c r="JKV116" s="589"/>
      <c r="JKW116" s="585"/>
      <c r="JKX116" s="577"/>
      <c r="JKY116" s="304"/>
      <c r="JKZ116" s="572"/>
      <c r="JLA116" s="573"/>
      <c r="JLB116" s="574"/>
      <c r="JLC116" s="575"/>
      <c r="JLD116" s="583"/>
      <c r="JLE116" s="590"/>
      <c r="JLF116" s="589"/>
      <c r="JLG116" s="585"/>
      <c r="JLH116" s="577"/>
      <c r="JLI116" s="304"/>
      <c r="JLJ116" s="572"/>
      <c r="JLK116" s="573"/>
      <c r="JLL116" s="574"/>
      <c r="JLM116" s="575"/>
      <c r="JLN116" s="583"/>
      <c r="JLO116" s="590"/>
      <c r="JLP116" s="589"/>
      <c r="JLQ116" s="585"/>
      <c r="JLR116" s="577"/>
      <c r="JLS116" s="304"/>
      <c r="JLT116" s="572"/>
      <c r="JLU116" s="573"/>
      <c r="JLV116" s="574"/>
      <c r="JLW116" s="575"/>
      <c r="JLX116" s="583"/>
      <c r="JLY116" s="590"/>
      <c r="JLZ116" s="589"/>
      <c r="JMA116" s="585"/>
      <c r="JMB116" s="577"/>
      <c r="JMC116" s="304"/>
      <c r="JMD116" s="572"/>
      <c r="JME116" s="573"/>
      <c r="JMF116" s="574"/>
      <c r="JMG116" s="575"/>
      <c r="JMH116" s="583"/>
      <c r="JMI116" s="590"/>
      <c r="JMJ116" s="589"/>
      <c r="JMK116" s="585"/>
      <c r="JML116" s="577"/>
      <c r="JMM116" s="304"/>
      <c r="JMN116" s="572"/>
      <c r="JMO116" s="573"/>
      <c r="JMP116" s="574"/>
      <c r="JMQ116" s="575"/>
      <c r="JMR116" s="583"/>
      <c r="JMS116" s="590"/>
      <c r="JMT116" s="589"/>
      <c r="JMU116" s="585"/>
      <c r="JMV116" s="577"/>
      <c r="JMW116" s="304"/>
      <c r="JMX116" s="572"/>
      <c r="JMY116" s="573"/>
      <c r="JMZ116" s="574"/>
      <c r="JNA116" s="575"/>
      <c r="JNB116" s="583"/>
      <c r="JNC116" s="590"/>
      <c r="JND116" s="589"/>
      <c r="JNE116" s="585"/>
      <c r="JNF116" s="577"/>
      <c r="JNG116" s="304"/>
      <c r="JNH116" s="572"/>
      <c r="JNI116" s="573"/>
      <c r="JNJ116" s="574"/>
      <c r="JNK116" s="575"/>
      <c r="JNL116" s="583"/>
      <c r="JNM116" s="590"/>
      <c r="JNN116" s="589"/>
      <c r="JNO116" s="585"/>
      <c r="JNP116" s="577"/>
      <c r="JNQ116" s="304"/>
      <c r="JNR116" s="572"/>
      <c r="JNS116" s="573"/>
      <c r="JNT116" s="574"/>
      <c r="JNU116" s="575"/>
      <c r="JNV116" s="583"/>
      <c r="JNW116" s="590"/>
      <c r="JNX116" s="589"/>
      <c r="JNY116" s="585"/>
      <c r="JNZ116" s="577"/>
      <c r="JOA116" s="304"/>
      <c r="JOB116" s="572"/>
      <c r="JOC116" s="573"/>
      <c r="JOD116" s="574"/>
      <c r="JOE116" s="575"/>
      <c r="JOF116" s="583"/>
      <c r="JOG116" s="590"/>
      <c r="JOH116" s="589"/>
      <c r="JOI116" s="585"/>
      <c r="JOJ116" s="577"/>
      <c r="JOK116" s="304"/>
      <c r="JOL116" s="572"/>
      <c r="JOM116" s="573"/>
      <c r="JON116" s="574"/>
      <c r="JOO116" s="575"/>
      <c r="JOP116" s="583"/>
      <c r="JOQ116" s="590"/>
      <c r="JOR116" s="589"/>
      <c r="JOS116" s="585"/>
      <c r="JOT116" s="577"/>
      <c r="JOU116" s="304"/>
      <c r="JOV116" s="572"/>
      <c r="JOW116" s="573"/>
      <c r="JOX116" s="574"/>
      <c r="JOY116" s="575"/>
      <c r="JOZ116" s="583"/>
      <c r="JPA116" s="590"/>
      <c r="JPB116" s="589"/>
      <c r="JPC116" s="585"/>
      <c r="JPD116" s="577"/>
      <c r="JPE116" s="304"/>
      <c r="JPF116" s="572"/>
      <c r="JPG116" s="573"/>
      <c r="JPH116" s="574"/>
      <c r="JPI116" s="575"/>
      <c r="JPJ116" s="583"/>
      <c r="JPK116" s="590"/>
      <c r="JPL116" s="589"/>
      <c r="JPM116" s="585"/>
      <c r="JPN116" s="577"/>
      <c r="JPO116" s="304"/>
      <c r="JPP116" s="572"/>
      <c r="JPQ116" s="573"/>
      <c r="JPR116" s="574"/>
      <c r="JPS116" s="575"/>
      <c r="JPT116" s="583"/>
      <c r="JPU116" s="590"/>
      <c r="JPV116" s="589"/>
      <c r="JPW116" s="585"/>
      <c r="JPX116" s="577"/>
      <c r="JPY116" s="304"/>
      <c r="JPZ116" s="572"/>
      <c r="JQA116" s="573"/>
      <c r="JQB116" s="574"/>
      <c r="JQC116" s="575"/>
      <c r="JQD116" s="583"/>
      <c r="JQE116" s="590"/>
      <c r="JQF116" s="589"/>
      <c r="JQG116" s="585"/>
      <c r="JQH116" s="577"/>
      <c r="JQI116" s="304"/>
      <c r="JQJ116" s="572"/>
      <c r="JQK116" s="573"/>
      <c r="JQL116" s="574"/>
      <c r="JQM116" s="575"/>
      <c r="JQN116" s="583"/>
      <c r="JQO116" s="590"/>
      <c r="JQP116" s="589"/>
      <c r="JQQ116" s="585"/>
      <c r="JQR116" s="577"/>
      <c r="JQS116" s="304"/>
      <c r="JQT116" s="572"/>
      <c r="JQU116" s="573"/>
      <c r="JQV116" s="574"/>
      <c r="JQW116" s="575"/>
      <c r="JQX116" s="583"/>
      <c r="JQY116" s="590"/>
      <c r="JQZ116" s="589"/>
      <c r="JRA116" s="585"/>
      <c r="JRB116" s="577"/>
      <c r="JRC116" s="304"/>
      <c r="JRD116" s="572"/>
      <c r="JRE116" s="573"/>
      <c r="JRF116" s="574"/>
      <c r="JRG116" s="575"/>
      <c r="JRH116" s="583"/>
      <c r="JRI116" s="590"/>
      <c r="JRJ116" s="589"/>
      <c r="JRK116" s="585"/>
      <c r="JRL116" s="577"/>
      <c r="JRM116" s="304"/>
      <c r="JRN116" s="572"/>
      <c r="JRO116" s="573"/>
      <c r="JRP116" s="574"/>
      <c r="JRQ116" s="575"/>
      <c r="JRR116" s="583"/>
      <c r="JRS116" s="590"/>
      <c r="JRT116" s="589"/>
      <c r="JRU116" s="585"/>
      <c r="JRV116" s="577"/>
      <c r="JRW116" s="304"/>
      <c r="JRX116" s="572"/>
      <c r="JRY116" s="573"/>
      <c r="JRZ116" s="574"/>
      <c r="JSA116" s="575"/>
      <c r="JSB116" s="583"/>
      <c r="JSC116" s="590"/>
      <c r="JSD116" s="589"/>
      <c r="JSE116" s="585"/>
      <c r="JSF116" s="577"/>
      <c r="JSG116" s="304"/>
      <c r="JSH116" s="572"/>
      <c r="JSI116" s="573"/>
      <c r="JSJ116" s="574"/>
      <c r="JSK116" s="575"/>
      <c r="JSL116" s="583"/>
      <c r="JSM116" s="590"/>
      <c r="JSN116" s="589"/>
      <c r="JSO116" s="585"/>
      <c r="JSP116" s="577"/>
      <c r="JSQ116" s="304"/>
      <c r="JSR116" s="572"/>
      <c r="JSS116" s="573"/>
      <c r="JST116" s="574"/>
      <c r="JSU116" s="575"/>
      <c r="JSV116" s="583"/>
      <c r="JSW116" s="590"/>
      <c r="JSX116" s="589"/>
      <c r="JSY116" s="585"/>
      <c r="JSZ116" s="577"/>
      <c r="JTA116" s="304"/>
      <c r="JTB116" s="572"/>
      <c r="JTC116" s="573"/>
      <c r="JTD116" s="574"/>
      <c r="JTE116" s="575"/>
      <c r="JTF116" s="583"/>
      <c r="JTG116" s="590"/>
      <c r="JTH116" s="589"/>
      <c r="JTI116" s="585"/>
      <c r="JTJ116" s="577"/>
      <c r="JTK116" s="304"/>
      <c r="JTL116" s="572"/>
      <c r="JTM116" s="573"/>
      <c r="JTN116" s="574"/>
      <c r="JTO116" s="575"/>
      <c r="JTP116" s="583"/>
      <c r="JTQ116" s="590"/>
      <c r="JTR116" s="589"/>
      <c r="JTS116" s="585"/>
      <c r="JTT116" s="577"/>
      <c r="JTU116" s="304"/>
      <c r="JTV116" s="572"/>
      <c r="JTW116" s="573"/>
      <c r="JTX116" s="574"/>
      <c r="JTY116" s="575"/>
      <c r="JTZ116" s="583"/>
      <c r="JUA116" s="590"/>
      <c r="JUB116" s="589"/>
      <c r="JUC116" s="585"/>
      <c r="JUD116" s="577"/>
      <c r="JUE116" s="304"/>
      <c r="JUF116" s="572"/>
      <c r="JUG116" s="573"/>
      <c r="JUH116" s="574"/>
      <c r="JUI116" s="575"/>
      <c r="JUJ116" s="583"/>
      <c r="JUK116" s="590"/>
      <c r="JUL116" s="589"/>
      <c r="JUM116" s="585"/>
      <c r="JUN116" s="577"/>
      <c r="JUO116" s="304"/>
      <c r="JUP116" s="572"/>
      <c r="JUQ116" s="573"/>
      <c r="JUR116" s="574"/>
      <c r="JUS116" s="575"/>
      <c r="JUT116" s="583"/>
      <c r="JUU116" s="590"/>
      <c r="JUV116" s="589"/>
      <c r="JUW116" s="585"/>
      <c r="JUX116" s="577"/>
      <c r="JUY116" s="304"/>
      <c r="JUZ116" s="572"/>
      <c r="JVA116" s="573"/>
      <c r="JVB116" s="574"/>
      <c r="JVC116" s="575"/>
      <c r="JVD116" s="583"/>
      <c r="JVE116" s="590"/>
      <c r="JVF116" s="589"/>
      <c r="JVG116" s="585"/>
      <c r="JVH116" s="577"/>
      <c r="JVI116" s="304"/>
      <c r="JVJ116" s="572"/>
      <c r="JVK116" s="573"/>
      <c r="JVL116" s="574"/>
      <c r="JVM116" s="575"/>
      <c r="JVN116" s="583"/>
      <c r="JVO116" s="590"/>
      <c r="JVP116" s="589"/>
      <c r="JVQ116" s="585"/>
      <c r="JVR116" s="577"/>
      <c r="JVS116" s="304"/>
      <c r="JVT116" s="572"/>
      <c r="JVU116" s="573"/>
      <c r="JVV116" s="574"/>
      <c r="JVW116" s="575"/>
      <c r="JVX116" s="583"/>
      <c r="JVY116" s="590"/>
      <c r="JVZ116" s="589"/>
      <c r="JWA116" s="585"/>
      <c r="JWB116" s="577"/>
      <c r="JWC116" s="304"/>
      <c r="JWD116" s="572"/>
      <c r="JWE116" s="573"/>
      <c r="JWF116" s="574"/>
      <c r="JWG116" s="575"/>
      <c r="JWH116" s="583"/>
      <c r="JWI116" s="590"/>
      <c r="JWJ116" s="589"/>
      <c r="JWK116" s="585"/>
      <c r="JWL116" s="577"/>
      <c r="JWM116" s="304"/>
      <c r="JWN116" s="572"/>
      <c r="JWO116" s="573"/>
      <c r="JWP116" s="574"/>
      <c r="JWQ116" s="575"/>
      <c r="JWR116" s="583"/>
      <c r="JWS116" s="590"/>
      <c r="JWT116" s="589"/>
      <c r="JWU116" s="585"/>
      <c r="JWV116" s="577"/>
      <c r="JWW116" s="304"/>
      <c r="JWX116" s="572"/>
      <c r="JWY116" s="573"/>
      <c r="JWZ116" s="574"/>
      <c r="JXA116" s="575"/>
      <c r="JXB116" s="583"/>
      <c r="JXC116" s="590"/>
      <c r="JXD116" s="589"/>
      <c r="JXE116" s="585"/>
      <c r="JXF116" s="577"/>
      <c r="JXG116" s="304"/>
      <c r="JXH116" s="572"/>
      <c r="JXI116" s="573"/>
      <c r="JXJ116" s="574"/>
      <c r="JXK116" s="575"/>
      <c r="JXL116" s="583"/>
      <c r="JXM116" s="590"/>
      <c r="JXN116" s="589"/>
      <c r="JXO116" s="585"/>
      <c r="JXP116" s="577"/>
      <c r="JXQ116" s="304"/>
      <c r="JXR116" s="572"/>
      <c r="JXS116" s="573"/>
      <c r="JXT116" s="574"/>
      <c r="JXU116" s="575"/>
      <c r="JXV116" s="583"/>
      <c r="JXW116" s="590"/>
      <c r="JXX116" s="589"/>
      <c r="JXY116" s="585"/>
      <c r="JXZ116" s="577"/>
      <c r="JYA116" s="304"/>
      <c r="JYB116" s="572"/>
      <c r="JYC116" s="573"/>
      <c r="JYD116" s="574"/>
      <c r="JYE116" s="575"/>
      <c r="JYF116" s="583"/>
      <c r="JYG116" s="590"/>
      <c r="JYH116" s="589"/>
      <c r="JYI116" s="585"/>
      <c r="JYJ116" s="577"/>
      <c r="JYK116" s="304"/>
      <c r="JYL116" s="572"/>
      <c r="JYM116" s="573"/>
      <c r="JYN116" s="574"/>
      <c r="JYO116" s="575"/>
      <c r="JYP116" s="583"/>
      <c r="JYQ116" s="590"/>
      <c r="JYR116" s="589"/>
      <c r="JYS116" s="585"/>
      <c r="JYT116" s="577"/>
      <c r="JYU116" s="304"/>
      <c r="JYV116" s="572"/>
      <c r="JYW116" s="573"/>
      <c r="JYX116" s="574"/>
      <c r="JYY116" s="575"/>
      <c r="JYZ116" s="583"/>
      <c r="JZA116" s="590"/>
      <c r="JZB116" s="589"/>
      <c r="JZC116" s="585"/>
      <c r="JZD116" s="577"/>
      <c r="JZE116" s="304"/>
      <c r="JZF116" s="572"/>
      <c r="JZG116" s="573"/>
      <c r="JZH116" s="574"/>
      <c r="JZI116" s="575"/>
      <c r="JZJ116" s="583"/>
      <c r="JZK116" s="590"/>
      <c r="JZL116" s="589"/>
      <c r="JZM116" s="585"/>
      <c r="JZN116" s="577"/>
      <c r="JZO116" s="304"/>
      <c r="JZP116" s="572"/>
      <c r="JZQ116" s="573"/>
      <c r="JZR116" s="574"/>
      <c r="JZS116" s="575"/>
      <c r="JZT116" s="583"/>
      <c r="JZU116" s="590"/>
      <c r="JZV116" s="589"/>
      <c r="JZW116" s="585"/>
      <c r="JZX116" s="577"/>
      <c r="JZY116" s="304"/>
      <c r="JZZ116" s="572"/>
      <c r="KAA116" s="573"/>
      <c r="KAB116" s="574"/>
      <c r="KAC116" s="575"/>
      <c r="KAD116" s="583"/>
      <c r="KAE116" s="590"/>
      <c r="KAF116" s="589"/>
      <c r="KAG116" s="585"/>
      <c r="KAH116" s="577"/>
      <c r="KAI116" s="304"/>
      <c r="KAJ116" s="572"/>
      <c r="KAK116" s="573"/>
      <c r="KAL116" s="574"/>
      <c r="KAM116" s="575"/>
      <c r="KAN116" s="583"/>
      <c r="KAO116" s="590"/>
      <c r="KAP116" s="589"/>
      <c r="KAQ116" s="585"/>
      <c r="KAR116" s="577"/>
      <c r="KAS116" s="304"/>
      <c r="KAT116" s="572"/>
      <c r="KAU116" s="573"/>
      <c r="KAV116" s="574"/>
      <c r="KAW116" s="575"/>
      <c r="KAX116" s="583"/>
      <c r="KAY116" s="590"/>
      <c r="KAZ116" s="589"/>
      <c r="KBA116" s="585"/>
      <c r="KBB116" s="577"/>
      <c r="KBC116" s="304"/>
      <c r="KBD116" s="572"/>
      <c r="KBE116" s="573"/>
      <c r="KBF116" s="574"/>
      <c r="KBG116" s="575"/>
      <c r="KBH116" s="583"/>
      <c r="KBI116" s="590"/>
      <c r="KBJ116" s="589"/>
      <c r="KBK116" s="585"/>
      <c r="KBL116" s="577"/>
      <c r="KBM116" s="304"/>
      <c r="KBN116" s="572"/>
      <c r="KBO116" s="573"/>
      <c r="KBP116" s="574"/>
      <c r="KBQ116" s="575"/>
      <c r="KBR116" s="583"/>
      <c r="KBS116" s="590"/>
      <c r="KBT116" s="589"/>
      <c r="KBU116" s="585"/>
      <c r="KBV116" s="577"/>
      <c r="KBW116" s="304"/>
      <c r="KBX116" s="572"/>
      <c r="KBY116" s="573"/>
      <c r="KBZ116" s="574"/>
      <c r="KCA116" s="575"/>
      <c r="KCB116" s="583"/>
      <c r="KCC116" s="590"/>
      <c r="KCD116" s="589"/>
      <c r="KCE116" s="585"/>
      <c r="KCF116" s="577"/>
      <c r="KCG116" s="304"/>
      <c r="KCH116" s="572"/>
      <c r="KCI116" s="573"/>
      <c r="KCJ116" s="574"/>
      <c r="KCK116" s="575"/>
      <c r="KCL116" s="583"/>
      <c r="KCM116" s="590"/>
      <c r="KCN116" s="589"/>
      <c r="KCO116" s="585"/>
      <c r="KCP116" s="577"/>
      <c r="KCQ116" s="304"/>
      <c r="KCR116" s="572"/>
      <c r="KCS116" s="573"/>
      <c r="KCT116" s="574"/>
      <c r="KCU116" s="575"/>
      <c r="KCV116" s="583"/>
      <c r="KCW116" s="590"/>
      <c r="KCX116" s="589"/>
      <c r="KCY116" s="585"/>
      <c r="KCZ116" s="577"/>
      <c r="KDA116" s="304"/>
      <c r="KDB116" s="572"/>
      <c r="KDC116" s="573"/>
      <c r="KDD116" s="574"/>
      <c r="KDE116" s="575"/>
      <c r="KDF116" s="583"/>
      <c r="KDG116" s="590"/>
      <c r="KDH116" s="589"/>
      <c r="KDI116" s="585"/>
      <c r="KDJ116" s="577"/>
      <c r="KDK116" s="304"/>
      <c r="KDL116" s="572"/>
      <c r="KDM116" s="573"/>
      <c r="KDN116" s="574"/>
      <c r="KDO116" s="575"/>
      <c r="KDP116" s="583"/>
      <c r="KDQ116" s="590"/>
      <c r="KDR116" s="589"/>
      <c r="KDS116" s="585"/>
      <c r="KDT116" s="577"/>
      <c r="KDU116" s="304"/>
      <c r="KDV116" s="572"/>
      <c r="KDW116" s="573"/>
      <c r="KDX116" s="574"/>
      <c r="KDY116" s="575"/>
      <c r="KDZ116" s="583"/>
      <c r="KEA116" s="590"/>
      <c r="KEB116" s="589"/>
      <c r="KEC116" s="585"/>
      <c r="KED116" s="577"/>
      <c r="KEE116" s="304"/>
      <c r="KEF116" s="572"/>
      <c r="KEG116" s="573"/>
      <c r="KEH116" s="574"/>
      <c r="KEI116" s="575"/>
      <c r="KEJ116" s="583"/>
      <c r="KEK116" s="590"/>
      <c r="KEL116" s="589"/>
      <c r="KEM116" s="585"/>
      <c r="KEN116" s="577"/>
      <c r="KEO116" s="304"/>
      <c r="KEP116" s="572"/>
      <c r="KEQ116" s="573"/>
      <c r="KER116" s="574"/>
      <c r="KES116" s="575"/>
      <c r="KET116" s="583"/>
      <c r="KEU116" s="590"/>
      <c r="KEV116" s="589"/>
      <c r="KEW116" s="585"/>
      <c r="KEX116" s="577"/>
      <c r="KEY116" s="304"/>
      <c r="KEZ116" s="572"/>
      <c r="KFA116" s="573"/>
      <c r="KFB116" s="574"/>
      <c r="KFC116" s="575"/>
      <c r="KFD116" s="583"/>
      <c r="KFE116" s="590"/>
      <c r="KFF116" s="589"/>
      <c r="KFG116" s="585"/>
      <c r="KFH116" s="577"/>
      <c r="KFI116" s="304"/>
      <c r="KFJ116" s="572"/>
      <c r="KFK116" s="573"/>
      <c r="KFL116" s="574"/>
      <c r="KFM116" s="575"/>
      <c r="KFN116" s="583"/>
      <c r="KFO116" s="590"/>
      <c r="KFP116" s="589"/>
      <c r="KFQ116" s="585"/>
      <c r="KFR116" s="577"/>
      <c r="KFS116" s="304"/>
      <c r="KFT116" s="572"/>
      <c r="KFU116" s="573"/>
      <c r="KFV116" s="574"/>
      <c r="KFW116" s="575"/>
      <c r="KFX116" s="583"/>
      <c r="KFY116" s="590"/>
      <c r="KFZ116" s="589"/>
      <c r="KGA116" s="585"/>
      <c r="KGB116" s="577"/>
      <c r="KGC116" s="304"/>
      <c r="KGD116" s="572"/>
      <c r="KGE116" s="573"/>
      <c r="KGF116" s="574"/>
      <c r="KGG116" s="575"/>
      <c r="KGH116" s="583"/>
      <c r="KGI116" s="590"/>
      <c r="KGJ116" s="589"/>
      <c r="KGK116" s="585"/>
      <c r="KGL116" s="577"/>
      <c r="KGM116" s="304"/>
      <c r="KGN116" s="572"/>
      <c r="KGO116" s="573"/>
      <c r="KGP116" s="574"/>
      <c r="KGQ116" s="575"/>
      <c r="KGR116" s="583"/>
      <c r="KGS116" s="590"/>
      <c r="KGT116" s="589"/>
      <c r="KGU116" s="585"/>
      <c r="KGV116" s="577"/>
      <c r="KGW116" s="304"/>
      <c r="KGX116" s="572"/>
      <c r="KGY116" s="573"/>
      <c r="KGZ116" s="574"/>
      <c r="KHA116" s="575"/>
      <c r="KHB116" s="583"/>
      <c r="KHC116" s="590"/>
      <c r="KHD116" s="589"/>
      <c r="KHE116" s="585"/>
      <c r="KHF116" s="577"/>
      <c r="KHG116" s="304"/>
      <c r="KHH116" s="572"/>
      <c r="KHI116" s="573"/>
      <c r="KHJ116" s="574"/>
      <c r="KHK116" s="575"/>
      <c r="KHL116" s="583"/>
      <c r="KHM116" s="590"/>
      <c r="KHN116" s="589"/>
      <c r="KHO116" s="585"/>
      <c r="KHP116" s="577"/>
      <c r="KHQ116" s="304"/>
      <c r="KHR116" s="572"/>
      <c r="KHS116" s="573"/>
      <c r="KHT116" s="574"/>
      <c r="KHU116" s="575"/>
      <c r="KHV116" s="583"/>
      <c r="KHW116" s="590"/>
      <c r="KHX116" s="589"/>
      <c r="KHY116" s="585"/>
      <c r="KHZ116" s="577"/>
      <c r="KIA116" s="304"/>
      <c r="KIB116" s="572"/>
      <c r="KIC116" s="573"/>
      <c r="KID116" s="574"/>
      <c r="KIE116" s="575"/>
      <c r="KIF116" s="583"/>
      <c r="KIG116" s="590"/>
      <c r="KIH116" s="589"/>
      <c r="KII116" s="585"/>
      <c r="KIJ116" s="577"/>
      <c r="KIK116" s="304"/>
      <c r="KIL116" s="572"/>
      <c r="KIM116" s="573"/>
      <c r="KIN116" s="574"/>
      <c r="KIO116" s="575"/>
      <c r="KIP116" s="583"/>
      <c r="KIQ116" s="590"/>
      <c r="KIR116" s="589"/>
      <c r="KIS116" s="585"/>
      <c r="KIT116" s="577"/>
      <c r="KIU116" s="304"/>
      <c r="KIV116" s="572"/>
      <c r="KIW116" s="573"/>
      <c r="KIX116" s="574"/>
      <c r="KIY116" s="575"/>
      <c r="KIZ116" s="583"/>
      <c r="KJA116" s="590"/>
      <c r="KJB116" s="589"/>
      <c r="KJC116" s="585"/>
      <c r="KJD116" s="577"/>
      <c r="KJE116" s="304"/>
      <c r="KJF116" s="572"/>
      <c r="KJG116" s="573"/>
      <c r="KJH116" s="574"/>
      <c r="KJI116" s="575"/>
      <c r="KJJ116" s="583"/>
      <c r="KJK116" s="590"/>
      <c r="KJL116" s="589"/>
      <c r="KJM116" s="585"/>
      <c r="KJN116" s="577"/>
      <c r="KJO116" s="304"/>
      <c r="KJP116" s="572"/>
      <c r="KJQ116" s="573"/>
      <c r="KJR116" s="574"/>
      <c r="KJS116" s="575"/>
      <c r="KJT116" s="583"/>
      <c r="KJU116" s="590"/>
      <c r="KJV116" s="589"/>
      <c r="KJW116" s="585"/>
      <c r="KJX116" s="577"/>
      <c r="KJY116" s="304"/>
      <c r="KJZ116" s="572"/>
      <c r="KKA116" s="573"/>
      <c r="KKB116" s="574"/>
      <c r="KKC116" s="575"/>
      <c r="KKD116" s="583"/>
      <c r="KKE116" s="590"/>
      <c r="KKF116" s="589"/>
      <c r="KKG116" s="585"/>
      <c r="KKH116" s="577"/>
      <c r="KKI116" s="304"/>
      <c r="KKJ116" s="572"/>
      <c r="KKK116" s="573"/>
      <c r="KKL116" s="574"/>
      <c r="KKM116" s="575"/>
      <c r="KKN116" s="583"/>
      <c r="KKO116" s="590"/>
      <c r="KKP116" s="589"/>
      <c r="KKQ116" s="585"/>
      <c r="KKR116" s="577"/>
      <c r="KKS116" s="304"/>
      <c r="KKT116" s="572"/>
      <c r="KKU116" s="573"/>
      <c r="KKV116" s="574"/>
      <c r="KKW116" s="575"/>
      <c r="KKX116" s="583"/>
      <c r="KKY116" s="590"/>
      <c r="KKZ116" s="589"/>
      <c r="KLA116" s="585"/>
      <c r="KLB116" s="577"/>
      <c r="KLC116" s="304"/>
      <c r="KLD116" s="572"/>
      <c r="KLE116" s="573"/>
      <c r="KLF116" s="574"/>
      <c r="KLG116" s="575"/>
      <c r="KLH116" s="583"/>
      <c r="KLI116" s="590"/>
      <c r="KLJ116" s="589"/>
      <c r="KLK116" s="585"/>
      <c r="KLL116" s="577"/>
      <c r="KLM116" s="304"/>
      <c r="KLN116" s="572"/>
      <c r="KLO116" s="573"/>
      <c r="KLP116" s="574"/>
      <c r="KLQ116" s="575"/>
      <c r="KLR116" s="583"/>
      <c r="KLS116" s="590"/>
      <c r="KLT116" s="589"/>
      <c r="KLU116" s="585"/>
      <c r="KLV116" s="577"/>
      <c r="KLW116" s="304"/>
      <c r="KLX116" s="572"/>
      <c r="KLY116" s="573"/>
      <c r="KLZ116" s="574"/>
      <c r="KMA116" s="575"/>
      <c r="KMB116" s="583"/>
      <c r="KMC116" s="590"/>
      <c r="KMD116" s="589"/>
      <c r="KME116" s="585"/>
      <c r="KMF116" s="577"/>
      <c r="KMG116" s="304"/>
      <c r="KMH116" s="572"/>
      <c r="KMI116" s="573"/>
      <c r="KMJ116" s="574"/>
      <c r="KMK116" s="575"/>
      <c r="KML116" s="583"/>
      <c r="KMM116" s="590"/>
      <c r="KMN116" s="589"/>
      <c r="KMO116" s="585"/>
      <c r="KMP116" s="577"/>
      <c r="KMQ116" s="304"/>
      <c r="KMR116" s="572"/>
      <c r="KMS116" s="573"/>
      <c r="KMT116" s="574"/>
      <c r="KMU116" s="575"/>
      <c r="KMV116" s="583"/>
      <c r="KMW116" s="590"/>
      <c r="KMX116" s="589"/>
      <c r="KMY116" s="585"/>
      <c r="KMZ116" s="577"/>
      <c r="KNA116" s="304"/>
      <c r="KNB116" s="572"/>
      <c r="KNC116" s="573"/>
      <c r="KND116" s="574"/>
      <c r="KNE116" s="575"/>
      <c r="KNF116" s="583"/>
      <c r="KNG116" s="590"/>
      <c r="KNH116" s="589"/>
      <c r="KNI116" s="585"/>
      <c r="KNJ116" s="577"/>
      <c r="KNK116" s="304"/>
      <c r="KNL116" s="572"/>
      <c r="KNM116" s="573"/>
      <c r="KNN116" s="574"/>
      <c r="KNO116" s="575"/>
      <c r="KNP116" s="583"/>
      <c r="KNQ116" s="590"/>
      <c r="KNR116" s="589"/>
      <c r="KNS116" s="585"/>
      <c r="KNT116" s="577"/>
      <c r="KNU116" s="304"/>
      <c r="KNV116" s="572"/>
      <c r="KNW116" s="573"/>
      <c r="KNX116" s="574"/>
      <c r="KNY116" s="575"/>
      <c r="KNZ116" s="583"/>
      <c r="KOA116" s="590"/>
      <c r="KOB116" s="589"/>
      <c r="KOC116" s="585"/>
      <c r="KOD116" s="577"/>
      <c r="KOE116" s="304"/>
      <c r="KOF116" s="572"/>
      <c r="KOG116" s="573"/>
      <c r="KOH116" s="574"/>
      <c r="KOI116" s="575"/>
      <c r="KOJ116" s="583"/>
      <c r="KOK116" s="590"/>
      <c r="KOL116" s="589"/>
      <c r="KOM116" s="585"/>
      <c r="KON116" s="577"/>
      <c r="KOO116" s="304"/>
      <c r="KOP116" s="572"/>
      <c r="KOQ116" s="573"/>
      <c r="KOR116" s="574"/>
      <c r="KOS116" s="575"/>
      <c r="KOT116" s="583"/>
      <c r="KOU116" s="590"/>
      <c r="KOV116" s="589"/>
      <c r="KOW116" s="585"/>
      <c r="KOX116" s="577"/>
      <c r="KOY116" s="304"/>
      <c r="KOZ116" s="572"/>
      <c r="KPA116" s="573"/>
      <c r="KPB116" s="574"/>
      <c r="KPC116" s="575"/>
      <c r="KPD116" s="583"/>
      <c r="KPE116" s="590"/>
      <c r="KPF116" s="589"/>
      <c r="KPG116" s="585"/>
      <c r="KPH116" s="577"/>
      <c r="KPI116" s="304"/>
      <c r="KPJ116" s="572"/>
      <c r="KPK116" s="573"/>
      <c r="KPL116" s="574"/>
      <c r="KPM116" s="575"/>
      <c r="KPN116" s="583"/>
      <c r="KPO116" s="590"/>
      <c r="KPP116" s="589"/>
      <c r="KPQ116" s="585"/>
      <c r="KPR116" s="577"/>
      <c r="KPS116" s="304"/>
      <c r="KPT116" s="572"/>
      <c r="KPU116" s="573"/>
      <c r="KPV116" s="574"/>
      <c r="KPW116" s="575"/>
      <c r="KPX116" s="583"/>
      <c r="KPY116" s="590"/>
      <c r="KPZ116" s="589"/>
      <c r="KQA116" s="585"/>
      <c r="KQB116" s="577"/>
      <c r="KQC116" s="304"/>
      <c r="KQD116" s="572"/>
      <c r="KQE116" s="573"/>
      <c r="KQF116" s="574"/>
      <c r="KQG116" s="575"/>
      <c r="KQH116" s="583"/>
      <c r="KQI116" s="590"/>
      <c r="KQJ116" s="589"/>
      <c r="KQK116" s="585"/>
      <c r="KQL116" s="577"/>
      <c r="KQM116" s="304"/>
      <c r="KQN116" s="572"/>
      <c r="KQO116" s="573"/>
      <c r="KQP116" s="574"/>
      <c r="KQQ116" s="575"/>
      <c r="KQR116" s="583"/>
      <c r="KQS116" s="590"/>
      <c r="KQT116" s="589"/>
      <c r="KQU116" s="585"/>
      <c r="KQV116" s="577"/>
      <c r="KQW116" s="304"/>
      <c r="KQX116" s="572"/>
      <c r="KQY116" s="573"/>
      <c r="KQZ116" s="574"/>
      <c r="KRA116" s="575"/>
      <c r="KRB116" s="583"/>
      <c r="KRC116" s="590"/>
      <c r="KRD116" s="589"/>
      <c r="KRE116" s="585"/>
      <c r="KRF116" s="577"/>
      <c r="KRG116" s="304"/>
      <c r="KRH116" s="572"/>
      <c r="KRI116" s="573"/>
      <c r="KRJ116" s="574"/>
      <c r="KRK116" s="575"/>
      <c r="KRL116" s="583"/>
      <c r="KRM116" s="590"/>
      <c r="KRN116" s="589"/>
      <c r="KRO116" s="585"/>
      <c r="KRP116" s="577"/>
      <c r="KRQ116" s="304"/>
      <c r="KRR116" s="572"/>
      <c r="KRS116" s="573"/>
      <c r="KRT116" s="574"/>
      <c r="KRU116" s="575"/>
      <c r="KRV116" s="583"/>
      <c r="KRW116" s="590"/>
      <c r="KRX116" s="589"/>
      <c r="KRY116" s="585"/>
      <c r="KRZ116" s="577"/>
      <c r="KSA116" s="304"/>
      <c r="KSB116" s="572"/>
      <c r="KSC116" s="573"/>
      <c r="KSD116" s="574"/>
      <c r="KSE116" s="575"/>
      <c r="KSF116" s="583"/>
      <c r="KSG116" s="590"/>
      <c r="KSH116" s="589"/>
      <c r="KSI116" s="585"/>
      <c r="KSJ116" s="577"/>
      <c r="KSK116" s="304"/>
      <c r="KSL116" s="572"/>
      <c r="KSM116" s="573"/>
      <c r="KSN116" s="574"/>
      <c r="KSO116" s="575"/>
      <c r="KSP116" s="583"/>
      <c r="KSQ116" s="590"/>
      <c r="KSR116" s="589"/>
      <c r="KSS116" s="585"/>
      <c r="KST116" s="577"/>
      <c r="KSU116" s="304"/>
      <c r="KSV116" s="572"/>
      <c r="KSW116" s="573"/>
      <c r="KSX116" s="574"/>
      <c r="KSY116" s="575"/>
      <c r="KSZ116" s="583"/>
      <c r="KTA116" s="590"/>
      <c r="KTB116" s="589"/>
      <c r="KTC116" s="585"/>
      <c r="KTD116" s="577"/>
      <c r="KTE116" s="304"/>
      <c r="KTF116" s="572"/>
      <c r="KTG116" s="573"/>
      <c r="KTH116" s="574"/>
      <c r="KTI116" s="575"/>
      <c r="KTJ116" s="583"/>
      <c r="KTK116" s="590"/>
      <c r="KTL116" s="589"/>
      <c r="KTM116" s="585"/>
      <c r="KTN116" s="577"/>
      <c r="KTO116" s="304"/>
      <c r="KTP116" s="572"/>
      <c r="KTQ116" s="573"/>
      <c r="KTR116" s="574"/>
      <c r="KTS116" s="575"/>
      <c r="KTT116" s="583"/>
      <c r="KTU116" s="590"/>
      <c r="KTV116" s="589"/>
      <c r="KTW116" s="585"/>
      <c r="KTX116" s="577"/>
      <c r="KTY116" s="304"/>
      <c r="KTZ116" s="572"/>
      <c r="KUA116" s="573"/>
      <c r="KUB116" s="574"/>
      <c r="KUC116" s="575"/>
      <c r="KUD116" s="583"/>
      <c r="KUE116" s="590"/>
      <c r="KUF116" s="589"/>
      <c r="KUG116" s="585"/>
      <c r="KUH116" s="577"/>
      <c r="KUI116" s="304"/>
      <c r="KUJ116" s="572"/>
      <c r="KUK116" s="573"/>
      <c r="KUL116" s="574"/>
      <c r="KUM116" s="575"/>
      <c r="KUN116" s="583"/>
      <c r="KUO116" s="590"/>
      <c r="KUP116" s="589"/>
      <c r="KUQ116" s="585"/>
      <c r="KUR116" s="577"/>
      <c r="KUS116" s="304"/>
      <c r="KUT116" s="572"/>
      <c r="KUU116" s="573"/>
      <c r="KUV116" s="574"/>
      <c r="KUW116" s="575"/>
      <c r="KUX116" s="583"/>
      <c r="KUY116" s="590"/>
      <c r="KUZ116" s="589"/>
      <c r="KVA116" s="585"/>
      <c r="KVB116" s="577"/>
      <c r="KVC116" s="304"/>
      <c r="KVD116" s="572"/>
      <c r="KVE116" s="573"/>
      <c r="KVF116" s="574"/>
      <c r="KVG116" s="575"/>
      <c r="KVH116" s="583"/>
      <c r="KVI116" s="590"/>
      <c r="KVJ116" s="589"/>
      <c r="KVK116" s="585"/>
      <c r="KVL116" s="577"/>
      <c r="KVM116" s="304"/>
      <c r="KVN116" s="572"/>
      <c r="KVO116" s="573"/>
      <c r="KVP116" s="574"/>
      <c r="KVQ116" s="575"/>
      <c r="KVR116" s="583"/>
      <c r="KVS116" s="590"/>
      <c r="KVT116" s="589"/>
      <c r="KVU116" s="585"/>
      <c r="KVV116" s="577"/>
      <c r="KVW116" s="304"/>
      <c r="KVX116" s="572"/>
      <c r="KVY116" s="573"/>
      <c r="KVZ116" s="574"/>
      <c r="KWA116" s="575"/>
      <c r="KWB116" s="583"/>
      <c r="KWC116" s="590"/>
      <c r="KWD116" s="589"/>
      <c r="KWE116" s="585"/>
      <c r="KWF116" s="577"/>
      <c r="KWG116" s="304"/>
      <c r="KWH116" s="572"/>
      <c r="KWI116" s="573"/>
      <c r="KWJ116" s="574"/>
      <c r="KWK116" s="575"/>
      <c r="KWL116" s="583"/>
      <c r="KWM116" s="590"/>
      <c r="KWN116" s="589"/>
      <c r="KWO116" s="585"/>
      <c r="KWP116" s="577"/>
      <c r="KWQ116" s="304"/>
      <c r="KWR116" s="572"/>
      <c r="KWS116" s="573"/>
      <c r="KWT116" s="574"/>
      <c r="KWU116" s="575"/>
      <c r="KWV116" s="583"/>
      <c r="KWW116" s="590"/>
      <c r="KWX116" s="589"/>
      <c r="KWY116" s="585"/>
      <c r="KWZ116" s="577"/>
      <c r="KXA116" s="304"/>
      <c r="KXB116" s="572"/>
      <c r="KXC116" s="573"/>
      <c r="KXD116" s="574"/>
      <c r="KXE116" s="575"/>
      <c r="KXF116" s="583"/>
      <c r="KXG116" s="590"/>
      <c r="KXH116" s="589"/>
      <c r="KXI116" s="585"/>
      <c r="KXJ116" s="577"/>
      <c r="KXK116" s="304"/>
      <c r="KXL116" s="572"/>
      <c r="KXM116" s="573"/>
      <c r="KXN116" s="574"/>
      <c r="KXO116" s="575"/>
      <c r="KXP116" s="583"/>
      <c r="KXQ116" s="590"/>
      <c r="KXR116" s="589"/>
      <c r="KXS116" s="585"/>
      <c r="KXT116" s="577"/>
      <c r="KXU116" s="304"/>
      <c r="KXV116" s="572"/>
      <c r="KXW116" s="573"/>
      <c r="KXX116" s="574"/>
      <c r="KXY116" s="575"/>
      <c r="KXZ116" s="583"/>
      <c r="KYA116" s="590"/>
      <c r="KYB116" s="589"/>
      <c r="KYC116" s="585"/>
      <c r="KYD116" s="577"/>
      <c r="KYE116" s="304"/>
      <c r="KYF116" s="572"/>
      <c r="KYG116" s="573"/>
      <c r="KYH116" s="574"/>
      <c r="KYI116" s="575"/>
      <c r="KYJ116" s="583"/>
      <c r="KYK116" s="590"/>
      <c r="KYL116" s="589"/>
      <c r="KYM116" s="585"/>
      <c r="KYN116" s="577"/>
      <c r="KYO116" s="304"/>
      <c r="KYP116" s="572"/>
      <c r="KYQ116" s="573"/>
      <c r="KYR116" s="574"/>
      <c r="KYS116" s="575"/>
      <c r="KYT116" s="583"/>
      <c r="KYU116" s="590"/>
      <c r="KYV116" s="589"/>
      <c r="KYW116" s="585"/>
      <c r="KYX116" s="577"/>
      <c r="KYY116" s="304"/>
      <c r="KYZ116" s="572"/>
      <c r="KZA116" s="573"/>
      <c r="KZB116" s="574"/>
      <c r="KZC116" s="575"/>
      <c r="KZD116" s="583"/>
      <c r="KZE116" s="590"/>
      <c r="KZF116" s="589"/>
      <c r="KZG116" s="585"/>
      <c r="KZH116" s="577"/>
      <c r="KZI116" s="304"/>
      <c r="KZJ116" s="572"/>
      <c r="KZK116" s="573"/>
      <c r="KZL116" s="574"/>
      <c r="KZM116" s="575"/>
      <c r="KZN116" s="583"/>
      <c r="KZO116" s="590"/>
      <c r="KZP116" s="589"/>
      <c r="KZQ116" s="585"/>
      <c r="KZR116" s="577"/>
      <c r="KZS116" s="304"/>
      <c r="KZT116" s="572"/>
      <c r="KZU116" s="573"/>
      <c r="KZV116" s="574"/>
      <c r="KZW116" s="575"/>
      <c r="KZX116" s="583"/>
      <c r="KZY116" s="590"/>
      <c r="KZZ116" s="589"/>
      <c r="LAA116" s="585"/>
      <c r="LAB116" s="577"/>
      <c r="LAC116" s="304"/>
      <c r="LAD116" s="572"/>
      <c r="LAE116" s="573"/>
      <c r="LAF116" s="574"/>
      <c r="LAG116" s="575"/>
      <c r="LAH116" s="583"/>
      <c r="LAI116" s="590"/>
      <c r="LAJ116" s="589"/>
      <c r="LAK116" s="585"/>
      <c r="LAL116" s="577"/>
      <c r="LAM116" s="304"/>
      <c r="LAN116" s="572"/>
      <c r="LAO116" s="573"/>
      <c r="LAP116" s="574"/>
      <c r="LAQ116" s="575"/>
      <c r="LAR116" s="583"/>
      <c r="LAS116" s="590"/>
      <c r="LAT116" s="589"/>
      <c r="LAU116" s="585"/>
      <c r="LAV116" s="577"/>
      <c r="LAW116" s="304"/>
      <c r="LAX116" s="572"/>
      <c r="LAY116" s="573"/>
      <c r="LAZ116" s="574"/>
      <c r="LBA116" s="575"/>
      <c r="LBB116" s="583"/>
      <c r="LBC116" s="590"/>
      <c r="LBD116" s="589"/>
      <c r="LBE116" s="585"/>
      <c r="LBF116" s="577"/>
      <c r="LBG116" s="304"/>
      <c r="LBH116" s="572"/>
      <c r="LBI116" s="573"/>
      <c r="LBJ116" s="574"/>
      <c r="LBK116" s="575"/>
      <c r="LBL116" s="583"/>
      <c r="LBM116" s="590"/>
      <c r="LBN116" s="589"/>
      <c r="LBO116" s="585"/>
      <c r="LBP116" s="577"/>
      <c r="LBQ116" s="304"/>
      <c r="LBR116" s="572"/>
      <c r="LBS116" s="573"/>
      <c r="LBT116" s="574"/>
      <c r="LBU116" s="575"/>
      <c r="LBV116" s="583"/>
      <c r="LBW116" s="590"/>
      <c r="LBX116" s="589"/>
      <c r="LBY116" s="585"/>
      <c r="LBZ116" s="577"/>
      <c r="LCA116" s="304"/>
      <c r="LCB116" s="572"/>
      <c r="LCC116" s="573"/>
      <c r="LCD116" s="574"/>
      <c r="LCE116" s="575"/>
      <c r="LCF116" s="583"/>
      <c r="LCG116" s="590"/>
      <c r="LCH116" s="589"/>
      <c r="LCI116" s="585"/>
      <c r="LCJ116" s="577"/>
      <c r="LCK116" s="304"/>
      <c r="LCL116" s="572"/>
      <c r="LCM116" s="573"/>
      <c r="LCN116" s="574"/>
      <c r="LCO116" s="575"/>
      <c r="LCP116" s="583"/>
      <c r="LCQ116" s="590"/>
      <c r="LCR116" s="589"/>
      <c r="LCS116" s="585"/>
      <c r="LCT116" s="577"/>
      <c r="LCU116" s="304"/>
      <c r="LCV116" s="572"/>
      <c r="LCW116" s="573"/>
      <c r="LCX116" s="574"/>
      <c r="LCY116" s="575"/>
      <c r="LCZ116" s="583"/>
      <c r="LDA116" s="590"/>
      <c r="LDB116" s="589"/>
      <c r="LDC116" s="585"/>
      <c r="LDD116" s="577"/>
      <c r="LDE116" s="304"/>
      <c r="LDF116" s="572"/>
      <c r="LDG116" s="573"/>
      <c r="LDH116" s="574"/>
      <c r="LDI116" s="575"/>
      <c r="LDJ116" s="583"/>
      <c r="LDK116" s="590"/>
      <c r="LDL116" s="589"/>
      <c r="LDM116" s="585"/>
      <c r="LDN116" s="577"/>
      <c r="LDO116" s="304"/>
      <c r="LDP116" s="572"/>
      <c r="LDQ116" s="573"/>
      <c r="LDR116" s="574"/>
      <c r="LDS116" s="575"/>
      <c r="LDT116" s="583"/>
      <c r="LDU116" s="590"/>
      <c r="LDV116" s="589"/>
      <c r="LDW116" s="585"/>
      <c r="LDX116" s="577"/>
      <c r="LDY116" s="304"/>
      <c r="LDZ116" s="572"/>
      <c r="LEA116" s="573"/>
      <c r="LEB116" s="574"/>
      <c r="LEC116" s="575"/>
      <c r="LED116" s="583"/>
      <c r="LEE116" s="590"/>
      <c r="LEF116" s="589"/>
      <c r="LEG116" s="585"/>
      <c r="LEH116" s="577"/>
      <c r="LEI116" s="304"/>
      <c r="LEJ116" s="572"/>
      <c r="LEK116" s="573"/>
      <c r="LEL116" s="574"/>
      <c r="LEM116" s="575"/>
      <c r="LEN116" s="583"/>
      <c r="LEO116" s="590"/>
      <c r="LEP116" s="589"/>
      <c r="LEQ116" s="585"/>
      <c r="LER116" s="577"/>
      <c r="LES116" s="304"/>
      <c r="LET116" s="572"/>
      <c r="LEU116" s="573"/>
      <c r="LEV116" s="574"/>
      <c r="LEW116" s="575"/>
      <c r="LEX116" s="583"/>
      <c r="LEY116" s="590"/>
      <c r="LEZ116" s="589"/>
      <c r="LFA116" s="585"/>
      <c r="LFB116" s="577"/>
      <c r="LFC116" s="304"/>
      <c r="LFD116" s="572"/>
      <c r="LFE116" s="573"/>
      <c r="LFF116" s="574"/>
      <c r="LFG116" s="575"/>
      <c r="LFH116" s="583"/>
      <c r="LFI116" s="590"/>
      <c r="LFJ116" s="589"/>
      <c r="LFK116" s="585"/>
      <c r="LFL116" s="577"/>
      <c r="LFM116" s="304"/>
      <c r="LFN116" s="572"/>
      <c r="LFO116" s="573"/>
      <c r="LFP116" s="574"/>
      <c r="LFQ116" s="575"/>
      <c r="LFR116" s="583"/>
      <c r="LFS116" s="590"/>
      <c r="LFT116" s="589"/>
      <c r="LFU116" s="585"/>
      <c r="LFV116" s="577"/>
      <c r="LFW116" s="304"/>
      <c r="LFX116" s="572"/>
      <c r="LFY116" s="573"/>
      <c r="LFZ116" s="574"/>
      <c r="LGA116" s="575"/>
      <c r="LGB116" s="583"/>
      <c r="LGC116" s="590"/>
      <c r="LGD116" s="589"/>
      <c r="LGE116" s="585"/>
      <c r="LGF116" s="577"/>
      <c r="LGG116" s="304"/>
      <c r="LGH116" s="572"/>
      <c r="LGI116" s="573"/>
      <c r="LGJ116" s="574"/>
      <c r="LGK116" s="575"/>
      <c r="LGL116" s="583"/>
      <c r="LGM116" s="590"/>
      <c r="LGN116" s="589"/>
      <c r="LGO116" s="585"/>
      <c r="LGP116" s="577"/>
      <c r="LGQ116" s="304"/>
      <c r="LGR116" s="572"/>
      <c r="LGS116" s="573"/>
      <c r="LGT116" s="574"/>
      <c r="LGU116" s="575"/>
      <c r="LGV116" s="583"/>
      <c r="LGW116" s="590"/>
      <c r="LGX116" s="589"/>
      <c r="LGY116" s="585"/>
      <c r="LGZ116" s="577"/>
      <c r="LHA116" s="304"/>
      <c r="LHB116" s="572"/>
      <c r="LHC116" s="573"/>
      <c r="LHD116" s="574"/>
      <c r="LHE116" s="575"/>
      <c r="LHF116" s="583"/>
      <c r="LHG116" s="590"/>
      <c r="LHH116" s="589"/>
      <c r="LHI116" s="585"/>
      <c r="LHJ116" s="577"/>
      <c r="LHK116" s="304"/>
      <c r="LHL116" s="572"/>
      <c r="LHM116" s="573"/>
      <c r="LHN116" s="574"/>
      <c r="LHO116" s="575"/>
      <c r="LHP116" s="583"/>
      <c r="LHQ116" s="590"/>
      <c r="LHR116" s="589"/>
      <c r="LHS116" s="585"/>
      <c r="LHT116" s="577"/>
      <c r="LHU116" s="304"/>
      <c r="LHV116" s="572"/>
      <c r="LHW116" s="573"/>
      <c r="LHX116" s="574"/>
      <c r="LHY116" s="575"/>
      <c r="LHZ116" s="583"/>
      <c r="LIA116" s="590"/>
      <c r="LIB116" s="589"/>
      <c r="LIC116" s="585"/>
      <c r="LID116" s="577"/>
      <c r="LIE116" s="304"/>
      <c r="LIF116" s="572"/>
      <c r="LIG116" s="573"/>
      <c r="LIH116" s="574"/>
      <c r="LII116" s="575"/>
      <c r="LIJ116" s="583"/>
      <c r="LIK116" s="590"/>
      <c r="LIL116" s="589"/>
      <c r="LIM116" s="585"/>
      <c r="LIN116" s="577"/>
      <c r="LIO116" s="304"/>
      <c r="LIP116" s="572"/>
      <c r="LIQ116" s="573"/>
      <c r="LIR116" s="574"/>
      <c r="LIS116" s="575"/>
      <c r="LIT116" s="583"/>
      <c r="LIU116" s="590"/>
      <c r="LIV116" s="589"/>
      <c r="LIW116" s="585"/>
      <c r="LIX116" s="577"/>
      <c r="LIY116" s="304"/>
      <c r="LIZ116" s="572"/>
      <c r="LJA116" s="573"/>
      <c r="LJB116" s="574"/>
      <c r="LJC116" s="575"/>
      <c r="LJD116" s="583"/>
      <c r="LJE116" s="590"/>
      <c r="LJF116" s="589"/>
      <c r="LJG116" s="585"/>
      <c r="LJH116" s="577"/>
      <c r="LJI116" s="304"/>
      <c r="LJJ116" s="572"/>
      <c r="LJK116" s="573"/>
      <c r="LJL116" s="574"/>
      <c r="LJM116" s="575"/>
      <c r="LJN116" s="583"/>
      <c r="LJO116" s="590"/>
      <c r="LJP116" s="589"/>
      <c r="LJQ116" s="585"/>
      <c r="LJR116" s="577"/>
      <c r="LJS116" s="304"/>
      <c r="LJT116" s="572"/>
      <c r="LJU116" s="573"/>
      <c r="LJV116" s="574"/>
      <c r="LJW116" s="575"/>
      <c r="LJX116" s="583"/>
      <c r="LJY116" s="590"/>
      <c r="LJZ116" s="589"/>
      <c r="LKA116" s="585"/>
      <c r="LKB116" s="577"/>
      <c r="LKC116" s="304"/>
      <c r="LKD116" s="572"/>
      <c r="LKE116" s="573"/>
      <c r="LKF116" s="574"/>
      <c r="LKG116" s="575"/>
      <c r="LKH116" s="583"/>
      <c r="LKI116" s="590"/>
      <c r="LKJ116" s="589"/>
      <c r="LKK116" s="585"/>
      <c r="LKL116" s="577"/>
      <c r="LKM116" s="304"/>
      <c r="LKN116" s="572"/>
      <c r="LKO116" s="573"/>
      <c r="LKP116" s="574"/>
      <c r="LKQ116" s="575"/>
      <c r="LKR116" s="583"/>
      <c r="LKS116" s="590"/>
      <c r="LKT116" s="589"/>
      <c r="LKU116" s="585"/>
      <c r="LKV116" s="577"/>
      <c r="LKW116" s="304"/>
      <c r="LKX116" s="572"/>
      <c r="LKY116" s="573"/>
      <c r="LKZ116" s="574"/>
      <c r="LLA116" s="575"/>
      <c r="LLB116" s="583"/>
      <c r="LLC116" s="590"/>
      <c r="LLD116" s="589"/>
      <c r="LLE116" s="585"/>
      <c r="LLF116" s="577"/>
      <c r="LLG116" s="304"/>
      <c r="LLH116" s="572"/>
      <c r="LLI116" s="573"/>
      <c r="LLJ116" s="574"/>
      <c r="LLK116" s="575"/>
      <c r="LLL116" s="583"/>
      <c r="LLM116" s="590"/>
      <c r="LLN116" s="589"/>
      <c r="LLO116" s="585"/>
      <c r="LLP116" s="577"/>
      <c r="LLQ116" s="304"/>
      <c r="LLR116" s="572"/>
      <c r="LLS116" s="573"/>
      <c r="LLT116" s="574"/>
      <c r="LLU116" s="575"/>
      <c r="LLV116" s="583"/>
      <c r="LLW116" s="590"/>
      <c r="LLX116" s="589"/>
      <c r="LLY116" s="585"/>
      <c r="LLZ116" s="577"/>
      <c r="LMA116" s="304"/>
      <c r="LMB116" s="572"/>
      <c r="LMC116" s="573"/>
      <c r="LMD116" s="574"/>
      <c r="LME116" s="575"/>
      <c r="LMF116" s="583"/>
      <c r="LMG116" s="590"/>
      <c r="LMH116" s="589"/>
      <c r="LMI116" s="585"/>
      <c r="LMJ116" s="577"/>
      <c r="LMK116" s="304"/>
      <c r="LML116" s="572"/>
      <c r="LMM116" s="573"/>
      <c r="LMN116" s="574"/>
      <c r="LMO116" s="575"/>
      <c r="LMP116" s="583"/>
      <c r="LMQ116" s="590"/>
      <c r="LMR116" s="589"/>
      <c r="LMS116" s="585"/>
      <c r="LMT116" s="577"/>
      <c r="LMU116" s="304"/>
      <c r="LMV116" s="572"/>
      <c r="LMW116" s="573"/>
      <c r="LMX116" s="574"/>
      <c r="LMY116" s="575"/>
      <c r="LMZ116" s="583"/>
      <c r="LNA116" s="590"/>
      <c r="LNB116" s="589"/>
      <c r="LNC116" s="585"/>
      <c r="LND116" s="577"/>
      <c r="LNE116" s="304"/>
      <c r="LNF116" s="572"/>
      <c r="LNG116" s="573"/>
      <c r="LNH116" s="574"/>
      <c r="LNI116" s="575"/>
      <c r="LNJ116" s="583"/>
      <c r="LNK116" s="590"/>
      <c r="LNL116" s="589"/>
      <c r="LNM116" s="585"/>
      <c r="LNN116" s="577"/>
      <c r="LNO116" s="304"/>
      <c r="LNP116" s="572"/>
      <c r="LNQ116" s="573"/>
      <c r="LNR116" s="574"/>
      <c r="LNS116" s="575"/>
      <c r="LNT116" s="583"/>
      <c r="LNU116" s="590"/>
      <c r="LNV116" s="589"/>
      <c r="LNW116" s="585"/>
      <c r="LNX116" s="577"/>
      <c r="LNY116" s="304"/>
      <c r="LNZ116" s="572"/>
      <c r="LOA116" s="573"/>
      <c r="LOB116" s="574"/>
      <c r="LOC116" s="575"/>
      <c r="LOD116" s="583"/>
      <c r="LOE116" s="590"/>
      <c r="LOF116" s="589"/>
      <c r="LOG116" s="585"/>
      <c r="LOH116" s="577"/>
      <c r="LOI116" s="304"/>
      <c r="LOJ116" s="572"/>
      <c r="LOK116" s="573"/>
      <c r="LOL116" s="574"/>
      <c r="LOM116" s="575"/>
      <c r="LON116" s="583"/>
      <c r="LOO116" s="590"/>
      <c r="LOP116" s="589"/>
      <c r="LOQ116" s="585"/>
      <c r="LOR116" s="577"/>
      <c r="LOS116" s="304"/>
      <c r="LOT116" s="572"/>
      <c r="LOU116" s="573"/>
      <c r="LOV116" s="574"/>
      <c r="LOW116" s="575"/>
      <c r="LOX116" s="583"/>
      <c r="LOY116" s="590"/>
      <c r="LOZ116" s="589"/>
      <c r="LPA116" s="585"/>
      <c r="LPB116" s="577"/>
      <c r="LPC116" s="304"/>
      <c r="LPD116" s="572"/>
      <c r="LPE116" s="573"/>
      <c r="LPF116" s="574"/>
      <c r="LPG116" s="575"/>
      <c r="LPH116" s="583"/>
      <c r="LPI116" s="590"/>
      <c r="LPJ116" s="589"/>
      <c r="LPK116" s="585"/>
      <c r="LPL116" s="577"/>
      <c r="LPM116" s="304"/>
      <c r="LPN116" s="572"/>
      <c r="LPO116" s="573"/>
      <c r="LPP116" s="574"/>
      <c r="LPQ116" s="575"/>
      <c r="LPR116" s="583"/>
      <c r="LPS116" s="590"/>
      <c r="LPT116" s="589"/>
      <c r="LPU116" s="585"/>
      <c r="LPV116" s="577"/>
      <c r="LPW116" s="304"/>
      <c r="LPX116" s="572"/>
      <c r="LPY116" s="573"/>
      <c r="LPZ116" s="574"/>
      <c r="LQA116" s="575"/>
      <c r="LQB116" s="583"/>
      <c r="LQC116" s="590"/>
      <c r="LQD116" s="589"/>
      <c r="LQE116" s="585"/>
      <c r="LQF116" s="577"/>
      <c r="LQG116" s="304"/>
      <c r="LQH116" s="572"/>
      <c r="LQI116" s="573"/>
      <c r="LQJ116" s="574"/>
      <c r="LQK116" s="575"/>
      <c r="LQL116" s="583"/>
      <c r="LQM116" s="590"/>
      <c r="LQN116" s="589"/>
      <c r="LQO116" s="585"/>
      <c r="LQP116" s="577"/>
      <c r="LQQ116" s="304"/>
      <c r="LQR116" s="572"/>
      <c r="LQS116" s="573"/>
      <c r="LQT116" s="574"/>
      <c r="LQU116" s="575"/>
      <c r="LQV116" s="583"/>
      <c r="LQW116" s="590"/>
      <c r="LQX116" s="589"/>
      <c r="LQY116" s="585"/>
      <c r="LQZ116" s="577"/>
      <c r="LRA116" s="304"/>
      <c r="LRB116" s="572"/>
      <c r="LRC116" s="573"/>
      <c r="LRD116" s="574"/>
      <c r="LRE116" s="575"/>
      <c r="LRF116" s="583"/>
      <c r="LRG116" s="590"/>
      <c r="LRH116" s="589"/>
      <c r="LRI116" s="585"/>
      <c r="LRJ116" s="577"/>
      <c r="LRK116" s="304"/>
      <c r="LRL116" s="572"/>
      <c r="LRM116" s="573"/>
      <c r="LRN116" s="574"/>
      <c r="LRO116" s="575"/>
      <c r="LRP116" s="583"/>
      <c r="LRQ116" s="590"/>
      <c r="LRR116" s="589"/>
      <c r="LRS116" s="585"/>
      <c r="LRT116" s="577"/>
      <c r="LRU116" s="304"/>
      <c r="LRV116" s="572"/>
      <c r="LRW116" s="573"/>
      <c r="LRX116" s="574"/>
      <c r="LRY116" s="575"/>
      <c r="LRZ116" s="583"/>
      <c r="LSA116" s="590"/>
      <c r="LSB116" s="589"/>
      <c r="LSC116" s="585"/>
      <c r="LSD116" s="577"/>
      <c r="LSE116" s="304"/>
      <c r="LSF116" s="572"/>
      <c r="LSG116" s="573"/>
      <c r="LSH116" s="574"/>
      <c r="LSI116" s="575"/>
      <c r="LSJ116" s="583"/>
      <c r="LSK116" s="590"/>
      <c r="LSL116" s="589"/>
      <c r="LSM116" s="585"/>
      <c r="LSN116" s="577"/>
      <c r="LSO116" s="304"/>
      <c r="LSP116" s="572"/>
      <c r="LSQ116" s="573"/>
      <c r="LSR116" s="574"/>
      <c r="LSS116" s="575"/>
      <c r="LST116" s="583"/>
      <c r="LSU116" s="590"/>
      <c r="LSV116" s="589"/>
      <c r="LSW116" s="585"/>
      <c r="LSX116" s="577"/>
      <c r="LSY116" s="304"/>
      <c r="LSZ116" s="572"/>
      <c r="LTA116" s="573"/>
      <c r="LTB116" s="574"/>
      <c r="LTC116" s="575"/>
      <c r="LTD116" s="583"/>
      <c r="LTE116" s="590"/>
      <c r="LTF116" s="589"/>
      <c r="LTG116" s="585"/>
      <c r="LTH116" s="577"/>
      <c r="LTI116" s="304"/>
      <c r="LTJ116" s="572"/>
      <c r="LTK116" s="573"/>
      <c r="LTL116" s="574"/>
      <c r="LTM116" s="575"/>
      <c r="LTN116" s="583"/>
      <c r="LTO116" s="590"/>
      <c r="LTP116" s="589"/>
      <c r="LTQ116" s="585"/>
      <c r="LTR116" s="577"/>
      <c r="LTS116" s="304"/>
      <c r="LTT116" s="572"/>
      <c r="LTU116" s="573"/>
      <c r="LTV116" s="574"/>
      <c r="LTW116" s="575"/>
      <c r="LTX116" s="583"/>
      <c r="LTY116" s="590"/>
      <c r="LTZ116" s="589"/>
      <c r="LUA116" s="585"/>
      <c r="LUB116" s="577"/>
      <c r="LUC116" s="304"/>
      <c r="LUD116" s="572"/>
      <c r="LUE116" s="573"/>
      <c r="LUF116" s="574"/>
      <c r="LUG116" s="575"/>
      <c r="LUH116" s="583"/>
      <c r="LUI116" s="590"/>
      <c r="LUJ116" s="589"/>
      <c r="LUK116" s="585"/>
      <c r="LUL116" s="577"/>
      <c r="LUM116" s="304"/>
      <c r="LUN116" s="572"/>
      <c r="LUO116" s="573"/>
      <c r="LUP116" s="574"/>
      <c r="LUQ116" s="575"/>
      <c r="LUR116" s="583"/>
      <c r="LUS116" s="590"/>
      <c r="LUT116" s="589"/>
      <c r="LUU116" s="585"/>
      <c r="LUV116" s="577"/>
      <c r="LUW116" s="304"/>
      <c r="LUX116" s="572"/>
      <c r="LUY116" s="573"/>
      <c r="LUZ116" s="574"/>
      <c r="LVA116" s="575"/>
      <c r="LVB116" s="583"/>
      <c r="LVC116" s="590"/>
      <c r="LVD116" s="589"/>
      <c r="LVE116" s="585"/>
      <c r="LVF116" s="577"/>
      <c r="LVG116" s="304"/>
      <c r="LVH116" s="572"/>
      <c r="LVI116" s="573"/>
      <c r="LVJ116" s="574"/>
      <c r="LVK116" s="575"/>
      <c r="LVL116" s="583"/>
      <c r="LVM116" s="590"/>
      <c r="LVN116" s="589"/>
      <c r="LVO116" s="585"/>
      <c r="LVP116" s="577"/>
      <c r="LVQ116" s="304"/>
      <c r="LVR116" s="572"/>
      <c r="LVS116" s="573"/>
      <c r="LVT116" s="574"/>
      <c r="LVU116" s="575"/>
      <c r="LVV116" s="583"/>
      <c r="LVW116" s="590"/>
      <c r="LVX116" s="589"/>
      <c r="LVY116" s="585"/>
      <c r="LVZ116" s="577"/>
      <c r="LWA116" s="304"/>
      <c r="LWB116" s="572"/>
      <c r="LWC116" s="573"/>
      <c r="LWD116" s="574"/>
      <c r="LWE116" s="575"/>
      <c r="LWF116" s="583"/>
      <c r="LWG116" s="590"/>
      <c r="LWH116" s="589"/>
      <c r="LWI116" s="585"/>
      <c r="LWJ116" s="577"/>
      <c r="LWK116" s="304"/>
      <c r="LWL116" s="572"/>
      <c r="LWM116" s="573"/>
      <c r="LWN116" s="574"/>
      <c r="LWO116" s="575"/>
      <c r="LWP116" s="583"/>
      <c r="LWQ116" s="590"/>
      <c r="LWR116" s="589"/>
      <c r="LWS116" s="585"/>
      <c r="LWT116" s="577"/>
      <c r="LWU116" s="304"/>
      <c r="LWV116" s="572"/>
      <c r="LWW116" s="573"/>
      <c r="LWX116" s="574"/>
      <c r="LWY116" s="575"/>
      <c r="LWZ116" s="583"/>
      <c r="LXA116" s="590"/>
      <c r="LXB116" s="589"/>
      <c r="LXC116" s="585"/>
      <c r="LXD116" s="577"/>
      <c r="LXE116" s="304"/>
      <c r="LXF116" s="572"/>
      <c r="LXG116" s="573"/>
      <c r="LXH116" s="574"/>
      <c r="LXI116" s="575"/>
      <c r="LXJ116" s="583"/>
      <c r="LXK116" s="590"/>
      <c r="LXL116" s="589"/>
      <c r="LXM116" s="585"/>
      <c r="LXN116" s="577"/>
      <c r="LXO116" s="304"/>
      <c r="LXP116" s="572"/>
      <c r="LXQ116" s="573"/>
      <c r="LXR116" s="574"/>
      <c r="LXS116" s="575"/>
      <c r="LXT116" s="583"/>
      <c r="LXU116" s="590"/>
      <c r="LXV116" s="589"/>
      <c r="LXW116" s="585"/>
      <c r="LXX116" s="577"/>
      <c r="LXY116" s="304"/>
      <c r="LXZ116" s="572"/>
      <c r="LYA116" s="573"/>
      <c r="LYB116" s="574"/>
      <c r="LYC116" s="575"/>
      <c r="LYD116" s="583"/>
      <c r="LYE116" s="590"/>
      <c r="LYF116" s="589"/>
      <c r="LYG116" s="585"/>
      <c r="LYH116" s="577"/>
      <c r="LYI116" s="304"/>
      <c r="LYJ116" s="572"/>
      <c r="LYK116" s="573"/>
      <c r="LYL116" s="574"/>
      <c r="LYM116" s="575"/>
      <c r="LYN116" s="583"/>
      <c r="LYO116" s="590"/>
      <c r="LYP116" s="589"/>
      <c r="LYQ116" s="585"/>
      <c r="LYR116" s="577"/>
      <c r="LYS116" s="304"/>
      <c r="LYT116" s="572"/>
      <c r="LYU116" s="573"/>
      <c r="LYV116" s="574"/>
      <c r="LYW116" s="575"/>
      <c r="LYX116" s="583"/>
      <c r="LYY116" s="590"/>
      <c r="LYZ116" s="589"/>
      <c r="LZA116" s="585"/>
      <c r="LZB116" s="577"/>
      <c r="LZC116" s="304"/>
      <c r="LZD116" s="572"/>
      <c r="LZE116" s="573"/>
      <c r="LZF116" s="574"/>
      <c r="LZG116" s="575"/>
      <c r="LZH116" s="583"/>
      <c r="LZI116" s="590"/>
      <c r="LZJ116" s="589"/>
      <c r="LZK116" s="585"/>
      <c r="LZL116" s="577"/>
      <c r="LZM116" s="304"/>
      <c r="LZN116" s="572"/>
      <c r="LZO116" s="573"/>
      <c r="LZP116" s="574"/>
      <c r="LZQ116" s="575"/>
      <c r="LZR116" s="583"/>
      <c r="LZS116" s="590"/>
      <c r="LZT116" s="589"/>
      <c r="LZU116" s="585"/>
      <c r="LZV116" s="577"/>
      <c r="LZW116" s="304"/>
      <c r="LZX116" s="572"/>
      <c r="LZY116" s="573"/>
      <c r="LZZ116" s="574"/>
      <c r="MAA116" s="575"/>
      <c r="MAB116" s="583"/>
      <c r="MAC116" s="590"/>
      <c r="MAD116" s="589"/>
      <c r="MAE116" s="585"/>
      <c r="MAF116" s="577"/>
      <c r="MAG116" s="304"/>
      <c r="MAH116" s="572"/>
      <c r="MAI116" s="573"/>
      <c r="MAJ116" s="574"/>
      <c r="MAK116" s="575"/>
      <c r="MAL116" s="583"/>
      <c r="MAM116" s="590"/>
      <c r="MAN116" s="589"/>
      <c r="MAO116" s="585"/>
      <c r="MAP116" s="577"/>
      <c r="MAQ116" s="304"/>
      <c r="MAR116" s="572"/>
      <c r="MAS116" s="573"/>
      <c r="MAT116" s="574"/>
      <c r="MAU116" s="575"/>
      <c r="MAV116" s="583"/>
      <c r="MAW116" s="590"/>
      <c r="MAX116" s="589"/>
      <c r="MAY116" s="585"/>
      <c r="MAZ116" s="577"/>
      <c r="MBA116" s="304"/>
      <c r="MBB116" s="572"/>
      <c r="MBC116" s="573"/>
      <c r="MBD116" s="574"/>
      <c r="MBE116" s="575"/>
      <c r="MBF116" s="583"/>
      <c r="MBG116" s="590"/>
      <c r="MBH116" s="589"/>
      <c r="MBI116" s="585"/>
      <c r="MBJ116" s="577"/>
      <c r="MBK116" s="304"/>
      <c r="MBL116" s="572"/>
      <c r="MBM116" s="573"/>
      <c r="MBN116" s="574"/>
      <c r="MBO116" s="575"/>
      <c r="MBP116" s="583"/>
      <c r="MBQ116" s="590"/>
      <c r="MBR116" s="589"/>
      <c r="MBS116" s="585"/>
      <c r="MBT116" s="577"/>
      <c r="MBU116" s="304"/>
      <c r="MBV116" s="572"/>
      <c r="MBW116" s="573"/>
      <c r="MBX116" s="574"/>
      <c r="MBY116" s="575"/>
      <c r="MBZ116" s="583"/>
      <c r="MCA116" s="590"/>
      <c r="MCB116" s="589"/>
      <c r="MCC116" s="585"/>
      <c r="MCD116" s="577"/>
      <c r="MCE116" s="304"/>
      <c r="MCF116" s="572"/>
      <c r="MCG116" s="573"/>
      <c r="MCH116" s="574"/>
      <c r="MCI116" s="575"/>
      <c r="MCJ116" s="583"/>
      <c r="MCK116" s="590"/>
      <c r="MCL116" s="589"/>
      <c r="MCM116" s="585"/>
      <c r="MCN116" s="577"/>
      <c r="MCO116" s="304"/>
      <c r="MCP116" s="572"/>
      <c r="MCQ116" s="573"/>
      <c r="MCR116" s="574"/>
      <c r="MCS116" s="575"/>
      <c r="MCT116" s="583"/>
      <c r="MCU116" s="590"/>
      <c r="MCV116" s="589"/>
      <c r="MCW116" s="585"/>
      <c r="MCX116" s="577"/>
      <c r="MCY116" s="304"/>
      <c r="MCZ116" s="572"/>
      <c r="MDA116" s="573"/>
      <c r="MDB116" s="574"/>
      <c r="MDC116" s="575"/>
      <c r="MDD116" s="583"/>
      <c r="MDE116" s="590"/>
      <c r="MDF116" s="589"/>
      <c r="MDG116" s="585"/>
      <c r="MDH116" s="577"/>
      <c r="MDI116" s="304"/>
      <c r="MDJ116" s="572"/>
      <c r="MDK116" s="573"/>
      <c r="MDL116" s="574"/>
      <c r="MDM116" s="575"/>
      <c r="MDN116" s="583"/>
      <c r="MDO116" s="590"/>
      <c r="MDP116" s="589"/>
      <c r="MDQ116" s="585"/>
      <c r="MDR116" s="577"/>
      <c r="MDS116" s="304"/>
      <c r="MDT116" s="572"/>
      <c r="MDU116" s="573"/>
      <c r="MDV116" s="574"/>
      <c r="MDW116" s="575"/>
      <c r="MDX116" s="583"/>
      <c r="MDY116" s="590"/>
      <c r="MDZ116" s="589"/>
      <c r="MEA116" s="585"/>
      <c r="MEB116" s="577"/>
      <c r="MEC116" s="304"/>
      <c r="MED116" s="572"/>
      <c r="MEE116" s="573"/>
      <c r="MEF116" s="574"/>
      <c r="MEG116" s="575"/>
      <c r="MEH116" s="583"/>
      <c r="MEI116" s="590"/>
      <c r="MEJ116" s="589"/>
      <c r="MEK116" s="585"/>
      <c r="MEL116" s="577"/>
      <c r="MEM116" s="304"/>
      <c r="MEN116" s="572"/>
      <c r="MEO116" s="573"/>
      <c r="MEP116" s="574"/>
      <c r="MEQ116" s="575"/>
      <c r="MER116" s="583"/>
      <c r="MES116" s="590"/>
      <c r="MET116" s="589"/>
      <c r="MEU116" s="585"/>
      <c r="MEV116" s="577"/>
      <c r="MEW116" s="304"/>
      <c r="MEX116" s="572"/>
      <c r="MEY116" s="573"/>
      <c r="MEZ116" s="574"/>
      <c r="MFA116" s="575"/>
      <c r="MFB116" s="583"/>
      <c r="MFC116" s="590"/>
      <c r="MFD116" s="589"/>
      <c r="MFE116" s="585"/>
      <c r="MFF116" s="577"/>
      <c r="MFG116" s="304"/>
      <c r="MFH116" s="572"/>
      <c r="MFI116" s="573"/>
      <c r="MFJ116" s="574"/>
      <c r="MFK116" s="575"/>
      <c r="MFL116" s="583"/>
      <c r="MFM116" s="590"/>
      <c r="MFN116" s="589"/>
      <c r="MFO116" s="585"/>
      <c r="MFP116" s="577"/>
      <c r="MFQ116" s="304"/>
      <c r="MFR116" s="572"/>
      <c r="MFS116" s="573"/>
      <c r="MFT116" s="574"/>
      <c r="MFU116" s="575"/>
      <c r="MFV116" s="583"/>
      <c r="MFW116" s="590"/>
      <c r="MFX116" s="589"/>
      <c r="MFY116" s="585"/>
      <c r="MFZ116" s="577"/>
      <c r="MGA116" s="304"/>
      <c r="MGB116" s="572"/>
      <c r="MGC116" s="573"/>
      <c r="MGD116" s="574"/>
      <c r="MGE116" s="575"/>
      <c r="MGF116" s="583"/>
      <c r="MGG116" s="590"/>
      <c r="MGH116" s="589"/>
      <c r="MGI116" s="585"/>
      <c r="MGJ116" s="577"/>
      <c r="MGK116" s="304"/>
      <c r="MGL116" s="572"/>
      <c r="MGM116" s="573"/>
      <c r="MGN116" s="574"/>
      <c r="MGO116" s="575"/>
      <c r="MGP116" s="583"/>
      <c r="MGQ116" s="590"/>
      <c r="MGR116" s="589"/>
      <c r="MGS116" s="585"/>
      <c r="MGT116" s="577"/>
      <c r="MGU116" s="304"/>
      <c r="MGV116" s="572"/>
      <c r="MGW116" s="573"/>
      <c r="MGX116" s="574"/>
      <c r="MGY116" s="575"/>
      <c r="MGZ116" s="583"/>
      <c r="MHA116" s="590"/>
      <c r="MHB116" s="589"/>
      <c r="MHC116" s="585"/>
      <c r="MHD116" s="577"/>
      <c r="MHE116" s="304"/>
      <c r="MHF116" s="572"/>
      <c r="MHG116" s="573"/>
      <c r="MHH116" s="574"/>
      <c r="MHI116" s="575"/>
      <c r="MHJ116" s="583"/>
      <c r="MHK116" s="590"/>
      <c r="MHL116" s="589"/>
      <c r="MHM116" s="585"/>
      <c r="MHN116" s="577"/>
      <c r="MHO116" s="304"/>
      <c r="MHP116" s="572"/>
      <c r="MHQ116" s="573"/>
      <c r="MHR116" s="574"/>
      <c r="MHS116" s="575"/>
      <c r="MHT116" s="583"/>
      <c r="MHU116" s="590"/>
      <c r="MHV116" s="589"/>
      <c r="MHW116" s="585"/>
      <c r="MHX116" s="577"/>
      <c r="MHY116" s="304"/>
      <c r="MHZ116" s="572"/>
      <c r="MIA116" s="573"/>
      <c r="MIB116" s="574"/>
      <c r="MIC116" s="575"/>
      <c r="MID116" s="583"/>
      <c r="MIE116" s="590"/>
      <c r="MIF116" s="589"/>
      <c r="MIG116" s="585"/>
      <c r="MIH116" s="577"/>
      <c r="MII116" s="304"/>
      <c r="MIJ116" s="572"/>
      <c r="MIK116" s="573"/>
      <c r="MIL116" s="574"/>
      <c r="MIM116" s="575"/>
      <c r="MIN116" s="583"/>
      <c r="MIO116" s="590"/>
      <c r="MIP116" s="589"/>
      <c r="MIQ116" s="585"/>
      <c r="MIR116" s="577"/>
      <c r="MIS116" s="304"/>
      <c r="MIT116" s="572"/>
      <c r="MIU116" s="573"/>
      <c r="MIV116" s="574"/>
      <c r="MIW116" s="575"/>
      <c r="MIX116" s="583"/>
      <c r="MIY116" s="590"/>
      <c r="MIZ116" s="589"/>
      <c r="MJA116" s="585"/>
      <c r="MJB116" s="577"/>
      <c r="MJC116" s="304"/>
      <c r="MJD116" s="572"/>
      <c r="MJE116" s="573"/>
      <c r="MJF116" s="574"/>
      <c r="MJG116" s="575"/>
      <c r="MJH116" s="583"/>
      <c r="MJI116" s="590"/>
      <c r="MJJ116" s="589"/>
      <c r="MJK116" s="585"/>
      <c r="MJL116" s="577"/>
      <c r="MJM116" s="304"/>
      <c r="MJN116" s="572"/>
      <c r="MJO116" s="573"/>
      <c r="MJP116" s="574"/>
      <c r="MJQ116" s="575"/>
      <c r="MJR116" s="583"/>
      <c r="MJS116" s="590"/>
      <c r="MJT116" s="589"/>
      <c r="MJU116" s="585"/>
      <c r="MJV116" s="577"/>
      <c r="MJW116" s="304"/>
      <c r="MJX116" s="572"/>
      <c r="MJY116" s="573"/>
      <c r="MJZ116" s="574"/>
      <c r="MKA116" s="575"/>
      <c r="MKB116" s="583"/>
      <c r="MKC116" s="590"/>
      <c r="MKD116" s="589"/>
      <c r="MKE116" s="585"/>
      <c r="MKF116" s="577"/>
      <c r="MKG116" s="304"/>
      <c r="MKH116" s="572"/>
      <c r="MKI116" s="573"/>
      <c r="MKJ116" s="574"/>
      <c r="MKK116" s="575"/>
      <c r="MKL116" s="583"/>
      <c r="MKM116" s="590"/>
      <c r="MKN116" s="589"/>
      <c r="MKO116" s="585"/>
      <c r="MKP116" s="577"/>
      <c r="MKQ116" s="304"/>
      <c r="MKR116" s="572"/>
      <c r="MKS116" s="573"/>
      <c r="MKT116" s="574"/>
      <c r="MKU116" s="575"/>
      <c r="MKV116" s="583"/>
      <c r="MKW116" s="590"/>
      <c r="MKX116" s="589"/>
      <c r="MKY116" s="585"/>
      <c r="MKZ116" s="577"/>
      <c r="MLA116" s="304"/>
      <c r="MLB116" s="572"/>
      <c r="MLC116" s="573"/>
      <c r="MLD116" s="574"/>
      <c r="MLE116" s="575"/>
      <c r="MLF116" s="583"/>
      <c r="MLG116" s="590"/>
      <c r="MLH116" s="589"/>
      <c r="MLI116" s="585"/>
      <c r="MLJ116" s="577"/>
      <c r="MLK116" s="304"/>
      <c r="MLL116" s="572"/>
      <c r="MLM116" s="573"/>
      <c r="MLN116" s="574"/>
      <c r="MLO116" s="575"/>
      <c r="MLP116" s="583"/>
      <c r="MLQ116" s="590"/>
      <c r="MLR116" s="589"/>
      <c r="MLS116" s="585"/>
      <c r="MLT116" s="577"/>
      <c r="MLU116" s="304"/>
      <c r="MLV116" s="572"/>
      <c r="MLW116" s="573"/>
      <c r="MLX116" s="574"/>
      <c r="MLY116" s="575"/>
      <c r="MLZ116" s="583"/>
      <c r="MMA116" s="590"/>
      <c r="MMB116" s="589"/>
      <c r="MMC116" s="585"/>
      <c r="MMD116" s="577"/>
      <c r="MME116" s="304"/>
      <c r="MMF116" s="572"/>
      <c r="MMG116" s="573"/>
      <c r="MMH116" s="574"/>
      <c r="MMI116" s="575"/>
      <c r="MMJ116" s="583"/>
      <c r="MMK116" s="590"/>
      <c r="MML116" s="589"/>
      <c r="MMM116" s="585"/>
      <c r="MMN116" s="577"/>
      <c r="MMO116" s="304"/>
      <c r="MMP116" s="572"/>
      <c r="MMQ116" s="573"/>
      <c r="MMR116" s="574"/>
      <c r="MMS116" s="575"/>
      <c r="MMT116" s="583"/>
      <c r="MMU116" s="590"/>
      <c r="MMV116" s="589"/>
      <c r="MMW116" s="585"/>
      <c r="MMX116" s="577"/>
      <c r="MMY116" s="304"/>
      <c r="MMZ116" s="572"/>
      <c r="MNA116" s="573"/>
      <c r="MNB116" s="574"/>
      <c r="MNC116" s="575"/>
      <c r="MND116" s="583"/>
      <c r="MNE116" s="590"/>
      <c r="MNF116" s="589"/>
      <c r="MNG116" s="585"/>
      <c r="MNH116" s="577"/>
      <c r="MNI116" s="304"/>
      <c r="MNJ116" s="572"/>
      <c r="MNK116" s="573"/>
      <c r="MNL116" s="574"/>
      <c r="MNM116" s="575"/>
      <c r="MNN116" s="583"/>
      <c r="MNO116" s="590"/>
      <c r="MNP116" s="589"/>
      <c r="MNQ116" s="585"/>
      <c r="MNR116" s="577"/>
      <c r="MNS116" s="304"/>
      <c r="MNT116" s="572"/>
      <c r="MNU116" s="573"/>
      <c r="MNV116" s="574"/>
      <c r="MNW116" s="575"/>
      <c r="MNX116" s="583"/>
      <c r="MNY116" s="590"/>
      <c r="MNZ116" s="589"/>
      <c r="MOA116" s="585"/>
      <c r="MOB116" s="577"/>
      <c r="MOC116" s="304"/>
      <c r="MOD116" s="572"/>
      <c r="MOE116" s="573"/>
      <c r="MOF116" s="574"/>
      <c r="MOG116" s="575"/>
      <c r="MOH116" s="583"/>
      <c r="MOI116" s="590"/>
      <c r="MOJ116" s="589"/>
      <c r="MOK116" s="585"/>
      <c r="MOL116" s="577"/>
      <c r="MOM116" s="304"/>
      <c r="MON116" s="572"/>
      <c r="MOO116" s="573"/>
      <c r="MOP116" s="574"/>
      <c r="MOQ116" s="575"/>
      <c r="MOR116" s="583"/>
      <c r="MOS116" s="590"/>
      <c r="MOT116" s="589"/>
      <c r="MOU116" s="585"/>
      <c r="MOV116" s="577"/>
      <c r="MOW116" s="304"/>
      <c r="MOX116" s="572"/>
      <c r="MOY116" s="573"/>
      <c r="MOZ116" s="574"/>
      <c r="MPA116" s="575"/>
      <c r="MPB116" s="583"/>
      <c r="MPC116" s="590"/>
      <c r="MPD116" s="589"/>
      <c r="MPE116" s="585"/>
      <c r="MPF116" s="577"/>
      <c r="MPG116" s="304"/>
      <c r="MPH116" s="572"/>
      <c r="MPI116" s="573"/>
      <c r="MPJ116" s="574"/>
      <c r="MPK116" s="575"/>
      <c r="MPL116" s="583"/>
      <c r="MPM116" s="590"/>
      <c r="MPN116" s="589"/>
      <c r="MPO116" s="585"/>
      <c r="MPP116" s="577"/>
      <c r="MPQ116" s="304"/>
      <c r="MPR116" s="572"/>
      <c r="MPS116" s="573"/>
      <c r="MPT116" s="574"/>
      <c r="MPU116" s="575"/>
      <c r="MPV116" s="583"/>
      <c r="MPW116" s="590"/>
      <c r="MPX116" s="589"/>
      <c r="MPY116" s="585"/>
      <c r="MPZ116" s="577"/>
      <c r="MQA116" s="304"/>
      <c r="MQB116" s="572"/>
      <c r="MQC116" s="573"/>
      <c r="MQD116" s="574"/>
      <c r="MQE116" s="575"/>
      <c r="MQF116" s="583"/>
      <c r="MQG116" s="590"/>
      <c r="MQH116" s="589"/>
      <c r="MQI116" s="585"/>
      <c r="MQJ116" s="577"/>
      <c r="MQK116" s="304"/>
      <c r="MQL116" s="572"/>
      <c r="MQM116" s="573"/>
      <c r="MQN116" s="574"/>
      <c r="MQO116" s="575"/>
      <c r="MQP116" s="583"/>
      <c r="MQQ116" s="590"/>
      <c r="MQR116" s="589"/>
      <c r="MQS116" s="585"/>
      <c r="MQT116" s="577"/>
      <c r="MQU116" s="304"/>
      <c r="MQV116" s="572"/>
      <c r="MQW116" s="573"/>
      <c r="MQX116" s="574"/>
      <c r="MQY116" s="575"/>
      <c r="MQZ116" s="583"/>
      <c r="MRA116" s="590"/>
      <c r="MRB116" s="589"/>
      <c r="MRC116" s="585"/>
      <c r="MRD116" s="577"/>
      <c r="MRE116" s="304"/>
      <c r="MRF116" s="572"/>
      <c r="MRG116" s="573"/>
      <c r="MRH116" s="574"/>
      <c r="MRI116" s="575"/>
      <c r="MRJ116" s="583"/>
      <c r="MRK116" s="590"/>
      <c r="MRL116" s="589"/>
      <c r="MRM116" s="585"/>
      <c r="MRN116" s="577"/>
      <c r="MRO116" s="304"/>
      <c r="MRP116" s="572"/>
      <c r="MRQ116" s="573"/>
      <c r="MRR116" s="574"/>
      <c r="MRS116" s="575"/>
      <c r="MRT116" s="583"/>
      <c r="MRU116" s="590"/>
      <c r="MRV116" s="589"/>
      <c r="MRW116" s="585"/>
      <c r="MRX116" s="577"/>
      <c r="MRY116" s="304"/>
      <c r="MRZ116" s="572"/>
      <c r="MSA116" s="573"/>
      <c r="MSB116" s="574"/>
      <c r="MSC116" s="575"/>
      <c r="MSD116" s="583"/>
      <c r="MSE116" s="590"/>
      <c r="MSF116" s="589"/>
      <c r="MSG116" s="585"/>
      <c r="MSH116" s="577"/>
      <c r="MSI116" s="304"/>
      <c r="MSJ116" s="572"/>
      <c r="MSK116" s="573"/>
      <c r="MSL116" s="574"/>
      <c r="MSM116" s="575"/>
      <c r="MSN116" s="583"/>
      <c r="MSO116" s="590"/>
      <c r="MSP116" s="589"/>
      <c r="MSQ116" s="585"/>
      <c r="MSR116" s="577"/>
      <c r="MSS116" s="304"/>
      <c r="MST116" s="572"/>
      <c r="MSU116" s="573"/>
      <c r="MSV116" s="574"/>
      <c r="MSW116" s="575"/>
      <c r="MSX116" s="583"/>
      <c r="MSY116" s="590"/>
      <c r="MSZ116" s="589"/>
      <c r="MTA116" s="585"/>
      <c r="MTB116" s="577"/>
      <c r="MTC116" s="304"/>
      <c r="MTD116" s="572"/>
      <c r="MTE116" s="573"/>
      <c r="MTF116" s="574"/>
      <c r="MTG116" s="575"/>
      <c r="MTH116" s="583"/>
      <c r="MTI116" s="590"/>
      <c r="MTJ116" s="589"/>
      <c r="MTK116" s="585"/>
      <c r="MTL116" s="577"/>
      <c r="MTM116" s="304"/>
      <c r="MTN116" s="572"/>
      <c r="MTO116" s="573"/>
      <c r="MTP116" s="574"/>
      <c r="MTQ116" s="575"/>
      <c r="MTR116" s="583"/>
      <c r="MTS116" s="590"/>
      <c r="MTT116" s="589"/>
      <c r="MTU116" s="585"/>
      <c r="MTV116" s="577"/>
      <c r="MTW116" s="304"/>
      <c r="MTX116" s="572"/>
      <c r="MTY116" s="573"/>
      <c r="MTZ116" s="574"/>
      <c r="MUA116" s="575"/>
      <c r="MUB116" s="583"/>
      <c r="MUC116" s="590"/>
      <c r="MUD116" s="589"/>
      <c r="MUE116" s="585"/>
      <c r="MUF116" s="577"/>
      <c r="MUG116" s="304"/>
      <c r="MUH116" s="572"/>
      <c r="MUI116" s="573"/>
      <c r="MUJ116" s="574"/>
      <c r="MUK116" s="575"/>
      <c r="MUL116" s="583"/>
      <c r="MUM116" s="590"/>
      <c r="MUN116" s="589"/>
      <c r="MUO116" s="585"/>
      <c r="MUP116" s="577"/>
      <c r="MUQ116" s="304"/>
      <c r="MUR116" s="572"/>
      <c r="MUS116" s="573"/>
      <c r="MUT116" s="574"/>
      <c r="MUU116" s="575"/>
      <c r="MUV116" s="583"/>
      <c r="MUW116" s="590"/>
      <c r="MUX116" s="589"/>
      <c r="MUY116" s="585"/>
      <c r="MUZ116" s="577"/>
      <c r="MVA116" s="304"/>
      <c r="MVB116" s="572"/>
      <c r="MVC116" s="573"/>
      <c r="MVD116" s="574"/>
      <c r="MVE116" s="575"/>
      <c r="MVF116" s="583"/>
      <c r="MVG116" s="590"/>
      <c r="MVH116" s="589"/>
      <c r="MVI116" s="585"/>
      <c r="MVJ116" s="577"/>
      <c r="MVK116" s="304"/>
      <c r="MVL116" s="572"/>
      <c r="MVM116" s="573"/>
      <c r="MVN116" s="574"/>
      <c r="MVO116" s="575"/>
      <c r="MVP116" s="583"/>
      <c r="MVQ116" s="590"/>
      <c r="MVR116" s="589"/>
      <c r="MVS116" s="585"/>
      <c r="MVT116" s="577"/>
      <c r="MVU116" s="304"/>
      <c r="MVV116" s="572"/>
      <c r="MVW116" s="573"/>
      <c r="MVX116" s="574"/>
      <c r="MVY116" s="575"/>
      <c r="MVZ116" s="583"/>
      <c r="MWA116" s="590"/>
      <c r="MWB116" s="589"/>
      <c r="MWC116" s="585"/>
      <c r="MWD116" s="577"/>
      <c r="MWE116" s="304"/>
      <c r="MWF116" s="572"/>
      <c r="MWG116" s="573"/>
      <c r="MWH116" s="574"/>
      <c r="MWI116" s="575"/>
      <c r="MWJ116" s="583"/>
      <c r="MWK116" s="590"/>
      <c r="MWL116" s="589"/>
      <c r="MWM116" s="585"/>
      <c r="MWN116" s="577"/>
      <c r="MWO116" s="304"/>
      <c r="MWP116" s="572"/>
      <c r="MWQ116" s="573"/>
      <c r="MWR116" s="574"/>
      <c r="MWS116" s="575"/>
      <c r="MWT116" s="583"/>
      <c r="MWU116" s="590"/>
      <c r="MWV116" s="589"/>
      <c r="MWW116" s="585"/>
      <c r="MWX116" s="577"/>
      <c r="MWY116" s="304"/>
      <c r="MWZ116" s="572"/>
      <c r="MXA116" s="573"/>
      <c r="MXB116" s="574"/>
      <c r="MXC116" s="575"/>
      <c r="MXD116" s="583"/>
      <c r="MXE116" s="590"/>
      <c r="MXF116" s="589"/>
      <c r="MXG116" s="585"/>
      <c r="MXH116" s="577"/>
      <c r="MXI116" s="304"/>
      <c r="MXJ116" s="572"/>
      <c r="MXK116" s="573"/>
      <c r="MXL116" s="574"/>
      <c r="MXM116" s="575"/>
      <c r="MXN116" s="583"/>
      <c r="MXO116" s="590"/>
      <c r="MXP116" s="589"/>
      <c r="MXQ116" s="585"/>
      <c r="MXR116" s="577"/>
      <c r="MXS116" s="304"/>
      <c r="MXT116" s="572"/>
      <c r="MXU116" s="573"/>
      <c r="MXV116" s="574"/>
      <c r="MXW116" s="575"/>
      <c r="MXX116" s="583"/>
      <c r="MXY116" s="590"/>
      <c r="MXZ116" s="589"/>
      <c r="MYA116" s="585"/>
      <c r="MYB116" s="577"/>
      <c r="MYC116" s="304"/>
      <c r="MYD116" s="572"/>
      <c r="MYE116" s="573"/>
      <c r="MYF116" s="574"/>
      <c r="MYG116" s="575"/>
      <c r="MYH116" s="583"/>
      <c r="MYI116" s="590"/>
      <c r="MYJ116" s="589"/>
      <c r="MYK116" s="585"/>
      <c r="MYL116" s="577"/>
      <c r="MYM116" s="304"/>
      <c r="MYN116" s="572"/>
      <c r="MYO116" s="573"/>
      <c r="MYP116" s="574"/>
      <c r="MYQ116" s="575"/>
      <c r="MYR116" s="583"/>
      <c r="MYS116" s="590"/>
      <c r="MYT116" s="589"/>
      <c r="MYU116" s="585"/>
      <c r="MYV116" s="577"/>
      <c r="MYW116" s="304"/>
      <c r="MYX116" s="572"/>
      <c r="MYY116" s="573"/>
      <c r="MYZ116" s="574"/>
      <c r="MZA116" s="575"/>
      <c r="MZB116" s="583"/>
      <c r="MZC116" s="590"/>
      <c r="MZD116" s="589"/>
      <c r="MZE116" s="585"/>
      <c r="MZF116" s="577"/>
      <c r="MZG116" s="304"/>
      <c r="MZH116" s="572"/>
      <c r="MZI116" s="573"/>
      <c r="MZJ116" s="574"/>
      <c r="MZK116" s="575"/>
      <c r="MZL116" s="583"/>
      <c r="MZM116" s="590"/>
      <c r="MZN116" s="589"/>
      <c r="MZO116" s="585"/>
      <c r="MZP116" s="577"/>
      <c r="MZQ116" s="304"/>
      <c r="MZR116" s="572"/>
      <c r="MZS116" s="573"/>
      <c r="MZT116" s="574"/>
      <c r="MZU116" s="575"/>
      <c r="MZV116" s="583"/>
      <c r="MZW116" s="590"/>
      <c r="MZX116" s="589"/>
      <c r="MZY116" s="585"/>
      <c r="MZZ116" s="577"/>
      <c r="NAA116" s="304"/>
      <c r="NAB116" s="572"/>
      <c r="NAC116" s="573"/>
      <c r="NAD116" s="574"/>
      <c r="NAE116" s="575"/>
      <c r="NAF116" s="583"/>
      <c r="NAG116" s="590"/>
      <c r="NAH116" s="589"/>
      <c r="NAI116" s="585"/>
      <c r="NAJ116" s="577"/>
      <c r="NAK116" s="304"/>
      <c r="NAL116" s="572"/>
      <c r="NAM116" s="573"/>
      <c r="NAN116" s="574"/>
      <c r="NAO116" s="575"/>
      <c r="NAP116" s="583"/>
      <c r="NAQ116" s="590"/>
      <c r="NAR116" s="589"/>
      <c r="NAS116" s="585"/>
      <c r="NAT116" s="577"/>
      <c r="NAU116" s="304"/>
      <c r="NAV116" s="572"/>
      <c r="NAW116" s="573"/>
      <c r="NAX116" s="574"/>
      <c r="NAY116" s="575"/>
      <c r="NAZ116" s="583"/>
      <c r="NBA116" s="590"/>
      <c r="NBB116" s="589"/>
      <c r="NBC116" s="585"/>
      <c r="NBD116" s="577"/>
      <c r="NBE116" s="304"/>
      <c r="NBF116" s="572"/>
      <c r="NBG116" s="573"/>
      <c r="NBH116" s="574"/>
      <c r="NBI116" s="575"/>
      <c r="NBJ116" s="583"/>
      <c r="NBK116" s="590"/>
      <c r="NBL116" s="589"/>
      <c r="NBM116" s="585"/>
      <c r="NBN116" s="577"/>
      <c r="NBO116" s="304"/>
      <c r="NBP116" s="572"/>
      <c r="NBQ116" s="573"/>
      <c r="NBR116" s="574"/>
      <c r="NBS116" s="575"/>
      <c r="NBT116" s="583"/>
      <c r="NBU116" s="590"/>
      <c r="NBV116" s="589"/>
      <c r="NBW116" s="585"/>
      <c r="NBX116" s="577"/>
      <c r="NBY116" s="304"/>
      <c r="NBZ116" s="572"/>
      <c r="NCA116" s="573"/>
      <c r="NCB116" s="574"/>
      <c r="NCC116" s="575"/>
      <c r="NCD116" s="583"/>
      <c r="NCE116" s="590"/>
      <c r="NCF116" s="589"/>
      <c r="NCG116" s="585"/>
      <c r="NCH116" s="577"/>
      <c r="NCI116" s="304"/>
      <c r="NCJ116" s="572"/>
      <c r="NCK116" s="573"/>
      <c r="NCL116" s="574"/>
      <c r="NCM116" s="575"/>
      <c r="NCN116" s="583"/>
      <c r="NCO116" s="590"/>
      <c r="NCP116" s="589"/>
      <c r="NCQ116" s="585"/>
      <c r="NCR116" s="577"/>
      <c r="NCS116" s="304"/>
      <c r="NCT116" s="572"/>
      <c r="NCU116" s="573"/>
      <c r="NCV116" s="574"/>
      <c r="NCW116" s="575"/>
      <c r="NCX116" s="583"/>
      <c r="NCY116" s="590"/>
      <c r="NCZ116" s="589"/>
      <c r="NDA116" s="585"/>
      <c r="NDB116" s="577"/>
      <c r="NDC116" s="304"/>
      <c r="NDD116" s="572"/>
      <c r="NDE116" s="573"/>
      <c r="NDF116" s="574"/>
      <c r="NDG116" s="575"/>
      <c r="NDH116" s="583"/>
      <c r="NDI116" s="590"/>
      <c r="NDJ116" s="589"/>
      <c r="NDK116" s="585"/>
      <c r="NDL116" s="577"/>
      <c r="NDM116" s="304"/>
      <c r="NDN116" s="572"/>
      <c r="NDO116" s="573"/>
      <c r="NDP116" s="574"/>
      <c r="NDQ116" s="575"/>
      <c r="NDR116" s="583"/>
      <c r="NDS116" s="590"/>
      <c r="NDT116" s="589"/>
      <c r="NDU116" s="585"/>
      <c r="NDV116" s="577"/>
      <c r="NDW116" s="304"/>
      <c r="NDX116" s="572"/>
      <c r="NDY116" s="573"/>
      <c r="NDZ116" s="574"/>
      <c r="NEA116" s="575"/>
      <c r="NEB116" s="583"/>
      <c r="NEC116" s="590"/>
      <c r="NED116" s="589"/>
      <c r="NEE116" s="585"/>
      <c r="NEF116" s="577"/>
      <c r="NEG116" s="304"/>
      <c r="NEH116" s="572"/>
      <c r="NEI116" s="573"/>
      <c r="NEJ116" s="574"/>
      <c r="NEK116" s="575"/>
      <c r="NEL116" s="583"/>
      <c r="NEM116" s="590"/>
      <c r="NEN116" s="589"/>
      <c r="NEO116" s="585"/>
      <c r="NEP116" s="577"/>
      <c r="NEQ116" s="304"/>
      <c r="NER116" s="572"/>
      <c r="NES116" s="573"/>
      <c r="NET116" s="574"/>
      <c r="NEU116" s="575"/>
      <c r="NEV116" s="583"/>
      <c r="NEW116" s="590"/>
      <c r="NEX116" s="589"/>
      <c r="NEY116" s="585"/>
      <c r="NEZ116" s="577"/>
      <c r="NFA116" s="304"/>
      <c r="NFB116" s="572"/>
      <c r="NFC116" s="573"/>
      <c r="NFD116" s="574"/>
      <c r="NFE116" s="575"/>
      <c r="NFF116" s="583"/>
      <c r="NFG116" s="590"/>
      <c r="NFH116" s="589"/>
      <c r="NFI116" s="585"/>
      <c r="NFJ116" s="577"/>
      <c r="NFK116" s="304"/>
      <c r="NFL116" s="572"/>
      <c r="NFM116" s="573"/>
      <c r="NFN116" s="574"/>
      <c r="NFO116" s="575"/>
      <c r="NFP116" s="583"/>
      <c r="NFQ116" s="590"/>
      <c r="NFR116" s="589"/>
      <c r="NFS116" s="585"/>
      <c r="NFT116" s="577"/>
      <c r="NFU116" s="304"/>
      <c r="NFV116" s="572"/>
      <c r="NFW116" s="573"/>
      <c r="NFX116" s="574"/>
      <c r="NFY116" s="575"/>
      <c r="NFZ116" s="583"/>
      <c r="NGA116" s="590"/>
      <c r="NGB116" s="589"/>
      <c r="NGC116" s="585"/>
      <c r="NGD116" s="577"/>
      <c r="NGE116" s="304"/>
      <c r="NGF116" s="572"/>
      <c r="NGG116" s="573"/>
      <c r="NGH116" s="574"/>
      <c r="NGI116" s="575"/>
      <c r="NGJ116" s="583"/>
      <c r="NGK116" s="590"/>
      <c r="NGL116" s="589"/>
      <c r="NGM116" s="585"/>
      <c r="NGN116" s="577"/>
      <c r="NGO116" s="304"/>
      <c r="NGP116" s="572"/>
      <c r="NGQ116" s="573"/>
      <c r="NGR116" s="574"/>
      <c r="NGS116" s="575"/>
      <c r="NGT116" s="583"/>
      <c r="NGU116" s="590"/>
      <c r="NGV116" s="589"/>
      <c r="NGW116" s="585"/>
      <c r="NGX116" s="577"/>
      <c r="NGY116" s="304"/>
      <c r="NGZ116" s="572"/>
      <c r="NHA116" s="573"/>
      <c r="NHB116" s="574"/>
      <c r="NHC116" s="575"/>
      <c r="NHD116" s="583"/>
      <c r="NHE116" s="590"/>
      <c r="NHF116" s="589"/>
      <c r="NHG116" s="585"/>
      <c r="NHH116" s="577"/>
      <c r="NHI116" s="304"/>
      <c r="NHJ116" s="572"/>
      <c r="NHK116" s="573"/>
      <c r="NHL116" s="574"/>
      <c r="NHM116" s="575"/>
      <c r="NHN116" s="583"/>
      <c r="NHO116" s="590"/>
      <c r="NHP116" s="589"/>
      <c r="NHQ116" s="585"/>
      <c r="NHR116" s="577"/>
      <c r="NHS116" s="304"/>
      <c r="NHT116" s="572"/>
      <c r="NHU116" s="573"/>
      <c r="NHV116" s="574"/>
      <c r="NHW116" s="575"/>
      <c r="NHX116" s="583"/>
      <c r="NHY116" s="590"/>
      <c r="NHZ116" s="589"/>
      <c r="NIA116" s="585"/>
      <c r="NIB116" s="577"/>
      <c r="NIC116" s="304"/>
      <c r="NID116" s="572"/>
      <c r="NIE116" s="573"/>
      <c r="NIF116" s="574"/>
      <c r="NIG116" s="575"/>
      <c r="NIH116" s="583"/>
      <c r="NII116" s="590"/>
      <c r="NIJ116" s="589"/>
      <c r="NIK116" s="585"/>
      <c r="NIL116" s="577"/>
      <c r="NIM116" s="304"/>
      <c r="NIN116" s="572"/>
      <c r="NIO116" s="573"/>
      <c r="NIP116" s="574"/>
      <c r="NIQ116" s="575"/>
      <c r="NIR116" s="583"/>
      <c r="NIS116" s="590"/>
      <c r="NIT116" s="589"/>
      <c r="NIU116" s="585"/>
      <c r="NIV116" s="577"/>
      <c r="NIW116" s="304"/>
      <c r="NIX116" s="572"/>
      <c r="NIY116" s="573"/>
      <c r="NIZ116" s="574"/>
      <c r="NJA116" s="575"/>
      <c r="NJB116" s="583"/>
      <c r="NJC116" s="590"/>
      <c r="NJD116" s="589"/>
      <c r="NJE116" s="585"/>
      <c r="NJF116" s="577"/>
      <c r="NJG116" s="304"/>
      <c r="NJH116" s="572"/>
      <c r="NJI116" s="573"/>
      <c r="NJJ116" s="574"/>
      <c r="NJK116" s="575"/>
      <c r="NJL116" s="583"/>
      <c r="NJM116" s="590"/>
      <c r="NJN116" s="589"/>
      <c r="NJO116" s="585"/>
      <c r="NJP116" s="577"/>
      <c r="NJQ116" s="304"/>
      <c r="NJR116" s="572"/>
      <c r="NJS116" s="573"/>
      <c r="NJT116" s="574"/>
      <c r="NJU116" s="575"/>
      <c r="NJV116" s="583"/>
      <c r="NJW116" s="590"/>
      <c r="NJX116" s="589"/>
      <c r="NJY116" s="585"/>
      <c r="NJZ116" s="577"/>
      <c r="NKA116" s="304"/>
      <c r="NKB116" s="572"/>
      <c r="NKC116" s="573"/>
      <c r="NKD116" s="574"/>
      <c r="NKE116" s="575"/>
      <c r="NKF116" s="583"/>
      <c r="NKG116" s="590"/>
      <c r="NKH116" s="589"/>
      <c r="NKI116" s="585"/>
      <c r="NKJ116" s="577"/>
      <c r="NKK116" s="304"/>
      <c r="NKL116" s="572"/>
      <c r="NKM116" s="573"/>
      <c r="NKN116" s="574"/>
      <c r="NKO116" s="575"/>
      <c r="NKP116" s="583"/>
      <c r="NKQ116" s="590"/>
      <c r="NKR116" s="589"/>
      <c r="NKS116" s="585"/>
      <c r="NKT116" s="577"/>
      <c r="NKU116" s="304"/>
      <c r="NKV116" s="572"/>
      <c r="NKW116" s="573"/>
      <c r="NKX116" s="574"/>
      <c r="NKY116" s="575"/>
      <c r="NKZ116" s="583"/>
      <c r="NLA116" s="590"/>
      <c r="NLB116" s="589"/>
      <c r="NLC116" s="585"/>
      <c r="NLD116" s="577"/>
      <c r="NLE116" s="304"/>
      <c r="NLF116" s="572"/>
      <c r="NLG116" s="573"/>
      <c r="NLH116" s="574"/>
      <c r="NLI116" s="575"/>
      <c r="NLJ116" s="583"/>
      <c r="NLK116" s="590"/>
      <c r="NLL116" s="589"/>
      <c r="NLM116" s="585"/>
      <c r="NLN116" s="577"/>
      <c r="NLO116" s="304"/>
      <c r="NLP116" s="572"/>
      <c r="NLQ116" s="573"/>
      <c r="NLR116" s="574"/>
      <c r="NLS116" s="575"/>
      <c r="NLT116" s="583"/>
      <c r="NLU116" s="590"/>
      <c r="NLV116" s="589"/>
      <c r="NLW116" s="585"/>
      <c r="NLX116" s="577"/>
      <c r="NLY116" s="304"/>
      <c r="NLZ116" s="572"/>
      <c r="NMA116" s="573"/>
      <c r="NMB116" s="574"/>
      <c r="NMC116" s="575"/>
      <c r="NMD116" s="583"/>
      <c r="NME116" s="590"/>
      <c r="NMF116" s="589"/>
      <c r="NMG116" s="585"/>
      <c r="NMH116" s="577"/>
      <c r="NMI116" s="304"/>
      <c r="NMJ116" s="572"/>
      <c r="NMK116" s="573"/>
      <c r="NML116" s="574"/>
      <c r="NMM116" s="575"/>
      <c r="NMN116" s="583"/>
      <c r="NMO116" s="590"/>
      <c r="NMP116" s="589"/>
      <c r="NMQ116" s="585"/>
      <c r="NMR116" s="577"/>
      <c r="NMS116" s="304"/>
      <c r="NMT116" s="572"/>
      <c r="NMU116" s="573"/>
      <c r="NMV116" s="574"/>
      <c r="NMW116" s="575"/>
      <c r="NMX116" s="583"/>
      <c r="NMY116" s="590"/>
      <c r="NMZ116" s="589"/>
      <c r="NNA116" s="585"/>
      <c r="NNB116" s="577"/>
      <c r="NNC116" s="304"/>
      <c r="NND116" s="572"/>
      <c r="NNE116" s="573"/>
      <c r="NNF116" s="574"/>
      <c r="NNG116" s="575"/>
      <c r="NNH116" s="583"/>
      <c r="NNI116" s="590"/>
      <c r="NNJ116" s="589"/>
      <c r="NNK116" s="585"/>
      <c r="NNL116" s="577"/>
      <c r="NNM116" s="304"/>
      <c r="NNN116" s="572"/>
      <c r="NNO116" s="573"/>
      <c r="NNP116" s="574"/>
      <c r="NNQ116" s="575"/>
      <c r="NNR116" s="583"/>
      <c r="NNS116" s="590"/>
      <c r="NNT116" s="589"/>
      <c r="NNU116" s="585"/>
      <c r="NNV116" s="577"/>
      <c r="NNW116" s="304"/>
      <c r="NNX116" s="572"/>
      <c r="NNY116" s="573"/>
      <c r="NNZ116" s="574"/>
      <c r="NOA116" s="575"/>
      <c r="NOB116" s="583"/>
      <c r="NOC116" s="590"/>
      <c r="NOD116" s="589"/>
      <c r="NOE116" s="585"/>
      <c r="NOF116" s="577"/>
      <c r="NOG116" s="304"/>
      <c r="NOH116" s="572"/>
      <c r="NOI116" s="573"/>
      <c r="NOJ116" s="574"/>
      <c r="NOK116" s="575"/>
      <c r="NOL116" s="583"/>
      <c r="NOM116" s="590"/>
      <c r="NON116" s="589"/>
      <c r="NOO116" s="585"/>
      <c r="NOP116" s="577"/>
      <c r="NOQ116" s="304"/>
      <c r="NOR116" s="572"/>
      <c r="NOS116" s="573"/>
      <c r="NOT116" s="574"/>
      <c r="NOU116" s="575"/>
      <c r="NOV116" s="583"/>
      <c r="NOW116" s="590"/>
      <c r="NOX116" s="589"/>
      <c r="NOY116" s="585"/>
      <c r="NOZ116" s="577"/>
      <c r="NPA116" s="304"/>
      <c r="NPB116" s="572"/>
      <c r="NPC116" s="573"/>
      <c r="NPD116" s="574"/>
      <c r="NPE116" s="575"/>
      <c r="NPF116" s="583"/>
      <c r="NPG116" s="590"/>
      <c r="NPH116" s="589"/>
      <c r="NPI116" s="585"/>
      <c r="NPJ116" s="577"/>
      <c r="NPK116" s="304"/>
      <c r="NPL116" s="572"/>
      <c r="NPM116" s="573"/>
      <c r="NPN116" s="574"/>
      <c r="NPO116" s="575"/>
      <c r="NPP116" s="583"/>
      <c r="NPQ116" s="590"/>
      <c r="NPR116" s="589"/>
      <c r="NPS116" s="585"/>
      <c r="NPT116" s="577"/>
      <c r="NPU116" s="304"/>
      <c r="NPV116" s="572"/>
      <c r="NPW116" s="573"/>
      <c r="NPX116" s="574"/>
      <c r="NPY116" s="575"/>
      <c r="NPZ116" s="583"/>
      <c r="NQA116" s="590"/>
      <c r="NQB116" s="589"/>
      <c r="NQC116" s="585"/>
      <c r="NQD116" s="577"/>
      <c r="NQE116" s="304"/>
      <c r="NQF116" s="572"/>
      <c r="NQG116" s="573"/>
      <c r="NQH116" s="574"/>
      <c r="NQI116" s="575"/>
      <c r="NQJ116" s="583"/>
      <c r="NQK116" s="590"/>
      <c r="NQL116" s="589"/>
      <c r="NQM116" s="585"/>
      <c r="NQN116" s="577"/>
      <c r="NQO116" s="304"/>
      <c r="NQP116" s="572"/>
      <c r="NQQ116" s="573"/>
      <c r="NQR116" s="574"/>
      <c r="NQS116" s="575"/>
      <c r="NQT116" s="583"/>
      <c r="NQU116" s="590"/>
      <c r="NQV116" s="589"/>
      <c r="NQW116" s="585"/>
      <c r="NQX116" s="577"/>
      <c r="NQY116" s="304"/>
      <c r="NQZ116" s="572"/>
      <c r="NRA116" s="573"/>
      <c r="NRB116" s="574"/>
      <c r="NRC116" s="575"/>
      <c r="NRD116" s="583"/>
      <c r="NRE116" s="590"/>
      <c r="NRF116" s="589"/>
      <c r="NRG116" s="585"/>
      <c r="NRH116" s="577"/>
      <c r="NRI116" s="304"/>
      <c r="NRJ116" s="572"/>
      <c r="NRK116" s="573"/>
      <c r="NRL116" s="574"/>
      <c r="NRM116" s="575"/>
      <c r="NRN116" s="583"/>
      <c r="NRO116" s="590"/>
      <c r="NRP116" s="589"/>
      <c r="NRQ116" s="585"/>
      <c r="NRR116" s="577"/>
      <c r="NRS116" s="304"/>
      <c r="NRT116" s="572"/>
      <c r="NRU116" s="573"/>
      <c r="NRV116" s="574"/>
      <c r="NRW116" s="575"/>
      <c r="NRX116" s="583"/>
      <c r="NRY116" s="590"/>
      <c r="NRZ116" s="589"/>
      <c r="NSA116" s="585"/>
      <c r="NSB116" s="577"/>
      <c r="NSC116" s="304"/>
      <c r="NSD116" s="572"/>
      <c r="NSE116" s="573"/>
      <c r="NSF116" s="574"/>
      <c r="NSG116" s="575"/>
      <c r="NSH116" s="583"/>
      <c r="NSI116" s="590"/>
      <c r="NSJ116" s="589"/>
      <c r="NSK116" s="585"/>
      <c r="NSL116" s="577"/>
      <c r="NSM116" s="304"/>
      <c r="NSN116" s="572"/>
      <c r="NSO116" s="573"/>
      <c r="NSP116" s="574"/>
      <c r="NSQ116" s="575"/>
      <c r="NSR116" s="583"/>
      <c r="NSS116" s="590"/>
      <c r="NST116" s="589"/>
      <c r="NSU116" s="585"/>
      <c r="NSV116" s="577"/>
      <c r="NSW116" s="304"/>
      <c r="NSX116" s="572"/>
      <c r="NSY116" s="573"/>
      <c r="NSZ116" s="574"/>
      <c r="NTA116" s="575"/>
      <c r="NTB116" s="583"/>
      <c r="NTC116" s="590"/>
      <c r="NTD116" s="589"/>
      <c r="NTE116" s="585"/>
      <c r="NTF116" s="577"/>
      <c r="NTG116" s="304"/>
      <c r="NTH116" s="572"/>
      <c r="NTI116" s="573"/>
      <c r="NTJ116" s="574"/>
      <c r="NTK116" s="575"/>
      <c r="NTL116" s="583"/>
      <c r="NTM116" s="590"/>
      <c r="NTN116" s="589"/>
      <c r="NTO116" s="585"/>
      <c r="NTP116" s="577"/>
      <c r="NTQ116" s="304"/>
      <c r="NTR116" s="572"/>
      <c r="NTS116" s="573"/>
      <c r="NTT116" s="574"/>
      <c r="NTU116" s="575"/>
      <c r="NTV116" s="583"/>
      <c r="NTW116" s="590"/>
      <c r="NTX116" s="589"/>
      <c r="NTY116" s="585"/>
      <c r="NTZ116" s="577"/>
      <c r="NUA116" s="304"/>
      <c r="NUB116" s="572"/>
      <c r="NUC116" s="573"/>
      <c r="NUD116" s="574"/>
      <c r="NUE116" s="575"/>
      <c r="NUF116" s="583"/>
      <c r="NUG116" s="590"/>
      <c r="NUH116" s="589"/>
      <c r="NUI116" s="585"/>
      <c r="NUJ116" s="577"/>
      <c r="NUK116" s="304"/>
      <c r="NUL116" s="572"/>
      <c r="NUM116" s="573"/>
      <c r="NUN116" s="574"/>
      <c r="NUO116" s="575"/>
      <c r="NUP116" s="583"/>
      <c r="NUQ116" s="590"/>
      <c r="NUR116" s="589"/>
      <c r="NUS116" s="585"/>
      <c r="NUT116" s="577"/>
      <c r="NUU116" s="304"/>
      <c r="NUV116" s="572"/>
      <c r="NUW116" s="573"/>
      <c r="NUX116" s="574"/>
      <c r="NUY116" s="575"/>
      <c r="NUZ116" s="583"/>
      <c r="NVA116" s="590"/>
      <c r="NVB116" s="589"/>
      <c r="NVC116" s="585"/>
      <c r="NVD116" s="577"/>
      <c r="NVE116" s="304"/>
      <c r="NVF116" s="572"/>
      <c r="NVG116" s="573"/>
      <c r="NVH116" s="574"/>
      <c r="NVI116" s="575"/>
      <c r="NVJ116" s="583"/>
      <c r="NVK116" s="590"/>
      <c r="NVL116" s="589"/>
      <c r="NVM116" s="585"/>
      <c r="NVN116" s="577"/>
      <c r="NVO116" s="304"/>
      <c r="NVP116" s="572"/>
      <c r="NVQ116" s="573"/>
      <c r="NVR116" s="574"/>
      <c r="NVS116" s="575"/>
      <c r="NVT116" s="583"/>
      <c r="NVU116" s="590"/>
      <c r="NVV116" s="589"/>
      <c r="NVW116" s="585"/>
      <c r="NVX116" s="577"/>
      <c r="NVY116" s="304"/>
      <c r="NVZ116" s="572"/>
      <c r="NWA116" s="573"/>
      <c r="NWB116" s="574"/>
      <c r="NWC116" s="575"/>
      <c r="NWD116" s="583"/>
      <c r="NWE116" s="590"/>
      <c r="NWF116" s="589"/>
      <c r="NWG116" s="585"/>
      <c r="NWH116" s="577"/>
      <c r="NWI116" s="304"/>
      <c r="NWJ116" s="572"/>
      <c r="NWK116" s="573"/>
      <c r="NWL116" s="574"/>
      <c r="NWM116" s="575"/>
      <c r="NWN116" s="583"/>
      <c r="NWO116" s="590"/>
      <c r="NWP116" s="589"/>
      <c r="NWQ116" s="585"/>
      <c r="NWR116" s="577"/>
      <c r="NWS116" s="304"/>
      <c r="NWT116" s="572"/>
      <c r="NWU116" s="573"/>
      <c r="NWV116" s="574"/>
      <c r="NWW116" s="575"/>
      <c r="NWX116" s="583"/>
      <c r="NWY116" s="590"/>
      <c r="NWZ116" s="589"/>
      <c r="NXA116" s="585"/>
      <c r="NXB116" s="577"/>
      <c r="NXC116" s="304"/>
      <c r="NXD116" s="572"/>
      <c r="NXE116" s="573"/>
      <c r="NXF116" s="574"/>
      <c r="NXG116" s="575"/>
      <c r="NXH116" s="583"/>
      <c r="NXI116" s="590"/>
      <c r="NXJ116" s="589"/>
      <c r="NXK116" s="585"/>
      <c r="NXL116" s="577"/>
      <c r="NXM116" s="304"/>
      <c r="NXN116" s="572"/>
      <c r="NXO116" s="573"/>
      <c r="NXP116" s="574"/>
      <c r="NXQ116" s="575"/>
      <c r="NXR116" s="583"/>
      <c r="NXS116" s="590"/>
      <c r="NXT116" s="589"/>
      <c r="NXU116" s="585"/>
      <c r="NXV116" s="577"/>
      <c r="NXW116" s="304"/>
      <c r="NXX116" s="572"/>
      <c r="NXY116" s="573"/>
      <c r="NXZ116" s="574"/>
      <c r="NYA116" s="575"/>
      <c r="NYB116" s="583"/>
      <c r="NYC116" s="590"/>
      <c r="NYD116" s="589"/>
      <c r="NYE116" s="585"/>
      <c r="NYF116" s="577"/>
      <c r="NYG116" s="304"/>
      <c r="NYH116" s="572"/>
      <c r="NYI116" s="573"/>
      <c r="NYJ116" s="574"/>
      <c r="NYK116" s="575"/>
      <c r="NYL116" s="583"/>
      <c r="NYM116" s="590"/>
      <c r="NYN116" s="589"/>
      <c r="NYO116" s="585"/>
      <c r="NYP116" s="577"/>
      <c r="NYQ116" s="304"/>
      <c r="NYR116" s="572"/>
      <c r="NYS116" s="573"/>
      <c r="NYT116" s="574"/>
      <c r="NYU116" s="575"/>
      <c r="NYV116" s="583"/>
      <c r="NYW116" s="590"/>
      <c r="NYX116" s="589"/>
      <c r="NYY116" s="585"/>
      <c r="NYZ116" s="577"/>
      <c r="NZA116" s="304"/>
      <c r="NZB116" s="572"/>
      <c r="NZC116" s="573"/>
      <c r="NZD116" s="574"/>
      <c r="NZE116" s="575"/>
      <c r="NZF116" s="583"/>
      <c r="NZG116" s="590"/>
      <c r="NZH116" s="589"/>
      <c r="NZI116" s="585"/>
      <c r="NZJ116" s="577"/>
      <c r="NZK116" s="304"/>
      <c r="NZL116" s="572"/>
      <c r="NZM116" s="573"/>
      <c r="NZN116" s="574"/>
      <c r="NZO116" s="575"/>
      <c r="NZP116" s="583"/>
      <c r="NZQ116" s="590"/>
      <c r="NZR116" s="589"/>
      <c r="NZS116" s="585"/>
      <c r="NZT116" s="577"/>
      <c r="NZU116" s="304"/>
      <c r="NZV116" s="572"/>
      <c r="NZW116" s="573"/>
      <c r="NZX116" s="574"/>
      <c r="NZY116" s="575"/>
      <c r="NZZ116" s="583"/>
      <c r="OAA116" s="590"/>
      <c r="OAB116" s="589"/>
      <c r="OAC116" s="585"/>
      <c r="OAD116" s="577"/>
      <c r="OAE116" s="304"/>
      <c r="OAF116" s="572"/>
      <c r="OAG116" s="573"/>
      <c r="OAH116" s="574"/>
      <c r="OAI116" s="575"/>
      <c r="OAJ116" s="583"/>
      <c r="OAK116" s="590"/>
      <c r="OAL116" s="589"/>
      <c r="OAM116" s="585"/>
      <c r="OAN116" s="577"/>
      <c r="OAO116" s="304"/>
      <c r="OAP116" s="572"/>
      <c r="OAQ116" s="573"/>
      <c r="OAR116" s="574"/>
      <c r="OAS116" s="575"/>
      <c r="OAT116" s="583"/>
      <c r="OAU116" s="590"/>
      <c r="OAV116" s="589"/>
      <c r="OAW116" s="585"/>
      <c r="OAX116" s="577"/>
      <c r="OAY116" s="304"/>
      <c r="OAZ116" s="572"/>
      <c r="OBA116" s="573"/>
      <c r="OBB116" s="574"/>
      <c r="OBC116" s="575"/>
      <c r="OBD116" s="583"/>
      <c r="OBE116" s="590"/>
      <c r="OBF116" s="589"/>
      <c r="OBG116" s="585"/>
      <c r="OBH116" s="577"/>
      <c r="OBI116" s="304"/>
      <c r="OBJ116" s="572"/>
      <c r="OBK116" s="573"/>
      <c r="OBL116" s="574"/>
      <c r="OBM116" s="575"/>
      <c r="OBN116" s="583"/>
      <c r="OBO116" s="590"/>
      <c r="OBP116" s="589"/>
      <c r="OBQ116" s="585"/>
      <c r="OBR116" s="577"/>
      <c r="OBS116" s="304"/>
      <c r="OBT116" s="572"/>
      <c r="OBU116" s="573"/>
      <c r="OBV116" s="574"/>
      <c r="OBW116" s="575"/>
      <c r="OBX116" s="583"/>
      <c r="OBY116" s="590"/>
      <c r="OBZ116" s="589"/>
      <c r="OCA116" s="585"/>
      <c r="OCB116" s="577"/>
      <c r="OCC116" s="304"/>
      <c r="OCD116" s="572"/>
      <c r="OCE116" s="573"/>
      <c r="OCF116" s="574"/>
      <c r="OCG116" s="575"/>
      <c r="OCH116" s="583"/>
      <c r="OCI116" s="590"/>
      <c r="OCJ116" s="589"/>
      <c r="OCK116" s="585"/>
      <c r="OCL116" s="577"/>
      <c r="OCM116" s="304"/>
      <c r="OCN116" s="572"/>
      <c r="OCO116" s="573"/>
      <c r="OCP116" s="574"/>
      <c r="OCQ116" s="575"/>
      <c r="OCR116" s="583"/>
      <c r="OCS116" s="590"/>
      <c r="OCT116" s="589"/>
      <c r="OCU116" s="585"/>
      <c r="OCV116" s="577"/>
      <c r="OCW116" s="304"/>
      <c r="OCX116" s="572"/>
      <c r="OCY116" s="573"/>
      <c r="OCZ116" s="574"/>
      <c r="ODA116" s="575"/>
      <c r="ODB116" s="583"/>
      <c r="ODC116" s="590"/>
      <c r="ODD116" s="589"/>
      <c r="ODE116" s="585"/>
      <c r="ODF116" s="577"/>
      <c r="ODG116" s="304"/>
      <c r="ODH116" s="572"/>
      <c r="ODI116" s="573"/>
      <c r="ODJ116" s="574"/>
      <c r="ODK116" s="575"/>
      <c r="ODL116" s="583"/>
      <c r="ODM116" s="590"/>
      <c r="ODN116" s="589"/>
      <c r="ODO116" s="585"/>
      <c r="ODP116" s="577"/>
      <c r="ODQ116" s="304"/>
      <c r="ODR116" s="572"/>
      <c r="ODS116" s="573"/>
      <c r="ODT116" s="574"/>
      <c r="ODU116" s="575"/>
      <c r="ODV116" s="583"/>
      <c r="ODW116" s="590"/>
      <c r="ODX116" s="589"/>
      <c r="ODY116" s="585"/>
      <c r="ODZ116" s="577"/>
      <c r="OEA116" s="304"/>
      <c r="OEB116" s="572"/>
      <c r="OEC116" s="573"/>
      <c r="OED116" s="574"/>
      <c r="OEE116" s="575"/>
      <c r="OEF116" s="583"/>
      <c r="OEG116" s="590"/>
      <c r="OEH116" s="589"/>
      <c r="OEI116" s="585"/>
      <c r="OEJ116" s="577"/>
      <c r="OEK116" s="304"/>
      <c r="OEL116" s="572"/>
      <c r="OEM116" s="573"/>
      <c r="OEN116" s="574"/>
      <c r="OEO116" s="575"/>
      <c r="OEP116" s="583"/>
      <c r="OEQ116" s="590"/>
      <c r="OER116" s="589"/>
      <c r="OES116" s="585"/>
      <c r="OET116" s="577"/>
      <c r="OEU116" s="304"/>
      <c r="OEV116" s="572"/>
      <c r="OEW116" s="573"/>
      <c r="OEX116" s="574"/>
      <c r="OEY116" s="575"/>
      <c r="OEZ116" s="583"/>
      <c r="OFA116" s="590"/>
      <c r="OFB116" s="589"/>
      <c r="OFC116" s="585"/>
      <c r="OFD116" s="577"/>
      <c r="OFE116" s="304"/>
      <c r="OFF116" s="572"/>
      <c r="OFG116" s="573"/>
      <c r="OFH116" s="574"/>
      <c r="OFI116" s="575"/>
      <c r="OFJ116" s="583"/>
      <c r="OFK116" s="590"/>
      <c r="OFL116" s="589"/>
      <c r="OFM116" s="585"/>
      <c r="OFN116" s="577"/>
      <c r="OFO116" s="304"/>
      <c r="OFP116" s="572"/>
      <c r="OFQ116" s="573"/>
      <c r="OFR116" s="574"/>
      <c r="OFS116" s="575"/>
      <c r="OFT116" s="583"/>
      <c r="OFU116" s="590"/>
      <c r="OFV116" s="589"/>
      <c r="OFW116" s="585"/>
      <c r="OFX116" s="577"/>
      <c r="OFY116" s="304"/>
      <c r="OFZ116" s="572"/>
      <c r="OGA116" s="573"/>
      <c r="OGB116" s="574"/>
      <c r="OGC116" s="575"/>
      <c r="OGD116" s="583"/>
      <c r="OGE116" s="590"/>
      <c r="OGF116" s="589"/>
      <c r="OGG116" s="585"/>
      <c r="OGH116" s="577"/>
      <c r="OGI116" s="304"/>
      <c r="OGJ116" s="572"/>
      <c r="OGK116" s="573"/>
      <c r="OGL116" s="574"/>
      <c r="OGM116" s="575"/>
      <c r="OGN116" s="583"/>
      <c r="OGO116" s="590"/>
      <c r="OGP116" s="589"/>
      <c r="OGQ116" s="585"/>
      <c r="OGR116" s="577"/>
      <c r="OGS116" s="304"/>
      <c r="OGT116" s="572"/>
      <c r="OGU116" s="573"/>
      <c r="OGV116" s="574"/>
      <c r="OGW116" s="575"/>
      <c r="OGX116" s="583"/>
      <c r="OGY116" s="590"/>
      <c r="OGZ116" s="589"/>
      <c r="OHA116" s="585"/>
      <c r="OHB116" s="577"/>
      <c r="OHC116" s="304"/>
      <c r="OHD116" s="572"/>
      <c r="OHE116" s="573"/>
      <c r="OHF116" s="574"/>
      <c r="OHG116" s="575"/>
      <c r="OHH116" s="583"/>
      <c r="OHI116" s="590"/>
      <c r="OHJ116" s="589"/>
      <c r="OHK116" s="585"/>
      <c r="OHL116" s="577"/>
      <c r="OHM116" s="304"/>
      <c r="OHN116" s="572"/>
      <c r="OHO116" s="573"/>
      <c r="OHP116" s="574"/>
      <c r="OHQ116" s="575"/>
      <c r="OHR116" s="583"/>
      <c r="OHS116" s="590"/>
      <c r="OHT116" s="589"/>
      <c r="OHU116" s="585"/>
      <c r="OHV116" s="577"/>
      <c r="OHW116" s="304"/>
      <c r="OHX116" s="572"/>
      <c r="OHY116" s="573"/>
      <c r="OHZ116" s="574"/>
      <c r="OIA116" s="575"/>
      <c r="OIB116" s="583"/>
      <c r="OIC116" s="590"/>
      <c r="OID116" s="589"/>
      <c r="OIE116" s="585"/>
      <c r="OIF116" s="577"/>
      <c r="OIG116" s="304"/>
      <c r="OIH116" s="572"/>
      <c r="OII116" s="573"/>
      <c r="OIJ116" s="574"/>
      <c r="OIK116" s="575"/>
      <c r="OIL116" s="583"/>
      <c r="OIM116" s="590"/>
      <c r="OIN116" s="589"/>
      <c r="OIO116" s="585"/>
      <c r="OIP116" s="577"/>
      <c r="OIQ116" s="304"/>
      <c r="OIR116" s="572"/>
      <c r="OIS116" s="573"/>
      <c r="OIT116" s="574"/>
      <c r="OIU116" s="575"/>
      <c r="OIV116" s="583"/>
      <c r="OIW116" s="590"/>
      <c r="OIX116" s="589"/>
      <c r="OIY116" s="585"/>
      <c r="OIZ116" s="577"/>
      <c r="OJA116" s="304"/>
      <c r="OJB116" s="572"/>
      <c r="OJC116" s="573"/>
      <c r="OJD116" s="574"/>
      <c r="OJE116" s="575"/>
      <c r="OJF116" s="583"/>
      <c r="OJG116" s="590"/>
      <c r="OJH116" s="589"/>
      <c r="OJI116" s="585"/>
      <c r="OJJ116" s="577"/>
      <c r="OJK116" s="304"/>
      <c r="OJL116" s="572"/>
      <c r="OJM116" s="573"/>
      <c r="OJN116" s="574"/>
      <c r="OJO116" s="575"/>
      <c r="OJP116" s="583"/>
      <c r="OJQ116" s="590"/>
      <c r="OJR116" s="589"/>
      <c r="OJS116" s="585"/>
      <c r="OJT116" s="577"/>
      <c r="OJU116" s="304"/>
      <c r="OJV116" s="572"/>
      <c r="OJW116" s="573"/>
      <c r="OJX116" s="574"/>
      <c r="OJY116" s="575"/>
      <c r="OJZ116" s="583"/>
      <c r="OKA116" s="590"/>
      <c r="OKB116" s="589"/>
      <c r="OKC116" s="585"/>
      <c r="OKD116" s="577"/>
      <c r="OKE116" s="304"/>
      <c r="OKF116" s="572"/>
      <c r="OKG116" s="573"/>
      <c r="OKH116" s="574"/>
      <c r="OKI116" s="575"/>
      <c r="OKJ116" s="583"/>
      <c r="OKK116" s="590"/>
      <c r="OKL116" s="589"/>
      <c r="OKM116" s="585"/>
      <c r="OKN116" s="577"/>
      <c r="OKO116" s="304"/>
      <c r="OKP116" s="572"/>
      <c r="OKQ116" s="573"/>
      <c r="OKR116" s="574"/>
      <c r="OKS116" s="575"/>
      <c r="OKT116" s="583"/>
      <c r="OKU116" s="590"/>
      <c r="OKV116" s="589"/>
      <c r="OKW116" s="585"/>
      <c r="OKX116" s="577"/>
      <c r="OKY116" s="304"/>
      <c r="OKZ116" s="572"/>
      <c r="OLA116" s="573"/>
      <c r="OLB116" s="574"/>
      <c r="OLC116" s="575"/>
      <c r="OLD116" s="583"/>
      <c r="OLE116" s="590"/>
      <c r="OLF116" s="589"/>
      <c r="OLG116" s="585"/>
      <c r="OLH116" s="577"/>
      <c r="OLI116" s="304"/>
      <c r="OLJ116" s="572"/>
      <c r="OLK116" s="573"/>
      <c r="OLL116" s="574"/>
      <c r="OLM116" s="575"/>
      <c r="OLN116" s="583"/>
      <c r="OLO116" s="590"/>
      <c r="OLP116" s="589"/>
      <c r="OLQ116" s="585"/>
      <c r="OLR116" s="577"/>
      <c r="OLS116" s="304"/>
      <c r="OLT116" s="572"/>
      <c r="OLU116" s="573"/>
      <c r="OLV116" s="574"/>
      <c r="OLW116" s="575"/>
      <c r="OLX116" s="583"/>
      <c r="OLY116" s="590"/>
      <c r="OLZ116" s="589"/>
      <c r="OMA116" s="585"/>
      <c r="OMB116" s="577"/>
      <c r="OMC116" s="304"/>
      <c r="OMD116" s="572"/>
      <c r="OME116" s="573"/>
      <c r="OMF116" s="574"/>
      <c r="OMG116" s="575"/>
      <c r="OMH116" s="583"/>
      <c r="OMI116" s="590"/>
      <c r="OMJ116" s="589"/>
      <c r="OMK116" s="585"/>
      <c r="OML116" s="577"/>
      <c r="OMM116" s="304"/>
      <c r="OMN116" s="572"/>
      <c r="OMO116" s="573"/>
      <c r="OMP116" s="574"/>
      <c r="OMQ116" s="575"/>
      <c r="OMR116" s="583"/>
      <c r="OMS116" s="590"/>
      <c r="OMT116" s="589"/>
      <c r="OMU116" s="585"/>
      <c r="OMV116" s="577"/>
      <c r="OMW116" s="304"/>
      <c r="OMX116" s="572"/>
      <c r="OMY116" s="573"/>
      <c r="OMZ116" s="574"/>
      <c r="ONA116" s="575"/>
      <c r="ONB116" s="583"/>
      <c r="ONC116" s="590"/>
      <c r="OND116" s="589"/>
      <c r="ONE116" s="585"/>
      <c r="ONF116" s="577"/>
      <c r="ONG116" s="304"/>
      <c r="ONH116" s="572"/>
      <c r="ONI116" s="573"/>
      <c r="ONJ116" s="574"/>
      <c r="ONK116" s="575"/>
      <c r="ONL116" s="583"/>
      <c r="ONM116" s="590"/>
      <c r="ONN116" s="589"/>
      <c r="ONO116" s="585"/>
      <c r="ONP116" s="577"/>
      <c r="ONQ116" s="304"/>
      <c r="ONR116" s="572"/>
      <c r="ONS116" s="573"/>
      <c r="ONT116" s="574"/>
      <c r="ONU116" s="575"/>
      <c r="ONV116" s="583"/>
      <c r="ONW116" s="590"/>
      <c r="ONX116" s="589"/>
      <c r="ONY116" s="585"/>
      <c r="ONZ116" s="577"/>
      <c r="OOA116" s="304"/>
      <c r="OOB116" s="572"/>
      <c r="OOC116" s="573"/>
      <c r="OOD116" s="574"/>
      <c r="OOE116" s="575"/>
      <c r="OOF116" s="583"/>
      <c r="OOG116" s="590"/>
      <c r="OOH116" s="589"/>
      <c r="OOI116" s="585"/>
      <c r="OOJ116" s="577"/>
      <c r="OOK116" s="304"/>
      <c r="OOL116" s="572"/>
      <c r="OOM116" s="573"/>
      <c r="OON116" s="574"/>
      <c r="OOO116" s="575"/>
      <c r="OOP116" s="583"/>
      <c r="OOQ116" s="590"/>
      <c r="OOR116" s="589"/>
      <c r="OOS116" s="585"/>
      <c r="OOT116" s="577"/>
      <c r="OOU116" s="304"/>
      <c r="OOV116" s="572"/>
      <c r="OOW116" s="573"/>
      <c r="OOX116" s="574"/>
      <c r="OOY116" s="575"/>
      <c r="OOZ116" s="583"/>
      <c r="OPA116" s="590"/>
      <c r="OPB116" s="589"/>
      <c r="OPC116" s="585"/>
      <c r="OPD116" s="577"/>
      <c r="OPE116" s="304"/>
      <c r="OPF116" s="572"/>
      <c r="OPG116" s="573"/>
      <c r="OPH116" s="574"/>
      <c r="OPI116" s="575"/>
      <c r="OPJ116" s="583"/>
      <c r="OPK116" s="590"/>
      <c r="OPL116" s="589"/>
      <c r="OPM116" s="585"/>
      <c r="OPN116" s="577"/>
      <c r="OPO116" s="304"/>
      <c r="OPP116" s="572"/>
      <c r="OPQ116" s="573"/>
      <c r="OPR116" s="574"/>
      <c r="OPS116" s="575"/>
      <c r="OPT116" s="583"/>
      <c r="OPU116" s="590"/>
      <c r="OPV116" s="589"/>
      <c r="OPW116" s="585"/>
      <c r="OPX116" s="577"/>
      <c r="OPY116" s="304"/>
      <c r="OPZ116" s="572"/>
      <c r="OQA116" s="573"/>
      <c r="OQB116" s="574"/>
      <c r="OQC116" s="575"/>
      <c r="OQD116" s="583"/>
      <c r="OQE116" s="590"/>
      <c r="OQF116" s="589"/>
      <c r="OQG116" s="585"/>
      <c r="OQH116" s="577"/>
      <c r="OQI116" s="304"/>
      <c r="OQJ116" s="572"/>
      <c r="OQK116" s="573"/>
      <c r="OQL116" s="574"/>
      <c r="OQM116" s="575"/>
      <c r="OQN116" s="583"/>
      <c r="OQO116" s="590"/>
      <c r="OQP116" s="589"/>
      <c r="OQQ116" s="585"/>
      <c r="OQR116" s="577"/>
      <c r="OQS116" s="304"/>
      <c r="OQT116" s="572"/>
      <c r="OQU116" s="573"/>
      <c r="OQV116" s="574"/>
      <c r="OQW116" s="575"/>
      <c r="OQX116" s="583"/>
      <c r="OQY116" s="590"/>
      <c r="OQZ116" s="589"/>
      <c r="ORA116" s="585"/>
      <c r="ORB116" s="577"/>
      <c r="ORC116" s="304"/>
      <c r="ORD116" s="572"/>
      <c r="ORE116" s="573"/>
      <c r="ORF116" s="574"/>
      <c r="ORG116" s="575"/>
      <c r="ORH116" s="583"/>
      <c r="ORI116" s="590"/>
      <c r="ORJ116" s="589"/>
      <c r="ORK116" s="585"/>
      <c r="ORL116" s="577"/>
      <c r="ORM116" s="304"/>
      <c r="ORN116" s="572"/>
      <c r="ORO116" s="573"/>
      <c r="ORP116" s="574"/>
      <c r="ORQ116" s="575"/>
      <c r="ORR116" s="583"/>
      <c r="ORS116" s="590"/>
      <c r="ORT116" s="589"/>
      <c r="ORU116" s="585"/>
      <c r="ORV116" s="577"/>
      <c r="ORW116" s="304"/>
      <c r="ORX116" s="572"/>
      <c r="ORY116" s="573"/>
      <c r="ORZ116" s="574"/>
      <c r="OSA116" s="575"/>
      <c r="OSB116" s="583"/>
      <c r="OSC116" s="590"/>
      <c r="OSD116" s="589"/>
      <c r="OSE116" s="585"/>
      <c r="OSF116" s="577"/>
      <c r="OSG116" s="304"/>
      <c r="OSH116" s="572"/>
      <c r="OSI116" s="573"/>
      <c r="OSJ116" s="574"/>
      <c r="OSK116" s="575"/>
      <c r="OSL116" s="583"/>
      <c r="OSM116" s="590"/>
      <c r="OSN116" s="589"/>
      <c r="OSO116" s="585"/>
      <c r="OSP116" s="577"/>
      <c r="OSQ116" s="304"/>
      <c r="OSR116" s="572"/>
      <c r="OSS116" s="573"/>
      <c r="OST116" s="574"/>
      <c r="OSU116" s="575"/>
      <c r="OSV116" s="583"/>
      <c r="OSW116" s="590"/>
      <c r="OSX116" s="589"/>
      <c r="OSY116" s="585"/>
      <c r="OSZ116" s="577"/>
      <c r="OTA116" s="304"/>
      <c r="OTB116" s="572"/>
      <c r="OTC116" s="573"/>
      <c r="OTD116" s="574"/>
      <c r="OTE116" s="575"/>
      <c r="OTF116" s="583"/>
      <c r="OTG116" s="590"/>
      <c r="OTH116" s="589"/>
      <c r="OTI116" s="585"/>
      <c r="OTJ116" s="577"/>
      <c r="OTK116" s="304"/>
      <c r="OTL116" s="572"/>
      <c r="OTM116" s="573"/>
      <c r="OTN116" s="574"/>
      <c r="OTO116" s="575"/>
      <c r="OTP116" s="583"/>
      <c r="OTQ116" s="590"/>
      <c r="OTR116" s="589"/>
      <c r="OTS116" s="585"/>
      <c r="OTT116" s="577"/>
      <c r="OTU116" s="304"/>
      <c r="OTV116" s="572"/>
      <c r="OTW116" s="573"/>
      <c r="OTX116" s="574"/>
      <c r="OTY116" s="575"/>
      <c r="OTZ116" s="583"/>
      <c r="OUA116" s="590"/>
      <c r="OUB116" s="589"/>
      <c r="OUC116" s="585"/>
      <c r="OUD116" s="577"/>
      <c r="OUE116" s="304"/>
      <c r="OUF116" s="572"/>
      <c r="OUG116" s="573"/>
      <c r="OUH116" s="574"/>
      <c r="OUI116" s="575"/>
      <c r="OUJ116" s="583"/>
      <c r="OUK116" s="590"/>
      <c r="OUL116" s="589"/>
      <c r="OUM116" s="585"/>
      <c r="OUN116" s="577"/>
      <c r="OUO116" s="304"/>
      <c r="OUP116" s="572"/>
      <c r="OUQ116" s="573"/>
      <c r="OUR116" s="574"/>
      <c r="OUS116" s="575"/>
      <c r="OUT116" s="583"/>
      <c r="OUU116" s="590"/>
      <c r="OUV116" s="589"/>
      <c r="OUW116" s="585"/>
      <c r="OUX116" s="577"/>
      <c r="OUY116" s="304"/>
      <c r="OUZ116" s="572"/>
      <c r="OVA116" s="573"/>
      <c r="OVB116" s="574"/>
      <c r="OVC116" s="575"/>
      <c r="OVD116" s="583"/>
      <c r="OVE116" s="590"/>
      <c r="OVF116" s="589"/>
      <c r="OVG116" s="585"/>
      <c r="OVH116" s="577"/>
      <c r="OVI116" s="304"/>
      <c r="OVJ116" s="572"/>
      <c r="OVK116" s="573"/>
      <c r="OVL116" s="574"/>
      <c r="OVM116" s="575"/>
      <c r="OVN116" s="583"/>
      <c r="OVO116" s="590"/>
      <c r="OVP116" s="589"/>
      <c r="OVQ116" s="585"/>
      <c r="OVR116" s="577"/>
      <c r="OVS116" s="304"/>
      <c r="OVT116" s="572"/>
      <c r="OVU116" s="573"/>
      <c r="OVV116" s="574"/>
      <c r="OVW116" s="575"/>
      <c r="OVX116" s="583"/>
      <c r="OVY116" s="590"/>
      <c r="OVZ116" s="589"/>
      <c r="OWA116" s="585"/>
      <c r="OWB116" s="577"/>
      <c r="OWC116" s="304"/>
      <c r="OWD116" s="572"/>
      <c r="OWE116" s="573"/>
      <c r="OWF116" s="574"/>
      <c r="OWG116" s="575"/>
      <c r="OWH116" s="583"/>
      <c r="OWI116" s="590"/>
      <c r="OWJ116" s="589"/>
      <c r="OWK116" s="585"/>
      <c r="OWL116" s="577"/>
      <c r="OWM116" s="304"/>
      <c r="OWN116" s="572"/>
      <c r="OWO116" s="573"/>
      <c r="OWP116" s="574"/>
      <c r="OWQ116" s="575"/>
      <c r="OWR116" s="583"/>
      <c r="OWS116" s="590"/>
      <c r="OWT116" s="589"/>
      <c r="OWU116" s="585"/>
      <c r="OWV116" s="577"/>
      <c r="OWW116" s="304"/>
      <c r="OWX116" s="572"/>
      <c r="OWY116" s="573"/>
      <c r="OWZ116" s="574"/>
      <c r="OXA116" s="575"/>
      <c r="OXB116" s="583"/>
      <c r="OXC116" s="590"/>
      <c r="OXD116" s="589"/>
      <c r="OXE116" s="585"/>
      <c r="OXF116" s="577"/>
      <c r="OXG116" s="304"/>
      <c r="OXH116" s="572"/>
      <c r="OXI116" s="573"/>
      <c r="OXJ116" s="574"/>
      <c r="OXK116" s="575"/>
      <c r="OXL116" s="583"/>
      <c r="OXM116" s="590"/>
      <c r="OXN116" s="589"/>
      <c r="OXO116" s="585"/>
      <c r="OXP116" s="577"/>
      <c r="OXQ116" s="304"/>
      <c r="OXR116" s="572"/>
      <c r="OXS116" s="573"/>
      <c r="OXT116" s="574"/>
      <c r="OXU116" s="575"/>
      <c r="OXV116" s="583"/>
      <c r="OXW116" s="590"/>
      <c r="OXX116" s="589"/>
      <c r="OXY116" s="585"/>
      <c r="OXZ116" s="577"/>
      <c r="OYA116" s="304"/>
      <c r="OYB116" s="572"/>
      <c r="OYC116" s="573"/>
      <c r="OYD116" s="574"/>
      <c r="OYE116" s="575"/>
      <c r="OYF116" s="583"/>
      <c r="OYG116" s="590"/>
      <c r="OYH116" s="589"/>
      <c r="OYI116" s="585"/>
      <c r="OYJ116" s="577"/>
      <c r="OYK116" s="304"/>
      <c r="OYL116" s="572"/>
      <c r="OYM116" s="573"/>
      <c r="OYN116" s="574"/>
      <c r="OYO116" s="575"/>
      <c r="OYP116" s="583"/>
      <c r="OYQ116" s="590"/>
      <c r="OYR116" s="589"/>
      <c r="OYS116" s="585"/>
      <c r="OYT116" s="577"/>
      <c r="OYU116" s="304"/>
      <c r="OYV116" s="572"/>
      <c r="OYW116" s="573"/>
      <c r="OYX116" s="574"/>
      <c r="OYY116" s="575"/>
      <c r="OYZ116" s="583"/>
      <c r="OZA116" s="590"/>
      <c r="OZB116" s="589"/>
      <c r="OZC116" s="585"/>
      <c r="OZD116" s="577"/>
      <c r="OZE116" s="304"/>
      <c r="OZF116" s="572"/>
      <c r="OZG116" s="573"/>
      <c r="OZH116" s="574"/>
      <c r="OZI116" s="575"/>
      <c r="OZJ116" s="583"/>
      <c r="OZK116" s="590"/>
      <c r="OZL116" s="589"/>
      <c r="OZM116" s="585"/>
      <c r="OZN116" s="577"/>
      <c r="OZO116" s="304"/>
      <c r="OZP116" s="572"/>
      <c r="OZQ116" s="573"/>
      <c r="OZR116" s="574"/>
      <c r="OZS116" s="575"/>
      <c r="OZT116" s="583"/>
      <c r="OZU116" s="590"/>
      <c r="OZV116" s="589"/>
      <c r="OZW116" s="585"/>
      <c r="OZX116" s="577"/>
      <c r="OZY116" s="304"/>
      <c r="OZZ116" s="572"/>
      <c r="PAA116" s="573"/>
      <c r="PAB116" s="574"/>
      <c r="PAC116" s="575"/>
      <c r="PAD116" s="583"/>
      <c r="PAE116" s="590"/>
      <c r="PAF116" s="589"/>
      <c r="PAG116" s="585"/>
      <c r="PAH116" s="577"/>
      <c r="PAI116" s="304"/>
      <c r="PAJ116" s="572"/>
      <c r="PAK116" s="573"/>
      <c r="PAL116" s="574"/>
      <c r="PAM116" s="575"/>
      <c r="PAN116" s="583"/>
      <c r="PAO116" s="590"/>
      <c r="PAP116" s="589"/>
      <c r="PAQ116" s="585"/>
      <c r="PAR116" s="577"/>
      <c r="PAS116" s="304"/>
      <c r="PAT116" s="572"/>
      <c r="PAU116" s="573"/>
      <c r="PAV116" s="574"/>
      <c r="PAW116" s="575"/>
      <c r="PAX116" s="583"/>
      <c r="PAY116" s="590"/>
      <c r="PAZ116" s="589"/>
      <c r="PBA116" s="585"/>
      <c r="PBB116" s="577"/>
      <c r="PBC116" s="304"/>
      <c r="PBD116" s="572"/>
      <c r="PBE116" s="573"/>
      <c r="PBF116" s="574"/>
      <c r="PBG116" s="575"/>
      <c r="PBH116" s="583"/>
      <c r="PBI116" s="590"/>
      <c r="PBJ116" s="589"/>
      <c r="PBK116" s="585"/>
      <c r="PBL116" s="577"/>
      <c r="PBM116" s="304"/>
      <c r="PBN116" s="572"/>
      <c r="PBO116" s="573"/>
      <c r="PBP116" s="574"/>
      <c r="PBQ116" s="575"/>
      <c r="PBR116" s="583"/>
      <c r="PBS116" s="590"/>
      <c r="PBT116" s="589"/>
      <c r="PBU116" s="585"/>
      <c r="PBV116" s="577"/>
      <c r="PBW116" s="304"/>
      <c r="PBX116" s="572"/>
      <c r="PBY116" s="573"/>
      <c r="PBZ116" s="574"/>
      <c r="PCA116" s="575"/>
      <c r="PCB116" s="583"/>
      <c r="PCC116" s="590"/>
      <c r="PCD116" s="589"/>
      <c r="PCE116" s="585"/>
      <c r="PCF116" s="577"/>
      <c r="PCG116" s="304"/>
      <c r="PCH116" s="572"/>
      <c r="PCI116" s="573"/>
      <c r="PCJ116" s="574"/>
      <c r="PCK116" s="575"/>
      <c r="PCL116" s="583"/>
      <c r="PCM116" s="590"/>
      <c r="PCN116" s="589"/>
      <c r="PCO116" s="585"/>
      <c r="PCP116" s="577"/>
      <c r="PCQ116" s="304"/>
      <c r="PCR116" s="572"/>
      <c r="PCS116" s="573"/>
      <c r="PCT116" s="574"/>
      <c r="PCU116" s="575"/>
      <c r="PCV116" s="583"/>
      <c r="PCW116" s="590"/>
      <c r="PCX116" s="589"/>
      <c r="PCY116" s="585"/>
      <c r="PCZ116" s="577"/>
      <c r="PDA116" s="304"/>
      <c r="PDB116" s="572"/>
      <c r="PDC116" s="573"/>
      <c r="PDD116" s="574"/>
      <c r="PDE116" s="575"/>
      <c r="PDF116" s="583"/>
      <c r="PDG116" s="590"/>
      <c r="PDH116" s="589"/>
      <c r="PDI116" s="585"/>
      <c r="PDJ116" s="577"/>
      <c r="PDK116" s="304"/>
      <c r="PDL116" s="572"/>
      <c r="PDM116" s="573"/>
      <c r="PDN116" s="574"/>
      <c r="PDO116" s="575"/>
      <c r="PDP116" s="583"/>
      <c r="PDQ116" s="590"/>
      <c r="PDR116" s="589"/>
      <c r="PDS116" s="585"/>
      <c r="PDT116" s="577"/>
      <c r="PDU116" s="304"/>
      <c r="PDV116" s="572"/>
      <c r="PDW116" s="573"/>
      <c r="PDX116" s="574"/>
      <c r="PDY116" s="575"/>
      <c r="PDZ116" s="583"/>
      <c r="PEA116" s="590"/>
      <c r="PEB116" s="589"/>
      <c r="PEC116" s="585"/>
      <c r="PED116" s="577"/>
      <c r="PEE116" s="304"/>
      <c r="PEF116" s="572"/>
      <c r="PEG116" s="573"/>
      <c r="PEH116" s="574"/>
      <c r="PEI116" s="575"/>
      <c r="PEJ116" s="583"/>
      <c r="PEK116" s="590"/>
      <c r="PEL116" s="589"/>
      <c r="PEM116" s="585"/>
      <c r="PEN116" s="577"/>
      <c r="PEO116" s="304"/>
      <c r="PEP116" s="572"/>
      <c r="PEQ116" s="573"/>
      <c r="PER116" s="574"/>
      <c r="PES116" s="575"/>
      <c r="PET116" s="583"/>
      <c r="PEU116" s="590"/>
      <c r="PEV116" s="589"/>
      <c r="PEW116" s="585"/>
      <c r="PEX116" s="577"/>
      <c r="PEY116" s="304"/>
      <c r="PEZ116" s="572"/>
      <c r="PFA116" s="573"/>
      <c r="PFB116" s="574"/>
      <c r="PFC116" s="575"/>
      <c r="PFD116" s="583"/>
      <c r="PFE116" s="590"/>
      <c r="PFF116" s="589"/>
      <c r="PFG116" s="585"/>
      <c r="PFH116" s="577"/>
      <c r="PFI116" s="304"/>
      <c r="PFJ116" s="572"/>
      <c r="PFK116" s="573"/>
      <c r="PFL116" s="574"/>
      <c r="PFM116" s="575"/>
      <c r="PFN116" s="583"/>
      <c r="PFO116" s="590"/>
      <c r="PFP116" s="589"/>
      <c r="PFQ116" s="585"/>
      <c r="PFR116" s="577"/>
      <c r="PFS116" s="304"/>
      <c r="PFT116" s="572"/>
      <c r="PFU116" s="573"/>
      <c r="PFV116" s="574"/>
      <c r="PFW116" s="575"/>
      <c r="PFX116" s="583"/>
      <c r="PFY116" s="590"/>
      <c r="PFZ116" s="589"/>
      <c r="PGA116" s="585"/>
      <c r="PGB116" s="577"/>
      <c r="PGC116" s="304"/>
      <c r="PGD116" s="572"/>
      <c r="PGE116" s="573"/>
      <c r="PGF116" s="574"/>
      <c r="PGG116" s="575"/>
      <c r="PGH116" s="583"/>
      <c r="PGI116" s="590"/>
      <c r="PGJ116" s="589"/>
      <c r="PGK116" s="585"/>
      <c r="PGL116" s="577"/>
      <c r="PGM116" s="304"/>
      <c r="PGN116" s="572"/>
      <c r="PGO116" s="573"/>
      <c r="PGP116" s="574"/>
      <c r="PGQ116" s="575"/>
      <c r="PGR116" s="583"/>
      <c r="PGS116" s="590"/>
      <c r="PGT116" s="589"/>
      <c r="PGU116" s="585"/>
      <c r="PGV116" s="577"/>
      <c r="PGW116" s="304"/>
      <c r="PGX116" s="572"/>
      <c r="PGY116" s="573"/>
      <c r="PGZ116" s="574"/>
      <c r="PHA116" s="575"/>
      <c r="PHB116" s="583"/>
      <c r="PHC116" s="590"/>
      <c r="PHD116" s="589"/>
      <c r="PHE116" s="585"/>
      <c r="PHF116" s="577"/>
      <c r="PHG116" s="304"/>
      <c r="PHH116" s="572"/>
      <c r="PHI116" s="573"/>
      <c r="PHJ116" s="574"/>
      <c r="PHK116" s="575"/>
      <c r="PHL116" s="583"/>
      <c r="PHM116" s="590"/>
      <c r="PHN116" s="589"/>
      <c r="PHO116" s="585"/>
      <c r="PHP116" s="577"/>
      <c r="PHQ116" s="304"/>
      <c r="PHR116" s="572"/>
      <c r="PHS116" s="573"/>
      <c r="PHT116" s="574"/>
      <c r="PHU116" s="575"/>
      <c r="PHV116" s="583"/>
      <c r="PHW116" s="590"/>
      <c r="PHX116" s="589"/>
      <c r="PHY116" s="585"/>
      <c r="PHZ116" s="577"/>
      <c r="PIA116" s="304"/>
      <c r="PIB116" s="572"/>
      <c r="PIC116" s="573"/>
      <c r="PID116" s="574"/>
      <c r="PIE116" s="575"/>
      <c r="PIF116" s="583"/>
      <c r="PIG116" s="590"/>
      <c r="PIH116" s="589"/>
      <c r="PII116" s="585"/>
      <c r="PIJ116" s="577"/>
      <c r="PIK116" s="304"/>
      <c r="PIL116" s="572"/>
      <c r="PIM116" s="573"/>
      <c r="PIN116" s="574"/>
      <c r="PIO116" s="575"/>
      <c r="PIP116" s="583"/>
      <c r="PIQ116" s="590"/>
      <c r="PIR116" s="589"/>
      <c r="PIS116" s="585"/>
      <c r="PIT116" s="577"/>
      <c r="PIU116" s="304"/>
      <c r="PIV116" s="572"/>
      <c r="PIW116" s="573"/>
      <c r="PIX116" s="574"/>
      <c r="PIY116" s="575"/>
      <c r="PIZ116" s="583"/>
      <c r="PJA116" s="590"/>
      <c r="PJB116" s="589"/>
      <c r="PJC116" s="585"/>
      <c r="PJD116" s="577"/>
      <c r="PJE116" s="304"/>
      <c r="PJF116" s="572"/>
      <c r="PJG116" s="573"/>
      <c r="PJH116" s="574"/>
      <c r="PJI116" s="575"/>
      <c r="PJJ116" s="583"/>
      <c r="PJK116" s="590"/>
      <c r="PJL116" s="589"/>
      <c r="PJM116" s="585"/>
      <c r="PJN116" s="577"/>
      <c r="PJO116" s="304"/>
      <c r="PJP116" s="572"/>
      <c r="PJQ116" s="573"/>
      <c r="PJR116" s="574"/>
      <c r="PJS116" s="575"/>
      <c r="PJT116" s="583"/>
      <c r="PJU116" s="590"/>
      <c r="PJV116" s="589"/>
      <c r="PJW116" s="585"/>
      <c r="PJX116" s="577"/>
      <c r="PJY116" s="304"/>
      <c r="PJZ116" s="572"/>
      <c r="PKA116" s="573"/>
      <c r="PKB116" s="574"/>
      <c r="PKC116" s="575"/>
      <c r="PKD116" s="583"/>
      <c r="PKE116" s="590"/>
      <c r="PKF116" s="589"/>
      <c r="PKG116" s="585"/>
      <c r="PKH116" s="577"/>
      <c r="PKI116" s="304"/>
      <c r="PKJ116" s="572"/>
      <c r="PKK116" s="573"/>
      <c r="PKL116" s="574"/>
      <c r="PKM116" s="575"/>
      <c r="PKN116" s="583"/>
      <c r="PKO116" s="590"/>
      <c r="PKP116" s="589"/>
      <c r="PKQ116" s="585"/>
      <c r="PKR116" s="577"/>
      <c r="PKS116" s="304"/>
      <c r="PKT116" s="572"/>
      <c r="PKU116" s="573"/>
      <c r="PKV116" s="574"/>
      <c r="PKW116" s="575"/>
      <c r="PKX116" s="583"/>
      <c r="PKY116" s="590"/>
      <c r="PKZ116" s="589"/>
      <c r="PLA116" s="585"/>
      <c r="PLB116" s="577"/>
      <c r="PLC116" s="304"/>
      <c r="PLD116" s="572"/>
      <c r="PLE116" s="573"/>
      <c r="PLF116" s="574"/>
      <c r="PLG116" s="575"/>
      <c r="PLH116" s="583"/>
      <c r="PLI116" s="590"/>
      <c r="PLJ116" s="589"/>
      <c r="PLK116" s="585"/>
      <c r="PLL116" s="577"/>
      <c r="PLM116" s="304"/>
      <c r="PLN116" s="572"/>
      <c r="PLO116" s="573"/>
      <c r="PLP116" s="574"/>
      <c r="PLQ116" s="575"/>
      <c r="PLR116" s="583"/>
      <c r="PLS116" s="590"/>
      <c r="PLT116" s="589"/>
      <c r="PLU116" s="585"/>
      <c r="PLV116" s="577"/>
      <c r="PLW116" s="304"/>
      <c r="PLX116" s="572"/>
      <c r="PLY116" s="573"/>
      <c r="PLZ116" s="574"/>
      <c r="PMA116" s="575"/>
      <c r="PMB116" s="583"/>
      <c r="PMC116" s="590"/>
      <c r="PMD116" s="589"/>
      <c r="PME116" s="585"/>
      <c r="PMF116" s="577"/>
      <c r="PMG116" s="304"/>
      <c r="PMH116" s="572"/>
      <c r="PMI116" s="573"/>
      <c r="PMJ116" s="574"/>
      <c r="PMK116" s="575"/>
      <c r="PML116" s="583"/>
      <c r="PMM116" s="590"/>
      <c r="PMN116" s="589"/>
      <c r="PMO116" s="585"/>
      <c r="PMP116" s="577"/>
      <c r="PMQ116" s="304"/>
      <c r="PMR116" s="572"/>
      <c r="PMS116" s="573"/>
      <c r="PMT116" s="574"/>
      <c r="PMU116" s="575"/>
      <c r="PMV116" s="583"/>
      <c r="PMW116" s="590"/>
      <c r="PMX116" s="589"/>
      <c r="PMY116" s="585"/>
      <c r="PMZ116" s="577"/>
      <c r="PNA116" s="304"/>
      <c r="PNB116" s="572"/>
      <c r="PNC116" s="573"/>
      <c r="PND116" s="574"/>
      <c r="PNE116" s="575"/>
      <c r="PNF116" s="583"/>
      <c r="PNG116" s="590"/>
      <c r="PNH116" s="589"/>
      <c r="PNI116" s="585"/>
      <c r="PNJ116" s="577"/>
      <c r="PNK116" s="304"/>
      <c r="PNL116" s="572"/>
      <c r="PNM116" s="573"/>
      <c r="PNN116" s="574"/>
      <c r="PNO116" s="575"/>
      <c r="PNP116" s="583"/>
      <c r="PNQ116" s="590"/>
      <c r="PNR116" s="589"/>
      <c r="PNS116" s="585"/>
      <c r="PNT116" s="577"/>
      <c r="PNU116" s="304"/>
      <c r="PNV116" s="572"/>
      <c r="PNW116" s="573"/>
      <c r="PNX116" s="574"/>
      <c r="PNY116" s="575"/>
      <c r="PNZ116" s="583"/>
      <c r="POA116" s="590"/>
      <c r="POB116" s="589"/>
      <c r="POC116" s="585"/>
      <c r="POD116" s="577"/>
      <c r="POE116" s="304"/>
      <c r="POF116" s="572"/>
      <c r="POG116" s="573"/>
      <c r="POH116" s="574"/>
      <c r="POI116" s="575"/>
      <c r="POJ116" s="583"/>
      <c r="POK116" s="590"/>
      <c r="POL116" s="589"/>
      <c r="POM116" s="585"/>
      <c r="PON116" s="577"/>
      <c r="POO116" s="304"/>
      <c r="POP116" s="572"/>
      <c r="POQ116" s="573"/>
      <c r="POR116" s="574"/>
      <c r="POS116" s="575"/>
      <c r="POT116" s="583"/>
      <c r="POU116" s="590"/>
      <c r="POV116" s="589"/>
      <c r="POW116" s="585"/>
      <c r="POX116" s="577"/>
      <c r="POY116" s="304"/>
      <c r="POZ116" s="572"/>
      <c r="PPA116" s="573"/>
      <c r="PPB116" s="574"/>
      <c r="PPC116" s="575"/>
      <c r="PPD116" s="583"/>
      <c r="PPE116" s="590"/>
      <c r="PPF116" s="589"/>
      <c r="PPG116" s="585"/>
      <c r="PPH116" s="577"/>
      <c r="PPI116" s="304"/>
      <c r="PPJ116" s="572"/>
      <c r="PPK116" s="573"/>
      <c r="PPL116" s="574"/>
      <c r="PPM116" s="575"/>
      <c r="PPN116" s="583"/>
      <c r="PPO116" s="590"/>
      <c r="PPP116" s="589"/>
      <c r="PPQ116" s="585"/>
      <c r="PPR116" s="577"/>
      <c r="PPS116" s="304"/>
      <c r="PPT116" s="572"/>
      <c r="PPU116" s="573"/>
      <c r="PPV116" s="574"/>
      <c r="PPW116" s="575"/>
      <c r="PPX116" s="583"/>
      <c r="PPY116" s="590"/>
      <c r="PPZ116" s="589"/>
      <c r="PQA116" s="585"/>
      <c r="PQB116" s="577"/>
      <c r="PQC116" s="304"/>
      <c r="PQD116" s="572"/>
      <c r="PQE116" s="573"/>
      <c r="PQF116" s="574"/>
      <c r="PQG116" s="575"/>
      <c r="PQH116" s="583"/>
      <c r="PQI116" s="590"/>
      <c r="PQJ116" s="589"/>
      <c r="PQK116" s="585"/>
      <c r="PQL116" s="577"/>
      <c r="PQM116" s="304"/>
      <c r="PQN116" s="572"/>
      <c r="PQO116" s="573"/>
      <c r="PQP116" s="574"/>
      <c r="PQQ116" s="575"/>
      <c r="PQR116" s="583"/>
      <c r="PQS116" s="590"/>
      <c r="PQT116" s="589"/>
      <c r="PQU116" s="585"/>
      <c r="PQV116" s="577"/>
      <c r="PQW116" s="304"/>
      <c r="PQX116" s="572"/>
      <c r="PQY116" s="573"/>
      <c r="PQZ116" s="574"/>
      <c r="PRA116" s="575"/>
      <c r="PRB116" s="583"/>
      <c r="PRC116" s="590"/>
      <c r="PRD116" s="589"/>
      <c r="PRE116" s="585"/>
      <c r="PRF116" s="577"/>
      <c r="PRG116" s="304"/>
      <c r="PRH116" s="572"/>
      <c r="PRI116" s="573"/>
      <c r="PRJ116" s="574"/>
      <c r="PRK116" s="575"/>
      <c r="PRL116" s="583"/>
      <c r="PRM116" s="590"/>
      <c r="PRN116" s="589"/>
      <c r="PRO116" s="585"/>
      <c r="PRP116" s="577"/>
      <c r="PRQ116" s="304"/>
      <c r="PRR116" s="572"/>
      <c r="PRS116" s="573"/>
      <c r="PRT116" s="574"/>
      <c r="PRU116" s="575"/>
      <c r="PRV116" s="583"/>
      <c r="PRW116" s="590"/>
      <c r="PRX116" s="589"/>
      <c r="PRY116" s="585"/>
      <c r="PRZ116" s="577"/>
      <c r="PSA116" s="304"/>
      <c r="PSB116" s="572"/>
      <c r="PSC116" s="573"/>
      <c r="PSD116" s="574"/>
      <c r="PSE116" s="575"/>
      <c r="PSF116" s="583"/>
      <c r="PSG116" s="590"/>
      <c r="PSH116" s="589"/>
      <c r="PSI116" s="585"/>
      <c r="PSJ116" s="577"/>
      <c r="PSK116" s="304"/>
      <c r="PSL116" s="572"/>
      <c r="PSM116" s="573"/>
      <c r="PSN116" s="574"/>
      <c r="PSO116" s="575"/>
      <c r="PSP116" s="583"/>
      <c r="PSQ116" s="590"/>
      <c r="PSR116" s="589"/>
      <c r="PSS116" s="585"/>
      <c r="PST116" s="577"/>
      <c r="PSU116" s="304"/>
      <c r="PSV116" s="572"/>
      <c r="PSW116" s="573"/>
      <c r="PSX116" s="574"/>
      <c r="PSY116" s="575"/>
      <c r="PSZ116" s="583"/>
      <c r="PTA116" s="590"/>
      <c r="PTB116" s="589"/>
      <c r="PTC116" s="585"/>
      <c r="PTD116" s="577"/>
      <c r="PTE116" s="304"/>
      <c r="PTF116" s="572"/>
      <c r="PTG116" s="573"/>
      <c r="PTH116" s="574"/>
      <c r="PTI116" s="575"/>
      <c r="PTJ116" s="583"/>
      <c r="PTK116" s="590"/>
      <c r="PTL116" s="589"/>
      <c r="PTM116" s="585"/>
      <c r="PTN116" s="577"/>
      <c r="PTO116" s="304"/>
      <c r="PTP116" s="572"/>
      <c r="PTQ116" s="573"/>
      <c r="PTR116" s="574"/>
      <c r="PTS116" s="575"/>
      <c r="PTT116" s="583"/>
      <c r="PTU116" s="590"/>
      <c r="PTV116" s="589"/>
      <c r="PTW116" s="585"/>
      <c r="PTX116" s="577"/>
      <c r="PTY116" s="304"/>
      <c r="PTZ116" s="572"/>
      <c r="PUA116" s="573"/>
      <c r="PUB116" s="574"/>
      <c r="PUC116" s="575"/>
      <c r="PUD116" s="583"/>
      <c r="PUE116" s="590"/>
      <c r="PUF116" s="589"/>
      <c r="PUG116" s="585"/>
      <c r="PUH116" s="577"/>
      <c r="PUI116" s="304"/>
      <c r="PUJ116" s="572"/>
      <c r="PUK116" s="573"/>
      <c r="PUL116" s="574"/>
      <c r="PUM116" s="575"/>
      <c r="PUN116" s="583"/>
      <c r="PUO116" s="590"/>
      <c r="PUP116" s="589"/>
      <c r="PUQ116" s="585"/>
      <c r="PUR116" s="577"/>
      <c r="PUS116" s="304"/>
      <c r="PUT116" s="572"/>
      <c r="PUU116" s="573"/>
      <c r="PUV116" s="574"/>
      <c r="PUW116" s="575"/>
      <c r="PUX116" s="583"/>
      <c r="PUY116" s="590"/>
      <c r="PUZ116" s="589"/>
      <c r="PVA116" s="585"/>
      <c r="PVB116" s="577"/>
      <c r="PVC116" s="304"/>
      <c r="PVD116" s="572"/>
      <c r="PVE116" s="573"/>
      <c r="PVF116" s="574"/>
      <c r="PVG116" s="575"/>
      <c r="PVH116" s="583"/>
      <c r="PVI116" s="590"/>
      <c r="PVJ116" s="589"/>
      <c r="PVK116" s="585"/>
      <c r="PVL116" s="577"/>
      <c r="PVM116" s="304"/>
      <c r="PVN116" s="572"/>
      <c r="PVO116" s="573"/>
      <c r="PVP116" s="574"/>
      <c r="PVQ116" s="575"/>
      <c r="PVR116" s="583"/>
      <c r="PVS116" s="590"/>
      <c r="PVT116" s="589"/>
      <c r="PVU116" s="585"/>
      <c r="PVV116" s="577"/>
      <c r="PVW116" s="304"/>
      <c r="PVX116" s="572"/>
      <c r="PVY116" s="573"/>
      <c r="PVZ116" s="574"/>
      <c r="PWA116" s="575"/>
      <c r="PWB116" s="583"/>
      <c r="PWC116" s="590"/>
      <c r="PWD116" s="589"/>
      <c r="PWE116" s="585"/>
      <c r="PWF116" s="577"/>
      <c r="PWG116" s="304"/>
      <c r="PWH116" s="572"/>
      <c r="PWI116" s="573"/>
      <c r="PWJ116" s="574"/>
      <c r="PWK116" s="575"/>
      <c r="PWL116" s="583"/>
      <c r="PWM116" s="590"/>
      <c r="PWN116" s="589"/>
      <c r="PWO116" s="585"/>
      <c r="PWP116" s="577"/>
      <c r="PWQ116" s="304"/>
      <c r="PWR116" s="572"/>
      <c r="PWS116" s="573"/>
      <c r="PWT116" s="574"/>
      <c r="PWU116" s="575"/>
      <c r="PWV116" s="583"/>
      <c r="PWW116" s="590"/>
      <c r="PWX116" s="589"/>
      <c r="PWY116" s="585"/>
      <c r="PWZ116" s="577"/>
      <c r="PXA116" s="304"/>
      <c r="PXB116" s="572"/>
      <c r="PXC116" s="573"/>
      <c r="PXD116" s="574"/>
      <c r="PXE116" s="575"/>
      <c r="PXF116" s="583"/>
      <c r="PXG116" s="590"/>
      <c r="PXH116" s="589"/>
      <c r="PXI116" s="585"/>
      <c r="PXJ116" s="577"/>
      <c r="PXK116" s="304"/>
      <c r="PXL116" s="572"/>
      <c r="PXM116" s="573"/>
      <c r="PXN116" s="574"/>
      <c r="PXO116" s="575"/>
      <c r="PXP116" s="583"/>
      <c r="PXQ116" s="590"/>
      <c r="PXR116" s="589"/>
      <c r="PXS116" s="585"/>
      <c r="PXT116" s="577"/>
      <c r="PXU116" s="304"/>
      <c r="PXV116" s="572"/>
      <c r="PXW116" s="573"/>
      <c r="PXX116" s="574"/>
      <c r="PXY116" s="575"/>
      <c r="PXZ116" s="583"/>
      <c r="PYA116" s="590"/>
      <c r="PYB116" s="589"/>
      <c r="PYC116" s="585"/>
      <c r="PYD116" s="577"/>
      <c r="PYE116" s="304"/>
      <c r="PYF116" s="572"/>
      <c r="PYG116" s="573"/>
      <c r="PYH116" s="574"/>
      <c r="PYI116" s="575"/>
      <c r="PYJ116" s="583"/>
      <c r="PYK116" s="590"/>
      <c r="PYL116" s="589"/>
      <c r="PYM116" s="585"/>
      <c r="PYN116" s="577"/>
      <c r="PYO116" s="304"/>
      <c r="PYP116" s="572"/>
      <c r="PYQ116" s="573"/>
      <c r="PYR116" s="574"/>
      <c r="PYS116" s="575"/>
      <c r="PYT116" s="583"/>
      <c r="PYU116" s="590"/>
      <c r="PYV116" s="589"/>
      <c r="PYW116" s="585"/>
      <c r="PYX116" s="577"/>
      <c r="PYY116" s="304"/>
      <c r="PYZ116" s="572"/>
      <c r="PZA116" s="573"/>
      <c r="PZB116" s="574"/>
      <c r="PZC116" s="575"/>
      <c r="PZD116" s="583"/>
      <c r="PZE116" s="590"/>
      <c r="PZF116" s="589"/>
      <c r="PZG116" s="585"/>
      <c r="PZH116" s="577"/>
      <c r="PZI116" s="304"/>
      <c r="PZJ116" s="572"/>
      <c r="PZK116" s="573"/>
      <c r="PZL116" s="574"/>
      <c r="PZM116" s="575"/>
      <c r="PZN116" s="583"/>
      <c r="PZO116" s="590"/>
      <c r="PZP116" s="589"/>
      <c r="PZQ116" s="585"/>
      <c r="PZR116" s="577"/>
      <c r="PZS116" s="304"/>
      <c r="PZT116" s="572"/>
      <c r="PZU116" s="573"/>
      <c r="PZV116" s="574"/>
      <c r="PZW116" s="575"/>
      <c r="PZX116" s="583"/>
      <c r="PZY116" s="590"/>
      <c r="PZZ116" s="589"/>
      <c r="QAA116" s="585"/>
      <c r="QAB116" s="577"/>
      <c r="QAC116" s="304"/>
      <c r="QAD116" s="572"/>
      <c r="QAE116" s="573"/>
      <c r="QAF116" s="574"/>
      <c r="QAG116" s="575"/>
      <c r="QAH116" s="583"/>
      <c r="QAI116" s="590"/>
      <c r="QAJ116" s="589"/>
      <c r="QAK116" s="585"/>
      <c r="QAL116" s="577"/>
      <c r="QAM116" s="304"/>
      <c r="QAN116" s="572"/>
      <c r="QAO116" s="573"/>
      <c r="QAP116" s="574"/>
      <c r="QAQ116" s="575"/>
      <c r="QAR116" s="583"/>
      <c r="QAS116" s="590"/>
      <c r="QAT116" s="589"/>
      <c r="QAU116" s="585"/>
      <c r="QAV116" s="577"/>
      <c r="QAW116" s="304"/>
      <c r="QAX116" s="572"/>
      <c r="QAY116" s="573"/>
      <c r="QAZ116" s="574"/>
      <c r="QBA116" s="575"/>
      <c r="QBB116" s="583"/>
      <c r="QBC116" s="590"/>
      <c r="QBD116" s="589"/>
      <c r="QBE116" s="585"/>
      <c r="QBF116" s="577"/>
      <c r="QBG116" s="304"/>
      <c r="QBH116" s="572"/>
      <c r="QBI116" s="573"/>
      <c r="QBJ116" s="574"/>
      <c r="QBK116" s="575"/>
      <c r="QBL116" s="583"/>
      <c r="QBM116" s="590"/>
      <c r="QBN116" s="589"/>
      <c r="QBO116" s="585"/>
      <c r="QBP116" s="577"/>
      <c r="QBQ116" s="304"/>
      <c r="QBR116" s="572"/>
      <c r="QBS116" s="573"/>
      <c r="QBT116" s="574"/>
      <c r="QBU116" s="575"/>
      <c r="QBV116" s="583"/>
      <c r="QBW116" s="590"/>
      <c r="QBX116" s="589"/>
      <c r="QBY116" s="585"/>
      <c r="QBZ116" s="577"/>
      <c r="QCA116" s="304"/>
      <c r="QCB116" s="572"/>
      <c r="QCC116" s="573"/>
      <c r="QCD116" s="574"/>
      <c r="QCE116" s="575"/>
      <c r="QCF116" s="583"/>
      <c r="QCG116" s="590"/>
      <c r="QCH116" s="589"/>
      <c r="QCI116" s="585"/>
      <c r="QCJ116" s="577"/>
      <c r="QCK116" s="304"/>
      <c r="QCL116" s="572"/>
      <c r="QCM116" s="573"/>
      <c r="QCN116" s="574"/>
      <c r="QCO116" s="575"/>
      <c r="QCP116" s="583"/>
      <c r="QCQ116" s="590"/>
      <c r="QCR116" s="589"/>
      <c r="QCS116" s="585"/>
      <c r="QCT116" s="577"/>
      <c r="QCU116" s="304"/>
      <c r="QCV116" s="572"/>
      <c r="QCW116" s="573"/>
      <c r="QCX116" s="574"/>
      <c r="QCY116" s="575"/>
      <c r="QCZ116" s="583"/>
      <c r="QDA116" s="590"/>
      <c r="QDB116" s="589"/>
      <c r="QDC116" s="585"/>
      <c r="QDD116" s="577"/>
      <c r="QDE116" s="304"/>
      <c r="QDF116" s="572"/>
      <c r="QDG116" s="573"/>
      <c r="QDH116" s="574"/>
      <c r="QDI116" s="575"/>
      <c r="QDJ116" s="583"/>
      <c r="QDK116" s="590"/>
      <c r="QDL116" s="589"/>
      <c r="QDM116" s="585"/>
      <c r="QDN116" s="577"/>
      <c r="QDO116" s="304"/>
      <c r="QDP116" s="572"/>
      <c r="QDQ116" s="573"/>
      <c r="QDR116" s="574"/>
      <c r="QDS116" s="575"/>
      <c r="QDT116" s="583"/>
      <c r="QDU116" s="590"/>
      <c r="QDV116" s="589"/>
      <c r="QDW116" s="585"/>
      <c r="QDX116" s="577"/>
      <c r="QDY116" s="304"/>
      <c r="QDZ116" s="572"/>
      <c r="QEA116" s="573"/>
      <c r="QEB116" s="574"/>
      <c r="QEC116" s="575"/>
      <c r="QED116" s="583"/>
      <c r="QEE116" s="590"/>
      <c r="QEF116" s="589"/>
      <c r="QEG116" s="585"/>
      <c r="QEH116" s="577"/>
      <c r="QEI116" s="304"/>
      <c r="QEJ116" s="572"/>
      <c r="QEK116" s="573"/>
      <c r="QEL116" s="574"/>
      <c r="QEM116" s="575"/>
      <c r="QEN116" s="583"/>
      <c r="QEO116" s="590"/>
      <c r="QEP116" s="589"/>
      <c r="QEQ116" s="585"/>
      <c r="QER116" s="577"/>
      <c r="QES116" s="304"/>
      <c r="QET116" s="572"/>
      <c r="QEU116" s="573"/>
      <c r="QEV116" s="574"/>
      <c r="QEW116" s="575"/>
      <c r="QEX116" s="583"/>
      <c r="QEY116" s="590"/>
      <c r="QEZ116" s="589"/>
      <c r="QFA116" s="585"/>
      <c r="QFB116" s="577"/>
      <c r="QFC116" s="304"/>
      <c r="QFD116" s="572"/>
      <c r="QFE116" s="573"/>
      <c r="QFF116" s="574"/>
      <c r="QFG116" s="575"/>
      <c r="QFH116" s="583"/>
      <c r="QFI116" s="590"/>
      <c r="QFJ116" s="589"/>
      <c r="QFK116" s="585"/>
      <c r="QFL116" s="577"/>
      <c r="QFM116" s="304"/>
      <c r="QFN116" s="572"/>
      <c r="QFO116" s="573"/>
      <c r="QFP116" s="574"/>
      <c r="QFQ116" s="575"/>
      <c r="QFR116" s="583"/>
      <c r="QFS116" s="590"/>
      <c r="QFT116" s="589"/>
      <c r="QFU116" s="585"/>
      <c r="QFV116" s="577"/>
      <c r="QFW116" s="304"/>
      <c r="QFX116" s="572"/>
      <c r="QFY116" s="573"/>
      <c r="QFZ116" s="574"/>
      <c r="QGA116" s="575"/>
      <c r="QGB116" s="583"/>
      <c r="QGC116" s="590"/>
      <c r="QGD116" s="589"/>
      <c r="QGE116" s="585"/>
      <c r="QGF116" s="577"/>
      <c r="QGG116" s="304"/>
      <c r="QGH116" s="572"/>
      <c r="QGI116" s="573"/>
      <c r="QGJ116" s="574"/>
      <c r="QGK116" s="575"/>
      <c r="QGL116" s="583"/>
      <c r="QGM116" s="590"/>
      <c r="QGN116" s="589"/>
      <c r="QGO116" s="585"/>
      <c r="QGP116" s="577"/>
      <c r="QGQ116" s="304"/>
      <c r="QGR116" s="572"/>
      <c r="QGS116" s="573"/>
      <c r="QGT116" s="574"/>
      <c r="QGU116" s="575"/>
      <c r="QGV116" s="583"/>
      <c r="QGW116" s="590"/>
      <c r="QGX116" s="589"/>
      <c r="QGY116" s="585"/>
      <c r="QGZ116" s="577"/>
      <c r="QHA116" s="304"/>
      <c r="QHB116" s="572"/>
      <c r="QHC116" s="573"/>
      <c r="QHD116" s="574"/>
      <c r="QHE116" s="575"/>
      <c r="QHF116" s="583"/>
      <c r="QHG116" s="590"/>
      <c r="QHH116" s="589"/>
      <c r="QHI116" s="585"/>
      <c r="QHJ116" s="577"/>
      <c r="QHK116" s="304"/>
      <c r="QHL116" s="572"/>
      <c r="QHM116" s="573"/>
      <c r="QHN116" s="574"/>
      <c r="QHO116" s="575"/>
      <c r="QHP116" s="583"/>
      <c r="QHQ116" s="590"/>
      <c r="QHR116" s="589"/>
      <c r="QHS116" s="585"/>
      <c r="QHT116" s="577"/>
      <c r="QHU116" s="304"/>
      <c r="QHV116" s="572"/>
      <c r="QHW116" s="573"/>
      <c r="QHX116" s="574"/>
      <c r="QHY116" s="575"/>
      <c r="QHZ116" s="583"/>
      <c r="QIA116" s="590"/>
      <c r="QIB116" s="589"/>
      <c r="QIC116" s="585"/>
      <c r="QID116" s="577"/>
      <c r="QIE116" s="304"/>
      <c r="QIF116" s="572"/>
      <c r="QIG116" s="573"/>
      <c r="QIH116" s="574"/>
      <c r="QII116" s="575"/>
      <c r="QIJ116" s="583"/>
      <c r="QIK116" s="590"/>
      <c r="QIL116" s="589"/>
      <c r="QIM116" s="585"/>
      <c r="QIN116" s="577"/>
      <c r="QIO116" s="304"/>
      <c r="QIP116" s="572"/>
      <c r="QIQ116" s="573"/>
      <c r="QIR116" s="574"/>
      <c r="QIS116" s="575"/>
      <c r="QIT116" s="583"/>
      <c r="QIU116" s="590"/>
      <c r="QIV116" s="589"/>
      <c r="QIW116" s="585"/>
      <c r="QIX116" s="577"/>
      <c r="QIY116" s="304"/>
      <c r="QIZ116" s="572"/>
      <c r="QJA116" s="573"/>
      <c r="QJB116" s="574"/>
      <c r="QJC116" s="575"/>
      <c r="QJD116" s="583"/>
      <c r="QJE116" s="590"/>
      <c r="QJF116" s="589"/>
      <c r="QJG116" s="585"/>
      <c r="QJH116" s="577"/>
      <c r="QJI116" s="304"/>
      <c r="QJJ116" s="572"/>
      <c r="QJK116" s="573"/>
      <c r="QJL116" s="574"/>
      <c r="QJM116" s="575"/>
      <c r="QJN116" s="583"/>
      <c r="QJO116" s="590"/>
      <c r="QJP116" s="589"/>
      <c r="QJQ116" s="585"/>
      <c r="QJR116" s="577"/>
      <c r="QJS116" s="304"/>
      <c r="QJT116" s="572"/>
      <c r="QJU116" s="573"/>
      <c r="QJV116" s="574"/>
      <c r="QJW116" s="575"/>
      <c r="QJX116" s="583"/>
      <c r="QJY116" s="590"/>
      <c r="QJZ116" s="589"/>
      <c r="QKA116" s="585"/>
      <c r="QKB116" s="577"/>
      <c r="QKC116" s="304"/>
      <c r="QKD116" s="572"/>
      <c r="QKE116" s="573"/>
      <c r="QKF116" s="574"/>
      <c r="QKG116" s="575"/>
      <c r="QKH116" s="583"/>
      <c r="QKI116" s="590"/>
      <c r="QKJ116" s="589"/>
      <c r="QKK116" s="585"/>
      <c r="QKL116" s="577"/>
      <c r="QKM116" s="304"/>
      <c r="QKN116" s="572"/>
      <c r="QKO116" s="573"/>
      <c r="QKP116" s="574"/>
      <c r="QKQ116" s="575"/>
      <c r="QKR116" s="583"/>
      <c r="QKS116" s="590"/>
      <c r="QKT116" s="589"/>
      <c r="QKU116" s="585"/>
      <c r="QKV116" s="577"/>
      <c r="QKW116" s="304"/>
      <c r="QKX116" s="572"/>
      <c r="QKY116" s="573"/>
      <c r="QKZ116" s="574"/>
      <c r="QLA116" s="575"/>
      <c r="QLB116" s="583"/>
      <c r="QLC116" s="590"/>
      <c r="QLD116" s="589"/>
      <c r="QLE116" s="585"/>
      <c r="QLF116" s="577"/>
      <c r="QLG116" s="304"/>
      <c r="QLH116" s="572"/>
      <c r="QLI116" s="573"/>
      <c r="QLJ116" s="574"/>
      <c r="QLK116" s="575"/>
      <c r="QLL116" s="583"/>
      <c r="QLM116" s="590"/>
      <c r="QLN116" s="589"/>
      <c r="QLO116" s="585"/>
      <c r="QLP116" s="577"/>
      <c r="QLQ116" s="304"/>
      <c r="QLR116" s="572"/>
      <c r="QLS116" s="573"/>
      <c r="QLT116" s="574"/>
      <c r="QLU116" s="575"/>
      <c r="QLV116" s="583"/>
      <c r="QLW116" s="590"/>
      <c r="QLX116" s="589"/>
      <c r="QLY116" s="585"/>
      <c r="QLZ116" s="577"/>
      <c r="QMA116" s="304"/>
      <c r="QMB116" s="572"/>
      <c r="QMC116" s="573"/>
      <c r="QMD116" s="574"/>
      <c r="QME116" s="575"/>
      <c r="QMF116" s="583"/>
      <c r="QMG116" s="590"/>
      <c r="QMH116" s="589"/>
      <c r="QMI116" s="585"/>
      <c r="QMJ116" s="577"/>
      <c r="QMK116" s="304"/>
      <c r="QML116" s="572"/>
      <c r="QMM116" s="573"/>
      <c r="QMN116" s="574"/>
      <c r="QMO116" s="575"/>
      <c r="QMP116" s="583"/>
      <c r="QMQ116" s="590"/>
      <c r="QMR116" s="589"/>
      <c r="QMS116" s="585"/>
      <c r="QMT116" s="577"/>
      <c r="QMU116" s="304"/>
      <c r="QMV116" s="572"/>
      <c r="QMW116" s="573"/>
      <c r="QMX116" s="574"/>
      <c r="QMY116" s="575"/>
      <c r="QMZ116" s="583"/>
      <c r="QNA116" s="590"/>
      <c r="QNB116" s="589"/>
      <c r="QNC116" s="585"/>
      <c r="QND116" s="577"/>
      <c r="QNE116" s="304"/>
      <c r="QNF116" s="572"/>
      <c r="QNG116" s="573"/>
      <c r="QNH116" s="574"/>
      <c r="QNI116" s="575"/>
      <c r="QNJ116" s="583"/>
      <c r="QNK116" s="590"/>
      <c r="QNL116" s="589"/>
      <c r="QNM116" s="585"/>
      <c r="QNN116" s="577"/>
      <c r="QNO116" s="304"/>
      <c r="QNP116" s="572"/>
      <c r="QNQ116" s="573"/>
      <c r="QNR116" s="574"/>
      <c r="QNS116" s="575"/>
      <c r="QNT116" s="583"/>
      <c r="QNU116" s="590"/>
      <c r="QNV116" s="589"/>
      <c r="QNW116" s="585"/>
      <c r="QNX116" s="577"/>
      <c r="QNY116" s="304"/>
      <c r="QNZ116" s="572"/>
      <c r="QOA116" s="573"/>
      <c r="QOB116" s="574"/>
      <c r="QOC116" s="575"/>
      <c r="QOD116" s="583"/>
      <c r="QOE116" s="590"/>
      <c r="QOF116" s="589"/>
      <c r="QOG116" s="585"/>
      <c r="QOH116" s="577"/>
      <c r="QOI116" s="304"/>
      <c r="QOJ116" s="572"/>
      <c r="QOK116" s="573"/>
      <c r="QOL116" s="574"/>
      <c r="QOM116" s="575"/>
      <c r="QON116" s="583"/>
      <c r="QOO116" s="590"/>
      <c r="QOP116" s="589"/>
      <c r="QOQ116" s="585"/>
      <c r="QOR116" s="577"/>
      <c r="QOS116" s="304"/>
      <c r="QOT116" s="572"/>
      <c r="QOU116" s="573"/>
      <c r="QOV116" s="574"/>
      <c r="QOW116" s="575"/>
      <c r="QOX116" s="583"/>
      <c r="QOY116" s="590"/>
      <c r="QOZ116" s="589"/>
      <c r="QPA116" s="585"/>
      <c r="QPB116" s="577"/>
      <c r="QPC116" s="304"/>
      <c r="QPD116" s="572"/>
      <c r="QPE116" s="573"/>
      <c r="QPF116" s="574"/>
      <c r="QPG116" s="575"/>
      <c r="QPH116" s="583"/>
      <c r="QPI116" s="590"/>
      <c r="QPJ116" s="589"/>
      <c r="QPK116" s="585"/>
      <c r="QPL116" s="577"/>
      <c r="QPM116" s="304"/>
      <c r="QPN116" s="572"/>
      <c r="QPO116" s="573"/>
      <c r="QPP116" s="574"/>
      <c r="QPQ116" s="575"/>
      <c r="QPR116" s="583"/>
      <c r="QPS116" s="590"/>
      <c r="QPT116" s="589"/>
      <c r="QPU116" s="585"/>
      <c r="QPV116" s="577"/>
      <c r="QPW116" s="304"/>
      <c r="QPX116" s="572"/>
      <c r="QPY116" s="573"/>
      <c r="QPZ116" s="574"/>
      <c r="QQA116" s="575"/>
      <c r="QQB116" s="583"/>
      <c r="QQC116" s="590"/>
      <c r="QQD116" s="589"/>
      <c r="QQE116" s="585"/>
      <c r="QQF116" s="577"/>
      <c r="QQG116" s="304"/>
      <c r="QQH116" s="572"/>
      <c r="QQI116" s="573"/>
      <c r="QQJ116" s="574"/>
      <c r="QQK116" s="575"/>
      <c r="QQL116" s="583"/>
      <c r="QQM116" s="590"/>
      <c r="QQN116" s="589"/>
      <c r="QQO116" s="585"/>
      <c r="QQP116" s="577"/>
      <c r="QQQ116" s="304"/>
      <c r="QQR116" s="572"/>
      <c r="QQS116" s="573"/>
      <c r="QQT116" s="574"/>
      <c r="QQU116" s="575"/>
      <c r="QQV116" s="583"/>
      <c r="QQW116" s="590"/>
      <c r="QQX116" s="589"/>
      <c r="QQY116" s="585"/>
      <c r="QQZ116" s="577"/>
      <c r="QRA116" s="304"/>
      <c r="QRB116" s="572"/>
      <c r="QRC116" s="573"/>
      <c r="QRD116" s="574"/>
      <c r="QRE116" s="575"/>
      <c r="QRF116" s="583"/>
      <c r="QRG116" s="590"/>
      <c r="QRH116" s="589"/>
      <c r="QRI116" s="585"/>
      <c r="QRJ116" s="577"/>
      <c r="QRK116" s="304"/>
      <c r="QRL116" s="572"/>
      <c r="QRM116" s="573"/>
      <c r="QRN116" s="574"/>
      <c r="QRO116" s="575"/>
      <c r="QRP116" s="583"/>
      <c r="QRQ116" s="590"/>
      <c r="QRR116" s="589"/>
      <c r="QRS116" s="585"/>
      <c r="QRT116" s="577"/>
      <c r="QRU116" s="304"/>
      <c r="QRV116" s="572"/>
      <c r="QRW116" s="573"/>
      <c r="QRX116" s="574"/>
      <c r="QRY116" s="575"/>
      <c r="QRZ116" s="583"/>
      <c r="QSA116" s="590"/>
      <c r="QSB116" s="589"/>
      <c r="QSC116" s="585"/>
      <c r="QSD116" s="577"/>
      <c r="QSE116" s="304"/>
      <c r="QSF116" s="572"/>
      <c r="QSG116" s="573"/>
      <c r="QSH116" s="574"/>
      <c r="QSI116" s="575"/>
      <c r="QSJ116" s="583"/>
      <c r="QSK116" s="590"/>
      <c r="QSL116" s="589"/>
      <c r="QSM116" s="585"/>
      <c r="QSN116" s="577"/>
      <c r="QSO116" s="304"/>
      <c r="QSP116" s="572"/>
      <c r="QSQ116" s="573"/>
      <c r="QSR116" s="574"/>
      <c r="QSS116" s="575"/>
      <c r="QST116" s="583"/>
      <c r="QSU116" s="590"/>
      <c r="QSV116" s="589"/>
      <c r="QSW116" s="585"/>
      <c r="QSX116" s="577"/>
      <c r="QSY116" s="304"/>
      <c r="QSZ116" s="572"/>
      <c r="QTA116" s="573"/>
      <c r="QTB116" s="574"/>
      <c r="QTC116" s="575"/>
      <c r="QTD116" s="583"/>
      <c r="QTE116" s="590"/>
      <c r="QTF116" s="589"/>
      <c r="QTG116" s="585"/>
      <c r="QTH116" s="577"/>
      <c r="QTI116" s="304"/>
      <c r="QTJ116" s="572"/>
      <c r="QTK116" s="573"/>
      <c r="QTL116" s="574"/>
      <c r="QTM116" s="575"/>
      <c r="QTN116" s="583"/>
      <c r="QTO116" s="590"/>
      <c r="QTP116" s="589"/>
      <c r="QTQ116" s="585"/>
      <c r="QTR116" s="577"/>
      <c r="QTS116" s="304"/>
      <c r="QTT116" s="572"/>
      <c r="QTU116" s="573"/>
      <c r="QTV116" s="574"/>
      <c r="QTW116" s="575"/>
      <c r="QTX116" s="583"/>
      <c r="QTY116" s="590"/>
      <c r="QTZ116" s="589"/>
      <c r="QUA116" s="585"/>
      <c r="QUB116" s="577"/>
      <c r="QUC116" s="304"/>
      <c r="QUD116" s="572"/>
      <c r="QUE116" s="573"/>
      <c r="QUF116" s="574"/>
      <c r="QUG116" s="575"/>
      <c r="QUH116" s="583"/>
      <c r="QUI116" s="590"/>
      <c r="QUJ116" s="589"/>
      <c r="QUK116" s="585"/>
      <c r="QUL116" s="577"/>
      <c r="QUM116" s="304"/>
      <c r="QUN116" s="572"/>
      <c r="QUO116" s="573"/>
      <c r="QUP116" s="574"/>
      <c r="QUQ116" s="575"/>
      <c r="QUR116" s="583"/>
      <c r="QUS116" s="590"/>
      <c r="QUT116" s="589"/>
      <c r="QUU116" s="585"/>
      <c r="QUV116" s="577"/>
      <c r="QUW116" s="304"/>
      <c r="QUX116" s="572"/>
      <c r="QUY116" s="573"/>
      <c r="QUZ116" s="574"/>
      <c r="QVA116" s="575"/>
      <c r="QVB116" s="583"/>
      <c r="QVC116" s="590"/>
      <c r="QVD116" s="589"/>
      <c r="QVE116" s="585"/>
      <c r="QVF116" s="577"/>
      <c r="QVG116" s="304"/>
      <c r="QVH116" s="572"/>
      <c r="QVI116" s="573"/>
      <c r="QVJ116" s="574"/>
      <c r="QVK116" s="575"/>
      <c r="QVL116" s="583"/>
      <c r="QVM116" s="590"/>
      <c r="QVN116" s="589"/>
      <c r="QVO116" s="585"/>
      <c r="QVP116" s="577"/>
      <c r="QVQ116" s="304"/>
      <c r="QVR116" s="572"/>
      <c r="QVS116" s="573"/>
      <c r="QVT116" s="574"/>
      <c r="QVU116" s="575"/>
      <c r="QVV116" s="583"/>
      <c r="QVW116" s="590"/>
      <c r="QVX116" s="589"/>
      <c r="QVY116" s="585"/>
      <c r="QVZ116" s="577"/>
      <c r="QWA116" s="304"/>
      <c r="QWB116" s="572"/>
      <c r="QWC116" s="573"/>
      <c r="QWD116" s="574"/>
      <c r="QWE116" s="575"/>
      <c r="QWF116" s="583"/>
      <c r="QWG116" s="590"/>
      <c r="QWH116" s="589"/>
      <c r="QWI116" s="585"/>
      <c r="QWJ116" s="577"/>
      <c r="QWK116" s="304"/>
      <c r="QWL116" s="572"/>
      <c r="QWM116" s="573"/>
      <c r="QWN116" s="574"/>
      <c r="QWO116" s="575"/>
      <c r="QWP116" s="583"/>
      <c r="QWQ116" s="590"/>
      <c r="QWR116" s="589"/>
      <c r="QWS116" s="585"/>
      <c r="QWT116" s="577"/>
      <c r="QWU116" s="304"/>
      <c r="QWV116" s="572"/>
      <c r="QWW116" s="573"/>
      <c r="QWX116" s="574"/>
      <c r="QWY116" s="575"/>
      <c r="QWZ116" s="583"/>
      <c r="QXA116" s="590"/>
      <c r="QXB116" s="589"/>
      <c r="QXC116" s="585"/>
      <c r="QXD116" s="577"/>
      <c r="QXE116" s="304"/>
      <c r="QXF116" s="572"/>
      <c r="QXG116" s="573"/>
      <c r="QXH116" s="574"/>
      <c r="QXI116" s="575"/>
      <c r="QXJ116" s="583"/>
      <c r="QXK116" s="590"/>
      <c r="QXL116" s="589"/>
      <c r="QXM116" s="585"/>
      <c r="QXN116" s="577"/>
      <c r="QXO116" s="304"/>
      <c r="QXP116" s="572"/>
      <c r="QXQ116" s="573"/>
      <c r="QXR116" s="574"/>
      <c r="QXS116" s="575"/>
      <c r="QXT116" s="583"/>
      <c r="QXU116" s="590"/>
      <c r="QXV116" s="589"/>
      <c r="QXW116" s="585"/>
      <c r="QXX116" s="577"/>
      <c r="QXY116" s="304"/>
      <c r="QXZ116" s="572"/>
      <c r="QYA116" s="573"/>
      <c r="QYB116" s="574"/>
      <c r="QYC116" s="575"/>
      <c r="QYD116" s="583"/>
      <c r="QYE116" s="590"/>
      <c r="QYF116" s="589"/>
      <c r="QYG116" s="585"/>
      <c r="QYH116" s="577"/>
      <c r="QYI116" s="304"/>
      <c r="QYJ116" s="572"/>
      <c r="QYK116" s="573"/>
      <c r="QYL116" s="574"/>
      <c r="QYM116" s="575"/>
      <c r="QYN116" s="583"/>
      <c r="QYO116" s="590"/>
      <c r="QYP116" s="589"/>
      <c r="QYQ116" s="585"/>
      <c r="QYR116" s="577"/>
      <c r="QYS116" s="304"/>
      <c r="QYT116" s="572"/>
      <c r="QYU116" s="573"/>
      <c r="QYV116" s="574"/>
      <c r="QYW116" s="575"/>
      <c r="QYX116" s="583"/>
      <c r="QYY116" s="590"/>
      <c r="QYZ116" s="589"/>
      <c r="QZA116" s="585"/>
      <c r="QZB116" s="577"/>
      <c r="QZC116" s="304"/>
      <c r="QZD116" s="572"/>
      <c r="QZE116" s="573"/>
      <c r="QZF116" s="574"/>
      <c r="QZG116" s="575"/>
      <c r="QZH116" s="583"/>
      <c r="QZI116" s="590"/>
      <c r="QZJ116" s="589"/>
      <c r="QZK116" s="585"/>
      <c r="QZL116" s="577"/>
      <c r="QZM116" s="304"/>
      <c r="QZN116" s="572"/>
      <c r="QZO116" s="573"/>
      <c r="QZP116" s="574"/>
      <c r="QZQ116" s="575"/>
      <c r="QZR116" s="583"/>
      <c r="QZS116" s="590"/>
      <c r="QZT116" s="589"/>
      <c r="QZU116" s="585"/>
      <c r="QZV116" s="577"/>
      <c r="QZW116" s="304"/>
      <c r="QZX116" s="572"/>
      <c r="QZY116" s="573"/>
      <c r="QZZ116" s="574"/>
      <c r="RAA116" s="575"/>
      <c r="RAB116" s="583"/>
      <c r="RAC116" s="590"/>
      <c r="RAD116" s="589"/>
      <c r="RAE116" s="585"/>
      <c r="RAF116" s="577"/>
      <c r="RAG116" s="304"/>
      <c r="RAH116" s="572"/>
      <c r="RAI116" s="573"/>
      <c r="RAJ116" s="574"/>
      <c r="RAK116" s="575"/>
      <c r="RAL116" s="583"/>
      <c r="RAM116" s="590"/>
      <c r="RAN116" s="589"/>
      <c r="RAO116" s="585"/>
      <c r="RAP116" s="577"/>
      <c r="RAQ116" s="304"/>
      <c r="RAR116" s="572"/>
      <c r="RAS116" s="573"/>
      <c r="RAT116" s="574"/>
      <c r="RAU116" s="575"/>
      <c r="RAV116" s="583"/>
      <c r="RAW116" s="590"/>
      <c r="RAX116" s="589"/>
      <c r="RAY116" s="585"/>
      <c r="RAZ116" s="577"/>
      <c r="RBA116" s="304"/>
      <c r="RBB116" s="572"/>
      <c r="RBC116" s="573"/>
      <c r="RBD116" s="574"/>
      <c r="RBE116" s="575"/>
      <c r="RBF116" s="583"/>
      <c r="RBG116" s="590"/>
      <c r="RBH116" s="589"/>
      <c r="RBI116" s="585"/>
      <c r="RBJ116" s="577"/>
      <c r="RBK116" s="304"/>
      <c r="RBL116" s="572"/>
      <c r="RBM116" s="573"/>
      <c r="RBN116" s="574"/>
      <c r="RBO116" s="575"/>
      <c r="RBP116" s="583"/>
      <c r="RBQ116" s="590"/>
      <c r="RBR116" s="589"/>
      <c r="RBS116" s="585"/>
      <c r="RBT116" s="577"/>
      <c r="RBU116" s="304"/>
      <c r="RBV116" s="572"/>
      <c r="RBW116" s="573"/>
      <c r="RBX116" s="574"/>
      <c r="RBY116" s="575"/>
      <c r="RBZ116" s="583"/>
      <c r="RCA116" s="590"/>
      <c r="RCB116" s="589"/>
      <c r="RCC116" s="585"/>
      <c r="RCD116" s="577"/>
      <c r="RCE116" s="304"/>
      <c r="RCF116" s="572"/>
      <c r="RCG116" s="573"/>
      <c r="RCH116" s="574"/>
      <c r="RCI116" s="575"/>
      <c r="RCJ116" s="583"/>
      <c r="RCK116" s="590"/>
      <c r="RCL116" s="589"/>
      <c r="RCM116" s="585"/>
      <c r="RCN116" s="577"/>
      <c r="RCO116" s="304"/>
      <c r="RCP116" s="572"/>
      <c r="RCQ116" s="573"/>
      <c r="RCR116" s="574"/>
      <c r="RCS116" s="575"/>
      <c r="RCT116" s="583"/>
      <c r="RCU116" s="590"/>
      <c r="RCV116" s="589"/>
      <c r="RCW116" s="585"/>
      <c r="RCX116" s="577"/>
      <c r="RCY116" s="304"/>
      <c r="RCZ116" s="572"/>
      <c r="RDA116" s="573"/>
      <c r="RDB116" s="574"/>
      <c r="RDC116" s="575"/>
      <c r="RDD116" s="583"/>
      <c r="RDE116" s="590"/>
      <c r="RDF116" s="589"/>
      <c r="RDG116" s="585"/>
      <c r="RDH116" s="577"/>
      <c r="RDI116" s="304"/>
      <c r="RDJ116" s="572"/>
      <c r="RDK116" s="573"/>
      <c r="RDL116" s="574"/>
      <c r="RDM116" s="575"/>
      <c r="RDN116" s="583"/>
      <c r="RDO116" s="590"/>
      <c r="RDP116" s="589"/>
      <c r="RDQ116" s="585"/>
      <c r="RDR116" s="577"/>
      <c r="RDS116" s="304"/>
      <c r="RDT116" s="572"/>
      <c r="RDU116" s="573"/>
      <c r="RDV116" s="574"/>
      <c r="RDW116" s="575"/>
      <c r="RDX116" s="583"/>
      <c r="RDY116" s="590"/>
      <c r="RDZ116" s="589"/>
      <c r="REA116" s="585"/>
      <c r="REB116" s="577"/>
      <c r="REC116" s="304"/>
      <c r="RED116" s="572"/>
      <c r="REE116" s="573"/>
      <c r="REF116" s="574"/>
      <c r="REG116" s="575"/>
      <c r="REH116" s="583"/>
      <c r="REI116" s="590"/>
      <c r="REJ116" s="589"/>
      <c r="REK116" s="585"/>
      <c r="REL116" s="577"/>
      <c r="REM116" s="304"/>
      <c r="REN116" s="572"/>
      <c r="REO116" s="573"/>
      <c r="REP116" s="574"/>
      <c r="REQ116" s="575"/>
      <c r="RER116" s="583"/>
      <c r="RES116" s="590"/>
      <c r="RET116" s="589"/>
      <c r="REU116" s="585"/>
      <c r="REV116" s="577"/>
      <c r="REW116" s="304"/>
      <c r="REX116" s="572"/>
      <c r="REY116" s="573"/>
      <c r="REZ116" s="574"/>
      <c r="RFA116" s="575"/>
      <c r="RFB116" s="583"/>
      <c r="RFC116" s="590"/>
      <c r="RFD116" s="589"/>
      <c r="RFE116" s="585"/>
      <c r="RFF116" s="577"/>
      <c r="RFG116" s="304"/>
      <c r="RFH116" s="572"/>
      <c r="RFI116" s="573"/>
      <c r="RFJ116" s="574"/>
      <c r="RFK116" s="575"/>
      <c r="RFL116" s="583"/>
      <c r="RFM116" s="590"/>
      <c r="RFN116" s="589"/>
      <c r="RFO116" s="585"/>
      <c r="RFP116" s="577"/>
      <c r="RFQ116" s="304"/>
      <c r="RFR116" s="572"/>
      <c r="RFS116" s="573"/>
      <c r="RFT116" s="574"/>
      <c r="RFU116" s="575"/>
      <c r="RFV116" s="583"/>
      <c r="RFW116" s="590"/>
      <c r="RFX116" s="589"/>
      <c r="RFY116" s="585"/>
      <c r="RFZ116" s="577"/>
      <c r="RGA116" s="304"/>
      <c r="RGB116" s="572"/>
      <c r="RGC116" s="573"/>
      <c r="RGD116" s="574"/>
      <c r="RGE116" s="575"/>
      <c r="RGF116" s="583"/>
      <c r="RGG116" s="590"/>
      <c r="RGH116" s="589"/>
      <c r="RGI116" s="585"/>
      <c r="RGJ116" s="577"/>
      <c r="RGK116" s="304"/>
      <c r="RGL116" s="572"/>
      <c r="RGM116" s="573"/>
      <c r="RGN116" s="574"/>
      <c r="RGO116" s="575"/>
      <c r="RGP116" s="583"/>
      <c r="RGQ116" s="590"/>
      <c r="RGR116" s="589"/>
      <c r="RGS116" s="585"/>
      <c r="RGT116" s="577"/>
      <c r="RGU116" s="304"/>
      <c r="RGV116" s="572"/>
      <c r="RGW116" s="573"/>
      <c r="RGX116" s="574"/>
      <c r="RGY116" s="575"/>
      <c r="RGZ116" s="583"/>
      <c r="RHA116" s="590"/>
      <c r="RHB116" s="589"/>
      <c r="RHC116" s="585"/>
      <c r="RHD116" s="577"/>
      <c r="RHE116" s="304"/>
      <c r="RHF116" s="572"/>
      <c r="RHG116" s="573"/>
      <c r="RHH116" s="574"/>
      <c r="RHI116" s="575"/>
      <c r="RHJ116" s="583"/>
      <c r="RHK116" s="590"/>
      <c r="RHL116" s="589"/>
      <c r="RHM116" s="585"/>
      <c r="RHN116" s="577"/>
      <c r="RHO116" s="304"/>
      <c r="RHP116" s="572"/>
      <c r="RHQ116" s="573"/>
      <c r="RHR116" s="574"/>
      <c r="RHS116" s="575"/>
      <c r="RHT116" s="583"/>
      <c r="RHU116" s="590"/>
      <c r="RHV116" s="589"/>
      <c r="RHW116" s="585"/>
      <c r="RHX116" s="577"/>
      <c r="RHY116" s="304"/>
      <c r="RHZ116" s="572"/>
      <c r="RIA116" s="573"/>
      <c r="RIB116" s="574"/>
      <c r="RIC116" s="575"/>
      <c r="RID116" s="583"/>
      <c r="RIE116" s="590"/>
      <c r="RIF116" s="589"/>
      <c r="RIG116" s="585"/>
      <c r="RIH116" s="577"/>
      <c r="RII116" s="304"/>
      <c r="RIJ116" s="572"/>
      <c r="RIK116" s="573"/>
      <c r="RIL116" s="574"/>
      <c r="RIM116" s="575"/>
      <c r="RIN116" s="583"/>
      <c r="RIO116" s="590"/>
      <c r="RIP116" s="589"/>
      <c r="RIQ116" s="585"/>
      <c r="RIR116" s="577"/>
      <c r="RIS116" s="304"/>
      <c r="RIT116" s="572"/>
      <c r="RIU116" s="573"/>
      <c r="RIV116" s="574"/>
      <c r="RIW116" s="575"/>
      <c r="RIX116" s="583"/>
      <c r="RIY116" s="590"/>
      <c r="RIZ116" s="589"/>
      <c r="RJA116" s="585"/>
      <c r="RJB116" s="577"/>
      <c r="RJC116" s="304"/>
      <c r="RJD116" s="572"/>
      <c r="RJE116" s="573"/>
      <c r="RJF116" s="574"/>
      <c r="RJG116" s="575"/>
      <c r="RJH116" s="583"/>
      <c r="RJI116" s="590"/>
      <c r="RJJ116" s="589"/>
      <c r="RJK116" s="585"/>
      <c r="RJL116" s="577"/>
      <c r="RJM116" s="304"/>
      <c r="RJN116" s="572"/>
      <c r="RJO116" s="573"/>
      <c r="RJP116" s="574"/>
      <c r="RJQ116" s="575"/>
      <c r="RJR116" s="583"/>
      <c r="RJS116" s="590"/>
      <c r="RJT116" s="589"/>
      <c r="RJU116" s="585"/>
      <c r="RJV116" s="577"/>
      <c r="RJW116" s="304"/>
      <c r="RJX116" s="572"/>
      <c r="RJY116" s="573"/>
      <c r="RJZ116" s="574"/>
      <c r="RKA116" s="575"/>
      <c r="RKB116" s="583"/>
      <c r="RKC116" s="590"/>
      <c r="RKD116" s="589"/>
      <c r="RKE116" s="585"/>
      <c r="RKF116" s="577"/>
      <c r="RKG116" s="304"/>
      <c r="RKH116" s="572"/>
      <c r="RKI116" s="573"/>
      <c r="RKJ116" s="574"/>
      <c r="RKK116" s="575"/>
      <c r="RKL116" s="583"/>
      <c r="RKM116" s="590"/>
      <c r="RKN116" s="589"/>
      <c r="RKO116" s="585"/>
      <c r="RKP116" s="577"/>
      <c r="RKQ116" s="304"/>
      <c r="RKR116" s="572"/>
      <c r="RKS116" s="573"/>
      <c r="RKT116" s="574"/>
      <c r="RKU116" s="575"/>
      <c r="RKV116" s="583"/>
      <c r="RKW116" s="590"/>
      <c r="RKX116" s="589"/>
      <c r="RKY116" s="585"/>
      <c r="RKZ116" s="577"/>
      <c r="RLA116" s="304"/>
      <c r="RLB116" s="572"/>
      <c r="RLC116" s="573"/>
      <c r="RLD116" s="574"/>
      <c r="RLE116" s="575"/>
      <c r="RLF116" s="583"/>
      <c r="RLG116" s="590"/>
      <c r="RLH116" s="589"/>
      <c r="RLI116" s="585"/>
      <c r="RLJ116" s="577"/>
      <c r="RLK116" s="304"/>
      <c r="RLL116" s="572"/>
      <c r="RLM116" s="573"/>
      <c r="RLN116" s="574"/>
      <c r="RLO116" s="575"/>
      <c r="RLP116" s="583"/>
      <c r="RLQ116" s="590"/>
      <c r="RLR116" s="589"/>
      <c r="RLS116" s="585"/>
      <c r="RLT116" s="577"/>
      <c r="RLU116" s="304"/>
      <c r="RLV116" s="572"/>
      <c r="RLW116" s="573"/>
      <c r="RLX116" s="574"/>
      <c r="RLY116" s="575"/>
      <c r="RLZ116" s="583"/>
      <c r="RMA116" s="590"/>
      <c r="RMB116" s="589"/>
      <c r="RMC116" s="585"/>
      <c r="RMD116" s="577"/>
      <c r="RME116" s="304"/>
      <c r="RMF116" s="572"/>
      <c r="RMG116" s="573"/>
      <c r="RMH116" s="574"/>
      <c r="RMI116" s="575"/>
      <c r="RMJ116" s="583"/>
      <c r="RMK116" s="590"/>
      <c r="RML116" s="589"/>
      <c r="RMM116" s="585"/>
      <c r="RMN116" s="577"/>
      <c r="RMO116" s="304"/>
      <c r="RMP116" s="572"/>
      <c r="RMQ116" s="573"/>
      <c r="RMR116" s="574"/>
      <c r="RMS116" s="575"/>
      <c r="RMT116" s="583"/>
      <c r="RMU116" s="590"/>
      <c r="RMV116" s="589"/>
      <c r="RMW116" s="585"/>
      <c r="RMX116" s="577"/>
      <c r="RMY116" s="304"/>
      <c r="RMZ116" s="572"/>
      <c r="RNA116" s="573"/>
      <c r="RNB116" s="574"/>
      <c r="RNC116" s="575"/>
      <c r="RND116" s="583"/>
      <c r="RNE116" s="590"/>
      <c r="RNF116" s="589"/>
      <c r="RNG116" s="585"/>
      <c r="RNH116" s="577"/>
      <c r="RNI116" s="304"/>
      <c r="RNJ116" s="572"/>
      <c r="RNK116" s="573"/>
      <c r="RNL116" s="574"/>
      <c r="RNM116" s="575"/>
      <c r="RNN116" s="583"/>
      <c r="RNO116" s="590"/>
      <c r="RNP116" s="589"/>
      <c r="RNQ116" s="585"/>
      <c r="RNR116" s="577"/>
      <c r="RNS116" s="304"/>
      <c r="RNT116" s="572"/>
      <c r="RNU116" s="573"/>
      <c r="RNV116" s="574"/>
      <c r="RNW116" s="575"/>
      <c r="RNX116" s="583"/>
      <c r="RNY116" s="590"/>
      <c r="RNZ116" s="589"/>
      <c r="ROA116" s="585"/>
      <c r="ROB116" s="577"/>
      <c r="ROC116" s="304"/>
      <c r="ROD116" s="572"/>
      <c r="ROE116" s="573"/>
      <c r="ROF116" s="574"/>
      <c r="ROG116" s="575"/>
      <c r="ROH116" s="583"/>
      <c r="ROI116" s="590"/>
      <c r="ROJ116" s="589"/>
      <c r="ROK116" s="585"/>
      <c r="ROL116" s="577"/>
      <c r="ROM116" s="304"/>
      <c r="RON116" s="572"/>
      <c r="ROO116" s="573"/>
      <c r="ROP116" s="574"/>
      <c r="ROQ116" s="575"/>
      <c r="ROR116" s="583"/>
      <c r="ROS116" s="590"/>
      <c r="ROT116" s="589"/>
      <c r="ROU116" s="585"/>
      <c r="ROV116" s="577"/>
      <c r="ROW116" s="304"/>
      <c r="ROX116" s="572"/>
      <c r="ROY116" s="573"/>
      <c r="ROZ116" s="574"/>
      <c r="RPA116" s="575"/>
      <c r="RPB116" s="583"/>
      <c r="RPC116" s="590"/>
      <c r="RPD116" s="589"/>
      <c r="RPE116" s="585"/>
      <c r="RPF116" s="577"/>
      <c r="RPG116" s="304"/>
      <c r="RPH116" s="572"/>
      <c r="RPI116" s="573"/>
      <c r="RPJ116" s="574"/>
      <c r="RPK116" s="575"/>
      <c r="RPL116" s="583"/>
      <c r="RPM116" s="590"/>
      <c r="RPN116" s="589"/>
      <c r="RPO116" s="585"/>
      <c r="RPP116" s="577"/>
      <c r="RPQ116" s="304"/>
      <c r="RPR116" s="572"/>
      <c r="RPS116" s="573"/>
      <c r="RPT116" s="574"/>
      <c r="RPU116" s="575"/>
      <c r="RPV116" s="583"/>
      <c r="RPW116" s="590"/>
      <c r="RPX116" s="589"/>
      <c r="RPY116" s="585"/>
      <c r="RPZ116" s="577"/>
      <c r="RQA116" s="304"/>
      <c r="RQB116" s="572"/>
      <c r="RQC116" s="573"/>
      <c r="RQD116" s="574"/>
      <c r="RQE116" s="575"/>
      <c r="RQF116" s="583"/>
      <c r="RQG116" s="590"/>
      <c r="RQH116" s="589"/>
      <c r="RQI116" s="585"/>
      <c r="RQJ116" s="577"/>
      <c r="RQK116" s="304"/>
      <c r="RQL116" s="572"/>
      <c r="RQM116" s="573"/>
      <c r="RQN116" s="574"/>
      <c r="RQO116" s="575"/>
      <c r="RQP116" s="583"/>
      <c r="RQQ116" s="590"/>
      <c r="RQR116" s="589"/>
      <c r="RQS116" s="585"/>
      <c r="RQT116" s="577"/>
      <c r="RQU116" s="304"/>
      <c r="RQV116" s="572"/>
      <c r="RQW116" s="573"/>
      <c r="RQX116" s="574"/>
      <c r="RQY116" s="575"/>
      <c r="RQZ116" s="583"/>
      <c r="RRA116" s="590"/>
      <c r="RRB116" s="589"/>
      <c r="RRC116" s="585"/>
      <c r="RRD116" s="577"/>
      <c r="RRE116" s="304"/>
      <c r="RRF116" s="572"/>
      <c r="RRG116" s="573"/>
      <c r="RRH116" s="574"/>
      <c r="RRI116" s="575"/>
      <c r="RRJ116" s="583"/>
      <c r="RRK116" s="590"/>
      <c r="RRL116" s="589"/>
      <c r="RRM116" s="585"/>
      <c r="RRN116" s="577"/>
      <c r="RRO116" s="304"/>
      <c r="RRP116" s="572"/>
      <c r="RRQ116" s="573"/>
      <c r="RRR116" s="574"/>
      <c r="RRS116" s="575"/>
      <c r="RRT116" s="583"/>
      <c r="RRU116" s="590"/>
      <c r="RRV116" s="589"/>
      <c r="RRW116" s="585"/>
      <c r="RRX116" s="577"/>
      <c r="RRY116" s="304"/>
      <c r="RRZ116" s="572"/>
      <c r="RSA116" s="573"/>
      <c r="RSB116" s="574"/>
      <c r="RSC116" s="575"/>
      <c r="RSD116" s="583"/>
      <c r="RSE116" s="590"/>
      <c r="RSF116" s="589"/>
      <c r="RSG116" s="585"/>
      <c r="RSH116" s="577"/>
      <c r="RSI116" s="304"/>
      <c r="RSJ116" s="572"/>
      <c r="RSK116" s="573"/>
      <c r="RSL116" s="574"/>
      <c r="RSM116" s="575"/>
      <c r="RSN116" s="583"/>
      <c r="RSO116" s="590"/>
      <c r="RSP116" s="589"/>
      <c r="RSQ116" s="585"/>
      <c r="RSR116" s="577"/>
      <c r="RSS116" s="304"/>
      <c r="RST116" s="572"/>
      <c r="RSU116" s="573"/>
      <c r="RSV116" s="574"/>
      <c r="RSW116" s="575"/>
      <c r="RSX116" s="583"/>
      <c r="RSY116" s="590"/>
      <c r="RSZ116" s="589"/>
      <c r="RTA116" s="585"/>
      <c r="RTB116" s="577"/>
      <c r="RTC116" s="304"/>
      <c r="RTD116" s="572"/>
      <c r="RTE116" s="573"/>
      <c r="RTF116" s="574"/>
      <c r="RTG116" s="575"/>
      <c r="RTH116" s="583"/>
      <c r="RTI116" s="590"/>
      <c r="RTJ116" s="589"/>
      <c r="RTK116" s="585"/>
      <c r="RTL116" s="577"/>
      <c r="RTM116" s="304"/>
      <c r="RTN116" s="572"/>
      <c r="RTO116" s="573"/>
      <c r="RTP116" s="574"/>
      <c r="RTQ116" s="575"/>
      <c r="RTR116" s="583"/>
      <c r="RTS116" s="590"/>
      <c r="RTT116" s="589"/>
      <c r="RTU116" s="585"/>
      <c r="RTV116" s="577"/>
      <c r="RTW116" s="304"/>
      <c r="RTX116" s="572"/>
      <c r="RTY116" s="573"/>
      <c r="RTZ116" s="574"/>
      <c r="RUA116" s="575"/>
      <c r="RUB116" s="583"/>
      <c r="RUC116" s="590"/>
      <c r="RUD116" s="589"/>
      <c r="RUE116" s="585"/>
      <c r="RUF116" s="577"/>
      <c r="RUG116" s="304"/>
      <c r="RUH116" s="572"/>
      <c r="RUI116" s="573"/>
      <c r="RUJ116" s="574"/>
      <c r="RUK116" s="575"/>
      <c r="RUL116" s="583"/>
      <c r="RUM116" s="590"/>
      <c r="RUN116" s="589"/>
      <c r="RUO116" s="585"/>
      <c r="RUP116" s="577"/>
      <c r="RUQ116" s="304"/>
      <c r="RUR116" s="572"/>
      <c r="RUS116" s="573"/>
      <c r="RUT116" s="574"/>
      <c r="RUU116" s="575"/>
      <c r="RUV116" s="583"/>
      <c r="RUW116" s="590"/>
      <c r="RUX116" s="589"/>
      <c r="RUY116" s="585"/>
      <c r="RUZ116" s="577"/>
      <c r="RVA116" s="304"/>
      <c r="RVB116" s="572"/>
      <c r="RVC116" s="573"/>
      <c r="RVD116" s="574"/>
      <c r="RVE116" s="575"/>
      <c r="RVF116" s="583"/>
      <c r="RVG116" s="590"/>
      <c r="RVH116" s="589"/>
      <c r="RVI116" s="585"/>
      <c r="RVJ116" s="577"/>
      <c r="RVK116" s="304"/>
      <c r="RVL116" s="572"/>
      <c r="RVM116" s="573"/>
      <c r="RVN116" s="574"/>
      <c r="RVO116" s="575"/>
      <c r="RVP116" s="583"/>
      <c r="RVQ116" s="590"/>
      <c r="RVR116" s="589"/>
      <c r="RVS116" s="585"/>
      <c r="RVT116" s="577"/>
      <c r="RVU116" s="304"/>
      <c r="RVV116" s="572"/>
      <c r="RVW116" s="573"/>
      <c r="RVX116" s="574"/>
      <c r="RVY116" s="575"/>
      <c r="RVZ116" s="583"/>
      <c r="RWA116" s="590"/>
      <c r="RWB116" s="589"/>
      <c r="RWC116" s="585"/>
      <c r="RWD116" s="577"/>
      <c r="RWE116" s="304"/>
      <c r="RWF116" s="572"/>
      <c r="RWG116" s="573"/>
      <c r="RWH116" s="574"/>
      <c r="RWI116" s="575"/>
      <c r="RWJ116" s="583"/>
      <c r="RWK116" s="590"/>
      <c r="RWL116" s="589"/>
      <c r="RWM116" s="585"/>
      <c r="RWN116" s="577"/>
      <c r="RWO116" s="304"/>
      <c r="RWP116" s="572"/>
      <c r="RWQ116" s="573"/>
      <c r="RWR116" s="574"/>
      <c r="RWS116" s="575"/>
      <c r="RWT116" s="583"/>
      <c r="RWU116" s="590"/>
      <c r="RWV116" s="589"/>
      <c r="RWW116" s="585"/>
      <c r="RWX116" s="577"/>
      <c r="RWY116" s="304"/>
      <c r="RWZ116" s="572"/>
      <c r="RXA116" s="573"/>
      <c r="RXB116" s="574"/>
      <c r="RXC116" s="575"/>
      <c r="RXD116" s="583"/>
      <c r="RXE116" s="590"/>
      <c r="RXF116" s="589"/>
      <c r="RXG116" s="585"/>
      <c r="RXH116" s="577"/>
      <c r="RXI116" s="304"/>
      <c r="RXJ116" s="572"/>
      <c r="RXK116" s="573"/>
      <c r="RXL116" s="574"/>
      <c r="RXM116" s="575"/>
      <c r="RXN116" s="583"/>
      <c r="RXO116" s="590"/>
      <c r="RXP116" s="589"/>
      <c r="RXQ116" s="585"/>
      <c r="RXR116" s="577"/>
      <c r="RXS116" s="304"/>
      <c r="RXT116" s="572"/>
      <c r="RXU116" s="573"/>
      <c r="RXV116" s="574"/>
      <c r="RXW116" s="575"/>
      <c r="RXX116" s="583"/>
      <c r="RXY116" s="590"/>
      <c r="RXZ116" s="589"/>
      <c r="RYA116" s="585"/>
      <c r="RYB116" s="577"/>
      <c r="RYC116" s="304"/>
      <c r="RYD116" s="572"/>
      <c r="RYE116" s="573"/>
      <c r="RYF116" s="574"/>
      <c r="RYG116" s="575"/>
      <c r="RYH116" s="583"/>
      <c r="RYI116" s="590"/>
      <c r="RYJ116" s="589"/>
      <c r="RYK116" s="585"/>
      <c r="RYL116" s="577"/>
      <c r="RYM116" s="304"/>
      <c r="RYN116" s="572"/>
      <c r="RYO116" s="573"/>
      <c r="RYP116" s="574"/>
      <c r="RYQ116" s="575"/>
      <c r="RYR116" s="583"/>
      <c r="RYS116" s="590"/>
      <c r="RYT116" s="589"/>
      <c r="RYU116" s="585"/>
      <c r="RYV116" s="577"/>
      <c r="RYW116" s="304"/>
      <c r="RYX116" s="572"/>
      <c r="RYY116" s="573"/>
      <c r="RYZ116" s="574"/>
      <c r="RZA116" s="575"/>
      <c r="RZB116" s="583"/>
      <c r="RZC116" s="590"/>
      <c r="RZD116" s="589"/>
      <c r="RZE116" s="585"/>
      <c r="RZF116" s="577"/>
      <c r="RZG116" s="304"/>
      <c r="RZH116" s="572"/>
      <c r="RZI116" s="573"/>
      <c r="RZJ116" s="574"/>
      <c r="RZK116" s="575"/>
      <c r="RZL116" s="583"/>
      <c r="RZM116" s="590"/>
      <c r="RZN116" s="589"/>
      <c r="RZO116" s="585"/>
      <c r="RZP116" s="577"/>
      <c r="RZQ116" s="304"/>
      <c r="RZR116" s="572"/>
      <c r="RZS116" s="573"/>
      <c r="RZT116" s="574"/>
      <c r="RZU116" s="575"/>
      <c r="RZV116" s="583"/>
      <c r="RZW116" s="590"/>
      <c r="RZX116" s="589"/>
      <c r="RZY116" s="585"/>
      <c r="RZZ116" s="577"/>
      <c r="SAA116" s="304"/>
      <c r="SAB116" s="572"/>
      <c r="SAC116" s="573"/>
      <c r="SAD116" s="574"/>
      <c r="SAE116" s="575"/>
      <c r="SAF116" s="583"/>
      <c r="SAG116" s="590"/>
      <c r="SAH116" s="589"/>
      <c r="SAI116" s="585"/>
      <c r="SAJ116" s="577"/>
      <c r="SAK116" s="304"/>
      <c r="SAL116" s="572"/>
      <c r="SAM116" s="573"/>
      <c r="SAN116" s="574"/>
      <c r="SAO116" s="575"/>
      <c r="SAP116" s="583"/>
      <c r="SAQ116" s="590"/>
      <c r="SAR116" s="589"/>
      <c r="SAS116" s="585"/>
      <c r="SAT116" s="577"/>
      <c r="SAU116" s="304"/>
      <c r="SAV116" s="572"/>
      <c r="SAW116" s="573"/>
      <c r="SAX116" s="574"/>
      <c r="SAY116" s="575"/>
      <c r="SAZ116" s="583"/>
      <c r="SBA116" s="590"/>
      <c r="SBB116" s="589"/>
      <c r="SBC116" s="585"/>
      <c r="SBD116" s="577"/>
      <c r="SBE116" s="304"/>
      <c r="SBF116" s="572"/>
      <c r="SBG116" s="573"/>
      <c r="SBH116" s="574"/>
      <c r="SBI116" s="575"/>
      <c r="SBJ116" s="583"/>
      <c r="SBK116" s="590"/>
      <c r="SBL116" s="589"/>
      <c r="SBM116" s="585"/>
      <c r="SBN116" s="577"/>
      <c r="SBO116" s="304"/>
      <c r="SBP116" s="572"/>
      <c r="SBQ116" s="573"/>
      <c r="SBR116" s="574"/>
      <c r="SBS116" s="575"/>
      <c r="SBT116" s="583"/>
      <c r="SBU116" s="590"/>
      <c r="SBV116" s="589"/>
      <c r="SBW116" s="585"/>
      <c r="SBX116" s="577"/>
      <c r="SBY116" s="304"/>
      <c r="SBZ116" s="572"/>
      <c r="SCA116" s="573"/>
      <c r="SCB116" s="574"/>
      <c r="SCC116" s="575"/>
      <c r="SCD116" s="583"/>
      <c r="SCE116" s="590"/>
      <c r="SCF116" s="589"/>
      <c r="SCG116" s="585"/>
      <c r="SCH116" s="577"/>
      <c r="SCI116" s="304"/>
      <c r="SCJ116" s="572"/>
      <c r="SCK116" s="573"/>
      <c r="SCL116" s="574"/>
      <c r="SCM116" s="575"/>
      <c r="SCN116" s="583"/>
      <c r="SCO116" s="590"/>
      <c r="SCP116" s="589"/>
      <c r="SCQ116" s="585"/>
      <c r="SCR116" s="577"/>
      <c r="SCS116" s="304"/>
      <c r="SCT116" s="572"/>
      <c r="SCU116" s="573"/>
      <c r="SCV116" s="574"/>
      <c r="SCW116" s="575"/>
      <c r="SCX116" s="583"/>
      <c r="SCY116" s="590"/>
      <c r="SCZ116" s="589"/>
      <c r="SDA116" s="585"/>
      <c r="SDB116" s="577"/>
      <c r="SDC116" s="304"/>
      <c r="SDD116" s="572"/>
      <c r="SDE116" s="573"/>
      <c r="SDF116" s="574"/>
      <c r="SDG116" s="575"/>
      <c r="SDH116" s="583"/>
      <c r="SDI116" s="590"/>
      <c r="SDJ116" s="589"/>
      <c r="SDK116" s="585"/>
      <c r="SDL116" s="577"/>
      <c r="SDM116" s="304"/>
      <c r="SDN116" s="572"/>
      <c r="SDO116" s="573"/>
      <c r="SDP116" s="574"/>
      <c r="SDQ116" s="575"/>
      <c r="SDR116" s="583"/>
      <c r="SDS116" s="590"/>
      <c r="SDT116" s="589"/>
      <c r="SDU116" s="585"/>
      <c r="SDV116" s="577"/>
      <c r="SDW116" s="304"/>
      <c r="SDX116" s="572"/>
      <c r="SDY116" s="573"/>
      <c r="SDZ116" s="574"/>
      <c r="SEA116" s="575"/>
      <c r="SEB116" s="583"/>
      <c r="SEC116" s="590"/>
      <c r="SED116" s="589"/>
      <c r="SEE116" s="585"/>
      <c r="SEF116" s="577"/>
      <c r="SEG116" s="304"/>
      <c r="SEH116" s="572"/>
      <c r="SEI116" s="573"/>
      <c r="SEJ116" s="574"/>
      <c r="SEK116" s="575"/>
      <c r="SEL116" s="583"/>
      <c r="SEM116" s="590"/>
      <c r="SEN116" s="589"/>
      <c r="SEO116" s="585"/>
      <c r="SEP116" s="577"/>
      <c r="SEQ116" s="304"/>
      <c r="SER116" s="572"/>
      <c r="SES116" s="573"/>
      <c r="SET116" s="574"/>
      <c r="SEU116" s="575"/>
      <c r="SEV116" s="583"/>
      <c r="SEW116" s="590"/>
      <c r="SEX116" s="589"/>
      <c r="SEY116" s="585"/>
      <c r="SEZ116" s="577"/>
      <c r="SFA116" s="304"/>
      <c r="SFB116" s="572"/>
      <c r="SFC116" s="573"/>
      <c r="SFD116" s="574"/>
      <c r="SFE116" s="575"/>
      <c r="SFF116" s="583"/>
      <c r="SFG116" s="590"/>
      <c r="SFH116" s="589"/>
      <c r="SFI116" s="585"/>
      <c r="SFJ116" s="577"/>
      <c r="SFK116" s="304"/>
      <c r="SFL116" s="572"/>
      <c r="SFM116" s="573"/>
      <c r="SFN116" s="574"/>
      <c r="SFO116" s="575"/>
      <c r="SFP116" s="583"/>
      <c r="SFQ116" s="590"/>
      <c r="SFR116" s="589"/>
      <c r="SFS116" s="585"/>
      <c r="SFT116" s="577"/>
      <c r="SFU116" s="304"/>
      <c r="SFV116" s="572"/>
      <c r="SFW116" s="573"/>
      <c r="SFX116" s="574"/>
      <c r="SFY116" s="575"/>
      <c r="SFZ116" s="583"/>
      <c r="SGA116" s="590"/>
      <c r="SGB116" s="589"/>
      <c r="SGC116" s="585"/>
      <c r="SGD116" s="577"/>
      <c r="SGE116" s="304"/>
      <c r="SGF116" s="572"/>
      <c r="SGG116" s="573"/>
      <c r="SGH116" s="574"/>
      <c r="SGI116" s="575"/>
      <c r="SGJ116" s="583"/>
      <c r="SGK116" s="590"/>
      <c r="SGL116" s="589"/>
      <c r="SGM116" s="585"/>
      <c r="SGN116" s="577"/>
      <c r="SGO116" s="304"/>
      <c r="SGP116" s="572"/>
      <c r="SGQ116" s="573"/>
      <c r="SGR116" s="574"/>
      <c r="SGS116" s="575"/>
      <c r="SGT116" s="583"/>
      <c r="SGU116" s="590"/>
      <c r="SGV116" s="589"/>
      <c r="SGW116" s="585"/>
      <c r="SGX116" s="577"/>
      <c r="SGY116" s="304"/>
      <c r="SGZ116" s="572"/>
      <c r="SHA116" s="573"/>
      <c r="SHB116" s="574"/>
      <c r="SHC116" s="575"/>
      <c r="SHD116" s="583"/>
      <c r="SHE116" s="590"/>
      <c r="SHF116" s="589"/>
      <c r="SHG116" s="585"/>
      <c r="SHH116" s="577"/>
      <c r="SHI116" s="304"/>
      <c r="SHJ116" s="572"/>
      <c r="SHK116" s="573"/>
      <c r="SHL116" s="574"/>
      <c r="SHM116" s="575"/>
      <c r="SHN116" s="583"/>
      <c r="SHO116" s="590"/>
      <c r="SHP116" s="589"/>
      <c r="SHQ116" s="585"/>
      <c r="SHR116" s="577"/>
      <c r="SHS116" s="304"/>
      <c r="SHT116" s="572"/>
      <c r="SHU116" s="573"/>
      <c r="SHV116" s="574"/>
      <c r="SHW116" s="575"/>
      <c r="SHX116" s="583"/>
      <c r="SHY116" s="590"/>
      <c r="SHZ116" s="589"/>
      <c r="SIA116" s="585"/>
      <c r="SIB116" s="577"/>
      <c r="SIC116" s="304"/>
      <c r="SID116" s="572"/>
      <c r="SIE116" s="573"/>
      <c r="SIF116" s="574"/>
      <c r="SIG116" s="575"/>
      <c r="SIH116" s="583"/>
      <c r="SII116" s="590"/>
      <c r="SIJ116" s="589"/>
      <c r="SIK116" s="585"/>
      <c r="SIL116" s="577"/>
      <c r="SIM116" s="304"/>
      <c r="SIN116" s="572"/>
      <c r="SIO116" s="573"/>
      <c r="SIP116" s="574"/>
      <c r="SIQ116" s="575"/>
      <c r="SIR116" s="583"/>
      <c r="SIS116" s="590"/>
      <c r="SIT116" s="589"/>
      <c r="SIU116" s="585"/>
      <c r="SIV116" s="577"/>
      <c r="SIW116" s="304"/>
      <c r="SIX116" s="572"/>
      <c r="SIY116" s="573"/>
      <c r="SIZ116" s="574"/>
      <c r="SJA116" s="575"/>
      <c r="SJB116" s="583"/>
      <c r="SJC116" s="590"/>
      <c r="SJD116" s="589"/>
      <c r="SJE116" s="585"/>
      <c r="SJF116" s="577"/>
      <c r="SJG116" s="304"/>
      <c r="SJH116" s="572"/>
      <c r="SJI116" s="573"/>
      <c r="SJJ116" s="574"/>
      <c r="SJK116" s="575"/>
      <c r="SJL116" s="583"/>
      <c r="SJM116" s="590"/>
      <c r="SJN116" s="589"/>
      <c r="SJO116" s="585"/>
      <c r="SJP116" s="577"/>
      <c r="SJQ116" s="304"/>
      <c r="SJR116" s="572"/>
      <c r="SJS116" s="573"/>
      <c r="SJT116" s="574"/>
      <c r="SJU116" s="575"/>
      <c r="SJV116" s="583"/>
      <c r="SJW116" s="590"/>
      <c r="SJX116" s="589"/>
      <c r="SJY116" s="585"/>
      <c r="SJZ116" s="577"/>
      <c r="SKA116" s="304"/>
      <c r="SKB116" s="572"/>
      <c r="SKC116" s="573"/>
      <c r="SKD116" s="574"/>
      <c r="SKE116" s="575"/>
      <c r="SKF116" s="583"/>
      <c r="SKG116" s="590"/>
      <c r="SKH116" s="589"/>
      <c r="SKI116" s="585"/>
      <c r="SKJ116" s="577"/>
      <c r="SKK116" s="304"/>
      <c r="SKL116" s="572"/>
      <c r="SKM116" s="573"/>
      <c r="SKN116" s="574"/>
      <c r="SKO116" s="575"/>
      <c r="SKP116" s="583"/>
      <c r="SKQ116" s="590"/>
      <c r="SKR116" s="589"/>
      <c r="SKS116" s="585"/>
      <c r="SKT116" s="577"/>
      <c r="SKU116" s="304"/>
      <c r="SKV116" s="572"/>
      <c r="SKW116" s="573"/>
      <c r="SKX116" s="574"/>
      <c r="SKY116" s="575"/>
      <c r="SKZ116" s="583"/>
      <c r="SLA116" s="590"/>
      <c r="SLB116" s="589"/>
      <c r="SLC116" s="585"/>
      <c r="SLD116" s="577"/>
      <c r="SLE116" s="304"/>
      <c r="SLF116" s="572"/>
      <c r="SLG116" s="573"/>
      <c r="SLH116" s="574"/>
      <c r="SLI116" s="575"/>
      <c r="SLJ116" s="583"/>
      <c r="SLK116" s="590"/>
      <c r="SLL116" s="589"/>
      <c r="SLM116" s="585"/>
      <c r="SLN116" s="577"/>
      <c r="SLO116" s="304"/>
      <c r="SLP116" s="572"/>
      <c r="SLQ116" s="573"/>
      <c r="SLR116" s="574"/>
      <c r="SLS116" s="575"/>
      <c r="SLT116" s="583"/>
      <c r="SLU116" s="590"/>
      <c r="SLV116" s="589"/>
      <c r="SLW116" s="585"/>
      <c r="SLX116" s="577"/>
      <c r="SLY116" s="304"/>
      <c r="SLZ116" s="572"/>
      <c r="SMA116" s="573"/>
      <c r="SMB116" s="574"/>
      <c r="SMC116" s="575"/>
      <c r="SMD116" s="583"/>
      <c r="SME116" s="590"/>
      <c r="SMF116" s="589"/>
      <c r="SMG116" s="585"/>
      <c r="SMH116" s="577"/>
      <c r="SMI116" s="304"/>
      <c r="SMJ116" s="572"/>
      <c r="SMK116" s="573"/>
      <c r="SML116" s="574"/>
      <c r="SMM116" s="575"/>
      <c r="SMN116" s="583"/>
      <c r="SMO116" s="590"/>
      <c r="SMP116" s="589"/>
      <c r="SMQ116" s="585"/>
      <c r="SMR116" s="577"/>
      <c r="SMS116" s="304"/>
      <c r="SMT116" s="572"/>
      <c r="SMU116" s="573"/>
      <c r="SMV116" s="574"/>
      <c r="SMW116" s="575"/>
      <c r="SMX116" s="583"/>
      <c r="SMY116" s="590"/>
      <c r="SMZ116" s="589"/>
      <c r="SNA116" s="585"/>
      <c r="SNB116" s="577"/>
      <c r="SNC116" s="304"/>
      <c r="SND116" s="572"/>
      <c r="SNE116" s="573"/>
      <c r="SNF116" s="574"/>
      <c r="SNG116" s="575"/>
      <c r="SNH116" s="583"/>
      <c r="SNI116" s="590"/>
      <c r="SNJ116" s="589"/>
      <c r="SNK116" s="585"/>
      <c r="SNL116" s="577"/>
      <c r="SNM116" s="304"/>
      <c r="SNN116" s="572"/>
      <c r="SNO116" s="573"/>
      <c r="SNP116" s="574"/>
      <c r="SNQ116" s="575"/>
      <c r="SNR116" s="583"/>
      <c r="SNS116" s="590"/>
      <c r="SNT116" s="589"/>
      <c r="SNU116" s="585"/>
      <c r="SNV116" s="577"/>
      <c r="SNW116" s="304"/>
      <c r="SNX116" s="572"/>
      <c r="SNY116" s="573"/>
      <c r="SNZ116" s="574"/>
      <c r="SOA116" s="575"/>
      <c r="SOB116" s="583"/>
      <c r="SOC116" s="590"/>
      <c r="SOD116" s="589"/>
      <c r="SOE116" s="585"/>
      <c r="SOF116" s="577"/>
      <c r="SOG116" s="304"/>
      <c r="SOH116" s="572"/>
      <c r="SOI116" s="573"/>
      <c r="SOJ116" s="574"/>
      <c r="SOK116" s="575"/>
      <c r="SOL116" s="583"/>
      <c r="SOM116" s="590"/>
      <c r="SON116" s="589"/>
      <c r="SOO116" s="585"/>
      <c r="SOP116" s="577"/>
      <c r="SOQ116" s="304"/>
      <c r="SOR116" s="572"/>
      <c r="SOS116" s="573"/>
      <c r="SOT116" s="574"/>
      <c r="SOU116" s="575"/>
      <c r="SOV116" s="583"/>
      <c r="SOW116" s="590"/>
      <c r="SOX116" s="589"/>
      <c r="SOY116" s="585"/>
      <c r="SOZ116" s="577"/>
      <c r="SPA116" s="304"/>
      <c r="SPB116" s="572"/>
      <c r="SPC116" s="573"/>
      <c r="SPD116" s="574"/>
      <c r="SPE116" s="575"/>
      <c r="SPF116" s="583"/>
      <c r="SPG116" s="590"/>
      <c r="SPH116" s="589"/>
      <c r="SPI116" s="585"/>
      <c r="SPJ116" s="577"/>
      <c r="SPK116" s="304"/>
      <c r="SPL116" s="572"/>
      <c r="SPM116" s="573"/>
      <c r="SPN116" s="574"/>
      <c r="SPO116" s="575"/>
      <c r="SPP116" s="583"/>
      <c r="SPQ116" s="590"/>
      <c r="SPR116" s="589"/>
      <c r="SPS116" s="585"/>
      <c r="SPT116" s="577"/>
      <c r="SPU116" s="304"/>
      <c r="SPV116" s="572"/>
      <c r="SPW116" s="573"/>
      <c r="SPX116" s="574"/>
      <c r="SPY116" s="575"/>
      <c r="SPZ116" s="583"/>
      <c r="SQA116" s="590"/>
      <c r="SQB116" s="589"/>
      <c r="SQC116" s="585"/>
      <c r="SQD116" s="577"/>
      <c r="SQE116" s="304"/>
      <c r="SQF116" s="572"/>
      <c r="SQG116" s="573"/>
      <c r="SQH116" s="574"/>
      <c r="SQI116" s="575"/>
      <c r="SQJ116" s="583"/>
      <c r="SQK116" s="590"/>
      <c r="SQL116" s="589"/>
      <c r="SQM116" s="585"/>
      <c r="SQN116" s="577"/>
      <c r="SQO116" s="304"/>
      <c r="SQP116" s="572"/>
      <c r="SQQ116" s="573"/>
      <c r="SQR116" s="574"/>
      <c r="SQS116" s="575"/>
      <c r="SQT116" s="583"/>
      <c r="SQU116" s="590"/>
      <c r="SQV116" s="589"/>
      <c r="SQW116" s="585"/>
      <c r="SQX116" s="577"/>
      <c r="SQY116" s="304"/>
      <c r="SQZ116" s="572"/>
      <c r="SRA116" s="573"/>
      <c r="SRB116" s="574"/>
      <c r="SRC116" s="575"/>
      <c r="SRD116" s="583"/>
      <c r="SRE116" s="590"/>
      <c r="SRF116" s="589"/>
      <c r="SRG116" s="585"/>
      <c r="SRH116" s="577"/>
      <c r="SRI116" s="304"/>
      <c r="SRJ116" s="572"/>
      <c r="SRK116" s="573"/>
      <c r="SRL116" s="574"/>
      <c r="SRM116" s="575"/>
      <c r="SRN116" s="583"/>
      <c r="SRO116" s="590"/>
      <c r="SRP116" s="589"/>
      <c r="SRQ116" s="585"/>
      <c r="SRR116" s="577"/>
      <c r="SRS116" s="304"/>
      <c r="SRT116" s="572"/>
      <c r="SRU116" s="573"/>
      <c r="SRV116" s="574"/>
      <c r="SRW116" s="575"/>
      <c r="SRX116" s="583"/>
      <c r="SRY116" s="590"/>
      <c r="SRZ116" s="589"/>
      <c r="SSA116" s="585"/>
      <c r="SSB116" s="577"/>
      <c r="SSC116" s="304"/>
      <c r="SSD116" s="572"/>
      <c r="SSE116" s="573"/>
      <c r="SSF116" s="574"/>
      <c r="SSG116" s="575"/>
      <c r="SSH116" s="583"/>
      <c r="SSI116" s="590"/>
      <c r="SSJ116" s="589"/>
      <c r="SSK116" s="585"/>
      <c r="SSL116" s="577"/>
      <c r="SSM116" s="304"/>
      <c r="SSN116" s="572"/>
      <c r="SSO116" s="573"/>
      <c r="SSP116" s="574"/>
      <c r="SSQ116" s="575"/>
      <c r="SSR116" s="583"/>
      <c r="SSS116" s="590"/>
      <c r="SST116" s="589"/>
      <c r="SSU116" s="585"/>
      <c r="SSV116" s="577"/>
      <c r="SSW116" s="304"/>
      <c r="SSX116" s="572"/>
      <c r="SSY116" s="573"/>
      <c r="SSZ116" s="574"/>
      <c r="STA116" s="575"/>
      <c r="STB116" s="583"/>
      <c r="STC116" s="590"/>
      <c r="STD116" s="589"/>
      <c r="STE116" s="585"/>
      <c r="STF116" s="577"/>
      <c r="STG116" s="304"/>
      <c r="STH116" s="572"/>
      <c r="STI116" s="573"/>
      <c r="STJ116" s="574"/>
      <c r="STK116" s="575"/>
      <c r="STL116" s="583"/>
      <c r="STM116" s="590"/>
      <c r="STN116" s="589"/>
      <c r="STO116" s="585"/>
      <c r="STP116" s="577"/>
      <c r="STQ116" s="304"/>
      <c r="STR116" s="572"/>
      <c r="STS116" s="573"/>
      <c r="STT116" s="574"/>
      <c r="STU116" s="575"/>
      <c r="STV116" s="583"/>
      <c r="STW116" s="590"/>
      <c r="STX116" s="589"/>
      <c r="STY116" s="585"/>
      <c r="STZ116" s="577"/>
      <c r="SUA116" s="304"/>
      <c r="SUB116" s="572"/>
      <c r="SUC116" s="573"/>
      <c r="SUD116" s="574"/>
      <c r="SUE116" s="575"/>
      <c r="SUF116" s="583"/>
      <c r="SUG116" s="590"/>
      <c r="SUH116" s="589"/>
      <c r="SUI116" s="585"/>
      <c r="SUJ116" s="577"/>
      <c r="SUK116" s="304"/>
      <c r="SUL116" s="572"/>
      <c r="SUM116" s="573"/>
      <c r="SUN116" s="574"/>
      <c r="SUO116" s="575"/>
      <c r="SUP116" s="583"/>
      <c r="SUQ116" s="590"/>
      <c r="SUR116" s="589"/>
      <c r="SUS116" s="585"/>
      <c r="SUT116" s="577"/>
      <c r="SUU116" s="304"/>
      <c r="SUV116" s="572"/>
      <c r="SUW116" s="573"/>
      <c r="SUX116" s="574"/>
      <c r="SUY116" s="575"/>
      <c r="SUZ116" s="583"/>
      <c r="SVA116" s="590"/>
      <c r="SVB116" s="589"/>
      <c r="SVC116" s="585"/>
      <c r="SVD116" s="577"/>
      <c r="SVE116" s="304"/>
      <c r="SVF116" s="572"/>
      <c r="SVG116" s="573"/>
      <c r="SVH116" s="574"/>
      <c r="SVI116" s="575"/>
      <c r="SVJ116" s="583"/>
      <c r="SVK116" s="590"/>
      <c r="SVL116" s="589"/>
      <c r="SVM116" s="585"/>
      <c r="SVN116" s="577"/>
      <c r="SVO116" s="304"/>
      <c r="SVP116" s="572"/>
      <c r="SVQ116" s="573"/>
      <c r="SVR116" s="574"/>
      <c r="SVS116" s="575"/>
      <c r="SVT116" s="583"/>
      <c r="SVU116" s="590"/>
      <c r="SVV116" s="589"/>
      <c r="SVW116" s="585"/>
      <c r="SVX116" s="577"/>
      <c r="SVY116" s="304"/>
      <c r="SVZ116" s="572"/>
      <c r="SWA116" s="573"/>
      <c r="SWB116" s="574"/>
      <c r="SWC116" s="575"/>
      <c r="SWD116" s="583"/>
      <c r="SWE116" s="590"/>
      <c r="SWF116" s="589"/>
      <c r="SWG116" s="585"/>
      <c r="SWH116" s="577"/>
      <c r="SWI116" s="304"/>
      <c r="SWJ116" s="572"/>
      <c r="SWK116" s="573"/>
      <c r="SWL116" s="574"/>
      <c r="SWM116" s="575"/>
      <c r="SWN116" s="583"/>
      <c r="SWO116" s="590"/>
      <c r="SWP116" s="589"/>
      <c r="SWQ116" s="585"/>
      <c r="SWR116" s="577"/>
      <c r="SWS116" s="304"/>
      <c r="SWT116" s="572"/>
      <c r="SWU116" s="573"/>
      <c r="SWV116" s="574"/>
      <c r="SWW116" s="575"/>
      <c r="SWX116" s="583"/>
      <c r="SWY116" s="590"/>
      <c r="SWZ116" s="589"/>
      <c r="SXA116" s="585"/>
      <c r="SXB116" s="577"/>
      <c r="SXC116" s="304"/>
      <c r="SXD116" s="572"/>
      <c r="SXE116" s="573"/>
      <c r="SXF116" s="574"/>
      <c r="SXG116" s="575"/>
      <c r="SXH116" s="583"/>
      <c r="SXI116" s="590"/>
      <c r="SXJ116" s="589"/>
      <c r="SXK116" s="585"/>
      <c r="SXL116" s="577"/>
      <c r="SXM116" s="304"/>
      <c r="SXN116" s="572"/>
      <c r="SXO116" s="573"/>
      <c r="SXP116" s="574"/>
      <c r="SXQ116" s="575"/>
      <c r="SXR116" s="583"/>
      <c r="SXS116" s="590"/>
      <c r="SXT116" s="589"/>
      <c r="SXU116" s="585"/>
      <c r="SXV116" s="577"/>
      <c r="SXW116" s="304"/>
      <c r="SXX116" s="572"/>
      <c r="SXY116" s="573"/>
      <c r="SXZ116" s="574"/>
      <c r="SYA116" s="575"/>
      <c r="SYB116" s="583"/>
      <c r="SYC116" s="590"/>
      <c r="SYD116" s="589"/>
      <c r="SYE116" s="585"/>
      <c r="SYF116" s="577"/>
      <c r="SYG116" s="304"/>
      <c r="SYH116" s="572"/>
      <c r="SYI116" s="573"/>
      <c r="SYJ116" s="574"/>
      <c r="SYK116" s="575"/>
      <c r="SYL116" s="583"/>
      <c r="SYM116" s="590"/>
      <c r="SYN116" s="589"/>
      <c r="SYO116" s="585"/>
      <c r="SYP116" s="577"/>
      <c r="SYQ116" s="304"/>
      <c r="SYR116" s="572"/>
      <c r="SYS116" s="573"/>
      <c r="SYT116" s="574"/>
      <c r="SYU116" s="575"/>
      <c r="SYV116" s="583"/>
      <c r="SYW116" s="590"/>
      <c r="SYX116" s="589"/>
      <c r="SYY116" s="585"/>
      <c r="SYZ116" s="577"/>
      <c r="SZA116" s="304"/>
      <c r="SZB116" s="572"/>
      <c r="SZC116" s="573"/>
      <c r="SZD116" s="574"/>
      <c r="SZE116" s="575"/>
      <c r="SZF116" s="583"/>
      <c r="SZG116" s="590"/>
      <c r="SZH116" s="589"/>
      <c r="SZI116" s="585"/>
      <c r="SZJ116" s="577"/>
      <c r="SZK116" s="304"/>
      <c r="SZL116" s="572"/>
      <c r="SZM116" s="573"/>
      <c r="SZN116" s="574"/>
      <c r="SZO116" s="575"/>
      <c r="SZP116" s="583"/>
      <c r="SZQ116" s="590"/>
      <c r="SZR116" s="589"/>
      <c r="SZS116" s="585"/>
      <c r="SZT116" s="577"/>
      <c r="SZU116" s="304"/>
      <c r="SZV116" s="572"/>
      <c r="SZW116" s="573"/>
      <c r="SZX116" s="574"/>
      <c r="SZY116" s="575"/>
      <c r="SZZ116" s="583"/>
      <c r="TAA116" s="590"/>
      <c r="TAB116" s="589"/>
      <c r="TAC116" s="585"/>
      <c r="TAD116" s="577"/>
      <c r="TAE116" s="304"/>
      <c r="TAF116" s="572"/>
      <c r="TAG116" s="573"/>
      <c r="TAH116" s="574"/>
      <c r="TAI116" s="575"/>
      <c r="TAJ116" s="583"/>
      <c r="TAK116" s="590"/>
      <c r="TAL116" s="589"/>
      <c r="TAM116" s="585"/>
      <c r="TAN116" s="577"/>
      <c r="TAO116" s="304"/>
      <c r="TAP116" s="572"/>
      <c r="TAQ116" s="573"/>
      <c r="TAR116" s="574"/>
      <c r="TAS116" s="575"/>
      <c r="TAT116" s="583"/>
      <c r="TAU116" s="590"/>
      <c r="TAV116" s="589"/>
      <c r="TAW116" s="585"/>
      <c r="TAX116" s="577"/>
      <c r="TAY116" s="304"/>
      <c r="TAZ116" s="572"/>
      <c r="TBA116" s="573"/>
      <c r="TBB116" s="574"/>
      <c r="TBC116" s="575"/>
      <c r="TBD116" s="583"/>
      <c r="TBE116" s="590"/>
      <c r="TBF116" s="589"/>
      <c r="TBG116" s="585"/>
      <c r="TBH116" s="577"/>
      <c r="TBI116" s="304"/>
      <c r="TBJ116" s="572"/>
      <c r="TBK116" s="573"/>
      <c r="TBL116" s="574"/>
      <c r="TBM116" s="575"/>
      <c r="TBN116" s="583"/>
      <c r="TBO116" s="590"/>
      <c r="TBP116" s="589"/>
      <c r="TBQ116" s="585"/>
      <c r="TBR116" s="577"/>
      <c r="TBS116" s="304"/>
      <c r="TBT116" s="572"/>
      <c r="TBU116" s="573"/>
      <c r="TBV116" s="574"/>
      <c r="TBW116" s="575"/>
      <c r="TBX116" s="583"/>
      <c r="TBY116" s="590"/>
      <c r="TBZ116" s="589"/>
      <c r="TCA116" s="585"/>
      <c r="TCB116" s="577"/>
      <c r="TCC116" s="304"/>
      <c r="TCD116" s="572"/>
      <c r="TCE116" s="573"/>
      <c r="TCF116" s="574"/>
      <c r="TCG116" s="575"/>
      <c r="TCH116" s="583"/>
      <c r="TCI116" s="590"/>
      <c r="TCJ116" s="589"/>
      <c r="TCK116" s="585"/>
      <c r="TCL116" s="577"/>
      <c r="TCM116" s="304"/>
      <c r="TCN116" s="572"/>
      <c r="TCO116" s="573"/>
      <c r="TCP116" s="574"/>
      <c r="TCQ116" s="575"/>
      <c r="TCR116" s="583"/>
      <c r="TCS116" s="590"/>
      <c r="TCT116" s="589"/>
      <c r="TCU116" s="585"/>
      <c r="TCV116" s="577"/>
      <c r="TCW116" s="304"/>
      <c r="TCX116" s="572"/>
      <c r="TCY116" s="573"/>
      <c r="TCZ116" s="574"/>
      <c r="TDA116" s="575"/>
      <c r="TDB116" s="583"/>
      <c r="TDC116" s="590"/>
      <c r="TDD116" s="589"/>
      <c r="TDE116" s="585"/>
      <c r="TDF116" s="577"/>
      <c r="TDG116" s="304"/>
      <c r="TDH116" s="572"/>
      <c r="TDI116" s="573"/>
      <c r="TDJ116" s="574"/>
      <c r="TDK116" s="575"/>
      <c r="TDL116" s="583"/>
      <c r="TDM116" s="590"/>
      <c r="TDN116" s="589"/>
      <c r="TDO116" s="585"/>
      <c r="TDP116" s="577"/>
      <c r="TDQ116" s="304"/>
      <c r="TDR116" s="572"/>
      <c r="TDS116" s="573"/>
      <c r="TDT116" s="574"/>
      <c r="TDU116" s="575"/>
      <c r="TDV116" s="583"/>
      <c r="TDW116" s="590"/>
      <c r="TDX116" s="589"/>
      <c r="TDY116" s="585"/>
      <c r="TDZ116" s="577"/>
      <c r="TEA116" s="304"/>
      <c r="TEB116" s="572"/>
      <c r="TEC116" s="573"/>
      <c r="TED116" s="574"/>
      <c r="TEE116" s="575"/>
      <c r="TEF116" s="583"/>
      <c r="TEG116" s="590"/>
      <c r="TEH116" s="589"/>
      <c r="TEI116" s="585"/>
      <c r="TEJ116" s="577"/>
      <c r="TEK116" s="304"/>
      <c r="TEL116" s="572"/>
      <c r="TEM116" s="573"/>
      <c r="TEN116" s="574"/>
      <c r="TEO116" s="575"/>
      <c r="TEP116" s="583"/>
      <c r="TEQ116" s="590"/>
      <c r="TER116" s="589"/>
      <c r="TES116" s="585"/>
      <c r="TET116" s="577"/>
      <c r="TEU116" s="304"/>
      <c r="TEV116" s="572"/>
      <c r="TEW116" s="573"/>
      <c r="TEX116" s="574"/>
      <c r="TEY116" s="575"/>
      <c r="TEZ116" s="583"/>
      <c r="TFA116" s="590"/>
      <c r="TFB116" s="589"/>
      <c r="TFC116" s="585"/>
      <c r="TFD116" s="577"/>
      <c r="TFE116" s="304"/>
      <c r="TFF116" s="572"/>
      <c r="TFG116" s="573"/>
      <c r="TFH116" s="574"/>
      <c r="TFI116" s="575"/>
      <c r="TFJ116" s="583"/>
      <c r="TFK116" s="590"/>
      <c r="TFL116" s="589"/>
      <c r="TFM116" s="585"/>
      <c r="TFN116" s="577"/>
      <c r="TFO116" s="304"/>
      <c r="TFP116" s="572"/>
      <c r="TFQ116" s="573"/>
      <c r="TFR116" s="574"/>
      <c r="TFS116" s="575"/>
      <c r="TFT116" s="583"/>
      <c r="TFU116" s="590"/>
      <c r="TFV116" s="589"/>
      <c r="TFW116" s="585"/>
      <c r="TFX116" s="577"/>
      <c r="TFY116" s="304"/>
      <c r="TFZ116" s="572"/>
      <c r="TGA116" s="573"/>
      <c r="TGB116" s="574"/>
      <c r="TGC116" s="575"/>
      <c r="TGD116" s="583"/>
      <c r="TGE116" s="590"/>
      <c r="TGF116" s="589"/>
      <c r="TGG116" s="585"/>
      <c r="TGH116" s="577"/>
      <c r="TGI116" s="304"/>
      <c r="TGJ116" s="572"/>
      <c r="TGK116" s="573"/>
      <c r="TGL116" s="574"/>
      <c r="TGM116" s="575"/>
      <c r="TGN116" s="583"/>
      <c r="TGO116" s="590"/>
      <c r="TGP116" s="589"/>
      <c r="TGQ116" s="585"/>
      <c r="TGR116" s="577"/>
      <c r="TGS116" s="304"/>
      <c r="TGT116" s="572"/>
      <c r="TGU116" s="573"/>
      <c r="TGV116" s="574"/>
      <c r="TGW116" s="575"/>
      <c r="TGX116" s="583"/>
      <c r="TGY116" s="590"/>
      <c r="TGZ116" s="589"/>
      <c r="THA116" s="585"/>
      <c r="THB116" s="577"/>
      <c r="THC116" s="304"/>
      <c r="THD116" s="572"/>
      <c r="THE116" s="573"/>
      <c r="THF116" s="574"/>
      <c r="THG116" s="575"/>
      <c r="THH116" s="583"/>
      <c r="THI116" s="590"/>
      <c r="THJ116" s="589"/>
      <c r="THK116" s="585"/>
      <c r="THL116" s="577"/>
      <c r="THM116" s="304"/>
      <c r="THN116" s="572"/>
      <c r="THO116" s="573"/>
      <c r="THP116" s="574"/>
      <c r="THQ116" s="575"/>
      <c r="THR116" s="583"/>
      <c r="THS116" s="590"/>
      <c r="THT116" s="589"/>
      <c r="THU116" s="585"/>
      <c r="THV116" s="577"/>
      <c r="THW116" s="304"/>
      <c r="THX116" s="572"/>
      <c r="THY116" s="573"/>
      <c r="THZ116" s="574"/>
      <c r="TIA116" s="575"/>
      <c r="TIB116" s="583"/>
      <c r="TIC116" s="590"/>
      <c r="TID116" s="589"/>
      <c r="TIE116" s="585"/>
      <c r="TIF116" s="577"/>
      <c r="TIG116" s="304"/>
      <c r="TIH116" s="572"/>
      <c r="TII116" s="573"/>
      <c r="TIJ116" s="574"/>
      <c r="TIK116" s="575"/>
      <c r="TIL116" s="583"/>
      <c r="TIM116" s="590"/>
      <c r="TIN116" s="589"/>
      <c r="TIO116" s="585"/>
      <c r="TIP116" s="577"/>
      <c r="TIQ116" s="304"/>
      <c r="TIR116" s="572"/>
      <c r="TIS116" s="573"/>
      <c r="TIT116" s="574"/>
      <c r="TIU116" s="575"/>
      <c r="TIV116" s="583"/>
      <c r="TIW116" s="590"/>
      <c r="TIX116" s="589"/>
      <c r="TIY116" s="585"/>
      <c r="TIZ116" s="577"/>
      <c r="TJA116" s="304"/>
      <c r="TJB116" s="572"/>
      <c r="TJC116" s="573"/>
      <c r="TJD116" s="574"/>
      <c r="TJE116" s="575"/>
      <c r="TJF116" s="583"/>
      <c r="TJG116" s="590"/>
      <c r="TJH116" s="589"/>
      <c r="TJI116" s="585"/>
      <c r="TJJ116" s="577"/>
      <c r="TJK116" s="304"/>
      <c r="TJL116" s="572"/>
      <c r="TJM116" s="573"/>
      <c r="TJN116" s="574"/>
      <c r="TJO116" s="575"/>
      <c r="TJP116" s="583"/>
      <c r="TJQ116" s="590"/>
      <c r="TJR116" s="589"/>
      <c r="TJS116" s="585"/>
      <c r="TJT116" s="577"/>
      <c r="TJU116" s="304"/>
      <c r="TJV116" s="572"/>
      <c r="TJW116" s="573"/>
      <c r="TJX116" s="574"/>
      <c r="TJY116" s="575"/>
      <c r="TJZ116" s="583"/>
      <c r="TKA116" s="590"/>
      <c r="TKB116" s="589"/>
      <c r="TKC116" s="585"/>
      <c r="TKD116" s="577"/>
      <c r="TKE116" s="304"/>
      <c r="TKF116" s="572"/>
      <c r="TKG116" s="573"/>
      <c r="TKH116" s="574"/>
      <c r="TKI116" s="575"/>
      <c r="TKJ116" s="583"/>
      <c r="TKK116" s="590"/>
      <c r="TKL116" s="589"/>
      <c r="TKM116" s="585"/>
      <c r="TKN116" s="577"/>
      <c r="TKO116" s="304"/>
      <c r="TKP116" s="572"/>
      <c r="TKQ116" s="573"/>
      <c r="TKR116" s="574"/>
      <c r="TKS116" s="575"/>
      <c r="TKT116" s="583"/>
      <c r="TKU116" s="590"/>
      <c r="TKV116" s="589"/>
      <c r="TKW116" s="585"/>
      <c r="TKX116" s="577"/>
      <c r="TKY116" s="304"/>
      <c r="TKZ116" s="572"/>
      <c r="TLA116" s="573"/>
      <c r="TLB116" s="574"/>
      <c r="TLC116" s="575"/>
      <c r="TLD116" s="583"/>
      <c r="TLE116" s="590"/>
      <c r="TLF116" s="589"/>
      <c r="TLG116" s="585"/>
      <c r="TLH116" s="577"/>
      <c r="TLI116" s="304"/>
      <c r="TLJ116" s="572"/>
      <c r="TLK116" s="573"/>
      <c r="TLL116" s="574"/>
      <c r="TLM116" s="575"/>
      <c r="TLN116" s="583"/>
      <c r="TLO116" s="590"/>
      <c r="TLP116" s="589"/>
      <c r="TLQ116" s="585"/>
      <c r="TLR116" s="577"/>
      <c r="TLS116" s="304"/>
      <c r="TLT116" s="572"/>
      <c r="TLU116" s="573"/>
      <c r="TLV116" s="574"/>
      <c r="TLW116" s="575"/>
      <c r="TLX116" s="583"/>
      <c r="TLY116" s="590"/>
      <c r="TLZ116" s="589"/>
      <c r="TMA116" s="585"/>
      <c r="TMB116" s="577"/>
      <c r="TMC116" s="304"/>
      <c r="TMD116" s="572"/>
      <c r="TME116" s="573"/>
      <c r="TMF116" s="574"/>
      <c r="TMG116" s="575"/>
      <c r="TMH116" s="583"/>
      <c r="TMI116" s="590"/>
      <c r="TMJ116" s="589"/>
      <c r="TMK116" s="585"/>
      <c r="TML116" s="577"/>
      <c r="TMM116" s="304"/>
      <c r="TMN116" s="572"/>
      <c r="TMO116" s="573"/>
      <c r="TMP116" s="574"/>
      <c r="TMQ116" s="575"/>
      <c r="TMR116" s="583"/>
      <c r="TMS116" s="590"/>
      <c r="TMT116" s="589"/>
      <c r="TMU116" s="585"/>
      <c r="TMV116" s="577"/>
      <c r="TMW116" s="304"/>
      <c r="TMX116" s="572"/>
      <c r="TMY116" s="573"/>
      <c r="TMZ116" s="574"/>
      <c r="TNA116" s="575"/>
      <c r="TNB116" s="583"/>
      <c r="TNC116" s="590"/>
      <c r="TND116" s="589"/>
      <c r="TNE116" s="585"/>
      <c r="TNF116" s="577"/>
      <c r="TNG116" s="304"/>
      <c r="TNH116" s="572"/>
      <c r="TNI116" s="573"/>
      <c r="TNJ116" s="574"/>
      <c r="TNK116" s="575"/>
      <c r="TNL116" s="583"/>
      <c r="TNM116" s="590"/>
      <c r="TNN116" s="589"/>
      <c r="TNO116" s="585"/>
      <c r="TNP116" s="577"/>
      <c r="TNQ116" s="304"/>
      <c r="TNR116" s="572"/>
      <c r="TNS116" s="573"/>
      <c r="TNT116" s="574"/>
      <c r="TNU116" s="575"/>
      <c r="TNV116" s="583"/>
      <c r="TNW116" s="590"/>
      <c r="TNX116" s="589"/>
      <c r="TNY116" s="585"/>
      <c r="TNZ116" s="577"/>
      <c r="TOA116" s="304"/>
      <c r="TOB116" s="572"/>
      <c r="TOC116" s="573"/>
      <c r="TOD116" s="574"/>
      <c r="TOE116" s="575"/>
      <c r="TOF116" s="583"/>
      <c r="TOG116" s="590"/>
      <c r="TOH116" s="589"/>
      <c r="TOI116" s="585"/>
      <c r="TOJ116" s="577"/>
      <c r="TOK116" s="304"/>
      <c r="TOL116" s="572"/>
      <c r="TOM116" s="573"/>
      <c r="TON116" s="574"/>
      <c r="TOO116" s="575"/>
      <c r="TOP116" s="583"/>
      <c r="TOQ116" s="590"/>
      <c r="TOR116" s="589"/>
      <c r="TOS116" s="585"/>
      <c r="TOT116" s="577"/>
      <c r="TOU116" s="304"/>
      <c r="TOV116" s="572"/>
      <c r="TOW116" s="573"/>
      <c r="TOX116" s="574"/>
      <c r="TOY116" s="575"/>
      <c r="TOZ116" s="583"/>
      <c r="TPA116" s="590"/>
      <c r="TPB116" s="589"/>
      <c r="TPC116" s="585"/>
      <c r="TPD116" s="577"/>
      <c r="TPE116" s="304"/>
      <c r="TPF116" s="572"/>
      <c r="TPG116" s="573"/>
      <c r="TPH116" s="574"/>
      <c r="TPI116" s="575"/>
      <c r="TPJ116" s="583"/>
      <c r="TPK116" s="590"/>
      <c r="TPL116" s="589"/>
      <c r="TPM116" s="585"/>
      <c r="TPN116" s="577"/>
      <c r="TPO116" s="304"/>
      <c r="TPP116" s="572"/>
      <c r="TPQ116" s="573"/>
      <c r="TPR116" s="574"/>
      <c r="TPS116" s="575"/>
      <c r="TPT116" s="583"/>
      <c r="TPU116" s="590"/>
      <c r="TPV116" s="589"/>
      <c r="TPW116" s="585"/>
      <c r="TPX116" s="577"/>
      <c r="TPY116" s="304"/>
      <c r="TPZ116" s="572"/>
      <c r="TQA116" s="573"/>
      <c r="TQB116" s="574"/>
      <c r="TQC116" s="575"/>
      <c r="TQD116" s="583"/>
      <c r="TQE116" s="590"/>
      <c r="TQF116" s="589"/>
      <c r="TQG116" s="585"/>
      <c r="TQH116" s="577"/>
      <c r="TQI116" s="304"/>
      <c r="TQJ116" s="572"/>
      <c r="TQK116" s="573"/>
      <c r="TQL116" s="574"/>
      <c r="TQM116" s="575"/>
      <c r="TQN116" s="583"/>
      <c r="TQO116" s="590"/>
      <c r="TQP116" s="589"/>
      <c r="TQQ116" s="585"/>
      <c r="TQR116" s="577"/>
      <c r="TQS116" s="304"/>
      <c r="TQT116" s="572"/>
      <c r="TQU116" s="573"/>
      <c r="TQV116" s="574"/>
      <c r="TQW116" s="575"/>
      <c r="TQX116" s="583"/>
      <c r="TQY116" s="590"/>
      <c r="TQZ116" s="589"/>
      <c r="TRA116" s="585"/>
      <c r="TRB116" s="577"/>
      <c r="TRC116" s="304"/>
      <c r="TRD116" s="572"/>
      <c r="TRE116" s="573"/>
      <c r="TRF116" s="574"/>
      <c r="TRG116" s="575"/>
      <c r="TRH116" s="583"/>
      <c r="TRI116" s="590"/>
      <c r="TRJ116" s="589"/>
      <c r="TRK116" s="585"/>
      <c r="TRL116" s="577"/>
      <c r="TRM116" s="304"/>
      <c r="TRN116" s="572"/>
      <c r="TRO116" s="573"/>
      <c r="TRP116" s="574"/>
      <c r="TRQ116" s="575"/>
      <c r="TRR116" s="583"/>
      <c r="TRS116" s="590"/>
      <c r="TRT116" s="589"/>
      <c r="TRU116" s="585"/>
      <c r="TRV116" s="577"/>
      <c r="TRW116" s="304"/>
      <c r="TRX116" s="572"/>
      <c r="TRY116" s="573"/>
      <c r="TRZ116" s="574"/>
      <c r="TSA116" s="575"/>
      <c r="TSB116" s="583"/>
      <c r="TSC116" s="590"/>
      <c r="TSD116" s="589"/>
      <c r="TSE116" s="585"/>
      <c r="TSF116" s="577"/>
      <c r="TSG116" s="304"/>
      <c r="TSH116" s="572"/>
      <c r="TSI116" s="573"/>
      <c r="TSJ116" s="574"/>
      <c r="TSK116" s="575"/>
      <c r="TSL116" s="583"/>
      <c r="TSM116" s="590"/>
      <c r="TSN116" s="589"/>
      <c r="TSO116" s="585"/>
      <c r="TSP116" s="577"/>
      <c r="TSQ116" s="304"/>
      <c r="TSR116" s="572"/>
      <c r="TSS116" s="573"/>
      <c r="TST116" s="574"/>
      <c r="TSU116" s="575"/>
      <c r="TSV116" s="583"/>
      <c r="TSW116" s="590"/>
      <c r="TSX116" s="589"/>
      <c r="TSY116" s="585"/>
      <c r="TSZ116" s="577"/>
      <c r="TTA116" s="304"/>
      <c r="TTB116" s="572"/>
      <c r="TTC116" s="573"/>
      <c r="TTD116" s="574"/>
      <c r="TTE116" s="575"/>
      <c r="TTF116" s="583"/>
      <c r="TTG116" s="590"/>
      <c r="TTH116" s="589"/>
      <c r="TTI116" s="585"/>
      <c r="TTJ116" s="577"/>
      <c r="TTK116" s="304"/>
      <c r="TTL116" s="572"/>
      <c r="TTM116" s="573"/>
      <c r="TTN116" s="574"/>
      <c r="TTO116" s="575"/>
      <c r="TTP116" s="583"/>
      <c r="TTQ116" s="590"/>
      <c r="TTR116" s="589"/>
      <c r="TTS116" s="585"/>
      <c r="TTT116" s="577"/>
      <c r="TTU116" s="304"/>
      <c r="TTV116" s="572"/>
      <c r="TTW116" s="573"/>
      <c r="TTX116" s="574"/>
      <c r="TTY116" s="575"/>
      <c r="TTZ116" s="583"/>
      <c r="TUA116" s="590"/>
      <c r="TUB116" s="589"/>
      <c r="TUC116" s="585"/>
      <c r="TUD116" s="577"/>
      <c r="TUE116" s="304"/>
      <c r="TUF116" s="572"/>
      <c r="TUG116" s="573"/>
      <c r="TUH116" s="574"/>
      <c r="TUI116" s="575"/>
      <c r="TUJ116" s="583"/>
      <c r="TUK116" s="590"/>
      <c r="TUL116" s="589"/>
      <c r="TUM116" s="585"/>
      <c r="TUN116" s="577"/>
      <c r="TUO116" s="304"/>
      <c r="TUP116" s="572"/>
      <c r="TUQ116" s="573"/>
      <c r="TUR116" s="574"/>
      <c r="TUS116" s="575"/>
      <c r="TUT116" s="583"/>
      <c r="TUU116" s="590"/>
      <c r="TUV116" s="589"/>
      <c r="TUW116" s="585"/>
      <c r="TUX116" s="577"/>
      <c r="TUY116" s="304"/>
      <c r="TUZ116" s="572"/>
      <c r="TVA116" s="573"/>
      <c r="TVB116" s="574"/>
      <c r="TVC116" s="575"/>
      <c r="TVD116" s="583"/>
      <c r="TVE116" s="590"/>
      <c r="TVF116" s="589"/>
      <c r="TVG116" s="585"/>
      <c r="TVH116" s="577"/>
      <c r="TVI116" s="304"/>
      <c r="TVJ116" s="572"/>
      <c r="TVK116" s="573"/>
      <c r="TVL116" s="574"/>
      <c r="TVM116" s="575"/>
      <c r="TVN116" s="583"/>
      <c r="TVO116" s="590"/>
      <c r="TVP116" s="589"/>
      <c r="TVQ116" s="585"/>
      <c r="TVR116" s="577"/>
      <c r="TVS116" s="304"/>
      <c r="TVT116" s="572"/>
      <c r="TVU116" s="573"/>
      <c r="TVV116" s="574"/>
      <c r="TVW116" s="575"/>
      <c r="TVX116" s="583"/>
      <c r="TVY116" s="590"/>
      <c r="TVZ116" s="589"/>
      <c r="TWA116" s="585"/>
      <c r="TWB116" s="577"/>
      <c r="TWC116" s="304"/>
      <c r="TWD116" s="572"/>
      <c r="TWE116" s="573"/>
      <c r="TWF116" s="574"/>
      <c r="TWG116" s="575"/>
      <c r="TWH116" s="583"/>
      <c r="TWI116" s="590"/>
      <c r="TWJ116" s="589"/>
      <c r="TWK116" s="585"/>
      <c r="TWL116" s="577"/>
      <c r="TWM116" s="304"/>
      <c r="TWN116" s="572"/>
      <c r="TWO116" s="573"/>
      <c r="TWP116" s="574"/>
      <c r="TWQ116" s="575"/>
      <c r="TWR116" s="583"/>
      <c r="TWS116" s="590"/>
      <c r="TWT116" s="589"/>
      <c r="TWU116" s="585"/>
      <c r="TWV116" s="577"/>
      <c r="TWW116" s="304"/>
      <c r="TWX116" s="572"/>
      <c r="TWY116" s="573"/>
      <c r="TWZ116" s="574"/>
      <c r="TXA116" s="575"/>
      <c r="TXB116" s="583"/>
      <c r="TXC116" s="590"/>
      <c r="TXD116" s="589"/>
      <c r="TXE116" s="585"/>
      <c r="TXF116" s="577"/>
      <c r="TXG116" s="304"/>
      <c r="TXH116" s="572"/>
      <c r="TXI116" s="573"/>
      <c r="TXJ116" s="574"/>
      <c r="TXK116" s="575"/>
      <c r="TXL116" s="583"/>
      <c r="TXM116" s="590"/>
      <c r="TXN116" s="589"/>
      <c r="TXO116" s="585"/>
      <c r="TXP116" s="577"/>
      <c r="TXQ116" s="304"/>
      <c r="TXR116" s="572"/>
      <c r="TXS116" s="573"/>
      <c r="TXT116" s="574"/>
      <c r="TXU116" s="575"/>
      <c r="TXV116" s="583"/>
      <c r="TXW116" s="590"/>
      <c r="TXX116" s="589"/>
      <c r="TXY116" s="585"/>
      <c r="TXZ116" s="577"/>
      <c r="TYA116" s="304"/>
      <c r="TYB116" s="572"/>
      <c r="TYC116" s="573"/>
      <c r="TYD116" s="574"/>
      <c r="TYE116" s="575"/>
      <c r="TYF116" s="583"/>
      <c r="TYG116" s="590"/>
      <c r="TYH116" s="589"/>
      <c r="TYI116" s="585"/>
      <c r="TYJ116" s="577"/>
      <c r="TYK116" s="304"/>
      <c r="TYL116" s="572"/>
      <c r="TYM116" s="573"/>
      <c r="TYN116" s="574"/>
      <c r="TYO116" s="575"/>
      <c r="TYP116" s="583"/>
      <c r="TYQ116" s="590"/>
      <c r="TYR116" s="589"/>
      <c r="TYS116" s="585"/>
      <c r="TYT116" s="577"/>
      <c r="TYU116" s="304"/>
      <c r="TYV116" s="572"/>
      <c r="TYW116" s="573"/>
      <c r="TYX116" s="574"/>
      <c r="TYY116" s="575"/>
      <c r="TYZ116" s="583"/>
      <c r="TZA116" s="590"/>
      <c r="TZB116" s="589"/>
      <c r="TZC116" s="585"/>
      <c r="TZD116" s="577"/>
      <c r="TZE116" s="304"/>
      <c r="TZF116" s="572"/>
      <c r="TZG116" s="573"/>
      <c r="TZH116" s="574"/>
      <c r="TZI116" s="575"/>
      <c r="TZJ116" s="583"/>
      <c r="TZK116" s="590"/>
      <c r="TZL116" s="589"/>
      <c r="TZM116" s="585"/>
      <c r="TZN116" s="577"/>
      <c r="TZO116" s="304"/>
      <c r="TZP116" s="572"/>
      <c r="TZQ116" s="573"/>
      <c r="TZR116" s="574"/>
      <c r="TZS116" s="575"/>
      <c r="TZT116" s="583"/>
      <c r="TZU116" s="590"/>
      <c r="TZV116" s="589"/>
      <c r="TZW116" s="585"/>
      <c r="TZX116" s="577"/>
      <c r="TZY116" s="304"/>
      <c r="TZZ116" s="572"/>
      <c r="UAA116" s="573"/>
      <c r="UAB116" s="574"/>
      <c r="UAC116" s="575"/>
      <c r="UAD116" s="583"/>
      <c r="UAE116" s="590"/>
      <c r="UAF116" s="589"/>
      <c r="UAG116" s="585"/>
      <c r="UAH116" s="577"/>
      <c r="UAI116" s="304"/>
      <c r="UAJ116" s="572"/>
      <c r="UAK116" s="573"/>
      <c r="UAL116" s="574"/>
      <c r="UAM116" s="575"/>
      <c r="UAN116" s="583"/>
      <c r="UAO116" s="590"/>
      <c r="UAP116" s="589"/>
      <c r="UAQ116" s="585"/>
      <c r="UAR116" s="577"/>
      <c r="UAS116" s="304"/>
      <c r="UAT116" s="572"/>
      <c r="UAU116" s="573"/>
      <c r="UAV116" s="574"/>
      <c r="UAW116" s="575"/>
      <c r="UAX116" s="583"/>
      <c r="UAY116" s="590"/>
      <c r="UAZ116" s="589"/>
      <c r="UBA116" s="585"/>
      <c r="UBB116" s="577"/>
      <c r="UBC116" s="304"/>
      <c r="UBD116" s="572"/>
      <c r="UBE116" s="573"/>
      <c r="UBF116" s="574"/>
      <c r="UBG116" s="575"/>
      <c r="UBH116" s="583"/>
      <c r="UBI116" s="590"/>
      <c r="UBJ116" s="589"/>
      <c r="UBK116" s="585"/>
      <c r="UBL116" s="577"/>
      <c r="UBM116" s="304"/>
      <c r="UBN116" s="572"/>
      <c r="UBO116" s="573"/>
      <c r="UBP116" s="574"/>
      <c r="UBQ116" s="575"/>
      <c r="UBR116" s="583"/>
      <c r="UBS116" s="590"/>
      <c r="UBT116" s="589"/>
      <c r="UBU116" s="585"/>
      <c r="UBV116" s="577"/>
      <c r="UBW116" s="304"/>
      <c r="UBX116" s="572"/>
      <c r="UBY116" s="573"/>
      <c r="UBZ116" s="574"/>
      <c r="UCA116" s="575"/>
      <c r="UCB116" s="583"/>
      <c r="UCC116" s="590"/>
      <c r="UCD116" s="589"/>
      <c r="UCE116" s="585"/>
      <c r="UCF116" s="577"/>
      <c r="UCG116" s="304"/>
      <c r="UCH116" s="572"/>
      <c r="UCI116" s="573"/>
      <c r="UCJ116" s="574"/>
      <c r="UCK116" s="575"/>
      <c r="UCL116" s="583"/>
      <c r="UCM116" s="590"/>
      <c r="UCN116" s="589"/>
      <c r="UCO116" s="585"/>
      <c r="UCP116" s="577"/>
      <c r="UCQ116" s="304"/>
      <c r="UCR116" s="572"/>
      <c r="UCS116" s="573"/>
      <c r="UCT116" s="574"/>
      <c r="UCU116" s="575"/>
      <c r="UCV116" s="583"/>
      <c r="UCW116" s="590"/>
      <c r="UCX116" s="589"/>
      <c r="UCY116" s="585"/>
      <c r="UCZ116" s="577"/>
      <c r="UDA116" s="304"/>
      <c r="UDB116" s="572"/>
      <c r="UDC116" s="573"/>
      <c r="UDD116" s="574"/>
      <c r="UDE116" s="575"/>
      <c r="UDF116" s="583"/>
      <c r="UDG116" s="590"/>
      <c r="UDH116" s="589"/>
      <c r="UDI116" s="585"/>
      <c r="UDJ116" s="577"/>
      <c r="UDK116" s="304"/>
      <c r="UDL116" s="572"/>
      <c r="UDM116" s="573"/>
      <c r="UDN116" s="574"/>
      <c r="UDO116" s="575"/>
      <c r="UDP116" s="583"/>
      <c r="UDQ116" s="590"/>
      <c r="UDR116" s="589"/>
      <c r="UDS116" s="585"/>
      <c r="UDT116" s="577"/>
      <c r="UDU116" s="304"/>
      <c r="UDV116" s="572"/>
      <c r="UDW116" s="573"/>
      <c r="UDX116" s="574"/>
      <c r="UDY116" s="575"/>
      <c r="UDZ116" s="583"/>
      <c r="UEA116" s="590"/>
      <c r="UEB116" s="589"/>
      <c r="UEC116" s="585"/>
      <c r="UED116" s="577"/>
      <c r="UEE116" s="304"/>
      <c r="UEF116" s="572"/>
      <c r="UEG116" s="573"/>
      <c r="UEH116" s="574"/>
      <c r="UEI116" s="575"/>
      <c r="UEJ116" s="583"/>
      <c r="UEK116" s="590"/>
      <c r="UEL116" s="589"/>
      <c r="UEM116" s="585"/>
      <c r="UEN116" s="577"/>
      <c r="UEO116" s="304"/>
      <c r="UEP116" s="572"/>
      <c r="UEQ116" s="573"/>
      <c r="UER116" s="574"/>
      <c r="UES116" s="575"/>
      <c r="UET116" s="583"/>
      <c r="UEU116" s="590"/>
      <c r="UEV116" s="589"/>
      <c r="UEW116" s="585"/>
      <c r="UEX116" s="577"/>
      <c r="UEY116" s="304"/>
      <c r="UEZ116" s="572"/>
      <c r="UFA116" s="573"/>
      <c r="UFB116" s="574"/>
      <c r="UFC116" s="575"/>
      <c r="UFD116" s="583"/>
      <c r="UFE116" s="590"/>
      <c r="UFF116" s="589"/>
      <c r="UFG116" s="585"/>
      <c r="UFH116" s="577"/>
      <c r="UFI116" s="304"/>
      <c r="UFJ116" s="572"/>
      <c r="UFK116" s="573"/>
      <c r="UFL116" s="574"/>
      <c r="UFM116" s="575"/>
      <c r="UFN116" s="583"/>
      <c r="UFO116" s="590"/>
      <c r="UFP116" s="589"/>
      <c r="UFQ116" s="585"/>
      <c r="UFR116" s="577"/>
      <c r="UFS116" s="304"/>
      <c r="UFT116" s="572"/>
      <c r="UFU116" s="573"/>
      <c r="UFV116" s="574"/>
      <c r="UFW116" s="575"/>
      <c r="UFX116" s="583"/>
      <c r="UFY116" s="590"/>
      <c r="UFZ116" s="589"/>
      <c r="UGA116" s="585"/>
      <c r="UGB116" s="577"/>
      <c r="UGC116" s="304"/>
      <c r="UGD116" s="572"/>
      <c r="UGE116" s="573"/>
      <c r="UGF116" s="574"/>
      <c r="UGG116" s="575"/>
      <c r="UGH116" s="583"/>
      <c r="UGI116" s="590"/>
      <c r="UGJ116" s="589"/>
      <c r="UGK116" s="585"/>
      <c r="UGL116" s="577"/>
      <c r="UGM116" s="304"/>
      <c r="UGN116" s="572"/>
      <c r="UGO116" s="573"/>
      <c r="UGP116" s="574"/>
      <c r="UGQ116" s="575"/>
      <c r="UGR116" s="583"/>
      <c r="UGS116" s="590"/>
      <c r="UGT116" s="589"/>
      <c r="UGU116" s="585"/>
      <c r="UGV116" s="577"/>
      <c r="UGW116" s="304"/>
      <c r="UGX116" s="572"/>
      <c r="UGY116" s="573"/>
      <c r="UGZ116" s="574"/>
      <c r="UHA116" s="575"/>
      <c r="UHB116" s="583"/>
      <c r="UHC116" s="590"/>
      <c r="UHD116" s="589"/>
      <c r="UHE116" s="585"/>
      <c r="UHF116" s="577"/>
      <c r="UHG116" s="304"/>
      <c r="UHH116" s="572"/>
      <c r="UHI116" s="573"/>
      <c r="UHJ116" s="574"/>
      <c r="UHK116" s="575"/>
      <c r="UHL116" s="583"/>
      <c r="UHM116" s="590"/>
      <c r="UHN116" s="589"/>
      <c r="UHO116" s="585"/>
      <c r="UHP116" s="577"/>
      <c r="UHQ116" s="304"/>
      <c r="UHR116" s="572"/>
      <c r="UHS116" s="573"/>
      <c r="UHT116" s="574"/>
      <c r="UHU116" s="575"/>
      <c r="UHV116" s="583"/>
      <c r="UHW116" s="590"/>
      <c r="UHX116" s="589"/>
      <c r="UHY116" s="585"/>
      <c r="UHZ116" s="577"/>
      <c r="UIA116" s="304"/>
      <c r="UIB116" s="572"/>
      <c r="UIC116" s="573"/>
      <c r="UID116" s="574"/>
      <c r="UIE116" s="575"/>
      <c r="UIF116" s="583"/>
      <c r="UIG116" s="590"/>
      <c r="UIH116" s="589"/>
      <c r="UII116" s="585"/>
      <c r="UIJ116" s="577"/>
      <c r="UIK116" s="304"/>
      <c r="UIL116" s="572"/>
      <c r="UIM116" s="573"/>
      <c r="UIN116" s="574"/>
      <c r="UIO116" s="575"/>
      <c r="UIP116" s="583"/>
      <c r="UIQ116" s="590"/>
      <c r="UIR116" s="589"/>
      <c r="UIS116" s="585"/>
      <c r="UIT116" s="577"/>
      <c r="UIU116" s="304"/>
      <c r="UIV116" s="572"/>
      <c r="UIW116" s="573"/>
      <c r="UIX116" s="574"/>
      <c r="UIY116" s="575"/>
      <c r="UIZ116" s="583"/>
      <c r="UJA116" s="590"/>
      <c r="UJB116" s="589"/>
      <c r="UJC116" s="585"/>
      <c r="UJD116" s="577"/>
      <c r="UJE116" s="304"/>
      <c r="UJF116" s="572"/>
      <c r="UJG116" s="573"/>
      <c r="UJH116" s="574"/>
      <c r="UJI116" s="575"/>
      <c r="UJJ116" s="583"/>
      <c r="UJK116" s="590"/>
      <c r="UJL116" s="589"/>
      <c r="UJM116" s="585"/>
      <c r="UJN116" s="577"/>
      <c r="UJO116" s="304"/>
      <c r="UJP116" s="572"/>
      <c r="UJQ116" s="573"/>
      <c r="UJR116" s="574"/>
      <c r="UJS116" s="575"/>
      <c r="UJT116" s="583"/>
      <c r="UJU116" s="590"/>
      <c r="UJV116" s="589"/>
      <c r="UJW116" s="585"/>
      <c r="UJX116" s="577"/>
      <c r="UJY116" s="304"/>
      <c r="UJZ116" s="572"/>
      <c r="UKA116" s="573"/>
      <c r="UKB116" s="574"/>
      <c r="UKC116" s="575"/>
      <c r="UKD116" s="583"/>
      <c r="UKE116" s="590"/>
      <c r="UKF116" s="589"/>
      <c r="UKG116" s="585"/>
      <c r="UKH116" s="577"/>
      <c r="UKI116" s="304"/>
      <c r="UKJ116" s="572"/>
      <c r="UKK116" s="573"/>
      <c r="UKL116" s="574"/>
      <c r="UKM116" s="575"/>
      <c r="UKN116" s="583"/>
      <c r="UKO116" s="590"/>
      <c r="UKP116" s="589"/>
      <c r="UKQ116" s="585"/>
      <c r="UKR116" s="577"/>
      <c r="UKS116" s="304"/>
      <c r="UKT116" s="572"/>
      <c r="UKU116" s="573"/>
      <c r="UKV116" s="574"/>
      <c r="UKW116" s="575"/>
      <c r="UKX116" s="583"/>
      <c r="UKY116" s="590"/>
      <c r="UKZ116" s="589"/>
      <c r="ULA116" s="585"/>
      <c r="ULB116" s="577"/>
      <c r="ULC116" s="304"/>
      <c r="ULD116" s="572"/>
      <c r="ULE116" s="573"/>
      <c r="ULF116" s="574"/>
      <c r="ULG116" s="575"/>
      <c r="ULH116" s="583"/>
      <c r="ULI116" s="590"/>
      <c r="ULJ116" s="589"/>
      <c r="ULK116" s="585"/>
      <c r="ULL116" s="577"/>
      <c r="ULM116" s="304"/>
      <c r="ULN116" s="572"/>
      <c r="ULO116" s="573"/>
      <c r="ULP116" s="574"/>
      <c r="ULQ116" s="575"/>
      <c r="ULR116" s="583"/>
      <c r="ULS116" s="590"/>
      <c r="ULT116" s="589"/>
      <c r="ULU116" s="585"/>
      <c r="ULV116" s="577"/>
      <c r="ULW116" s="304"/>
      <c r="ULX116" s="572"/>
      <c r="ULY116" s="573"/>
      <c r="ULZ116" s="574"/>
      <c r="UMA116" s="575"/>
      <c r="UMB116" s="583"/>
      <c r="UMC116" s="590"/>
      <c r="UMD116" s="589"/>
      <c r="UME116" s="585"/>
      <c r="UMF116" s="577"/>
      <c r="UMG116" s="304"/>
      <c r="UMH116" s="572"/>
      <c r="UMI116" s="573"/>
      <c r="UMJ116" s="574"/>
      <c r="UMK116" s="575"/>
      <c r="UML116" s="583"/>
      <c r="UMM116" s="590"/>
      <c r="UMN116" s="589"/>
      <c r="UMO116" s="585"/>
      <c r="UMP116" s="577"/>
      <c r="UMQ116" s="304"/>
      <c r="UMR116" s="572"/>
      <c r="UMS116" s="573"/>
      <c r="UMT116" s="574"/>
      <c r="UMU116" s="575"/>
      <c r="UMV116" s="583"/>
      <c r="UMW116" s="590"/>
      <c r="UMX116" s="589"/>
      <c r="UMY116" s="585"/>
      <c r="UMZ116" s="577"/>
      <c r="UNA116" s="304"/>
      <c r="UNB116" s="572"/>
      <c r="UNC116" s="573"/>
      <c r="UND116" s="574"/>
      <c r="UNE116" s="575"/>
      <c r="UNF116" s="583"/>
      <c r="UNG116" s="590"/>
      <c r="UNH116" s="589"/>
      <c r="UNI116" s="585"/>
      <c r="UNJ116" s="577"/>
      <c r="UNK116" s="304"/>
      <c r="UNL116" s="572"/>
      <c r="UNM116" s="573"/>
      <c r="UNN116" s="574"/>
      <c r="UNO116" s="575"/>
      <c r="UNP116" s="583"/>
      <c r="UNQ116" s="590"/>
      <c r="UNR116" s="589"/>
      <c r="UNS116" s="585"/>
      <c r="UNT116" s="577"/>
      <c r="UNU116" s="304"/>
      <c r="UNV116" s="572"/>
      <c r="UNW116" s="573"/>
      <c r="UNX116" s="574"/>
      <c r="UNY116" s="575"/>
      <c r="UNZ116" s="583"/>
      <c r="UOA116" s="590"/>
      <c r="UOB116" s="589"/>
      <c r="UOC116" s="585"/>
      <c r="UOD116" s="577"/>
      <c r="UOE116" s="304"/>
      <c r="UOF116" s="572"/>
      <c r="UOG116" s="573"/>
      <c r="UOH116" s="574"/>
      <c r="UOI116" s="575"/>
      <c r="UOJ116" s="583"/>
      <c r="UOK116" s="590"/>
      <c r="UOL116" s="589"/>
      <c r="UOM116" s="585"/>
      <c r="UON116" s="577"/>
      <c r="UOO116" s="304"/>
      <c r="UOP116" s="572"/>
      <c r="UOQ116" s="573"/>
      <c r="UOR116" s="574"/>
      <c r="UOS116" s="575"/>
      <c r="UOT116" s="583"/>
      <c r="UOU116" s="590"/>
      <c r="UOV116" s="589"/>
      <c r="UOW116" s="585"/>
      <c r="UOX116" s="577"/>
      <c r="UOY116" s="304"/>
      <c r="UOZ116" s="572"/>
      <c r="UPA116" s="573"/>
      <c r="UPB116" s="574"/>
      <c r="UPC116" s="575"/>
      <c r="UPD116" s="583"/>
      <c r="UPE116" s="590"/>
      <c r="UPF116" s="589"/>
      <c r="UPG116" s="585"/>
      <c r="UPH116" s="577"/>
      <c r="UPI116" s="304"/>
      <c r="UPJ116" s="572"/>
      <c r="UPK116" s="573"/>
      <c r="UPL116" s="574"/>
      <c r="UPM116" s="575"/>
      <c r="UPN116" s="583"/>
      <c r="UPO116" s="590"/>
      <c r="UPP116" s="589"/>
      <c r="UPQ116" s="585"/>
      <c r="UPR116" s="577"/>
      <c r="UPS116" s="304"/>
      <c r="UPT116" s="572"/>
      <c r="UPU116" s="573"/>
      <c r="UPV116" s="574"/>
      <c r="UPW116" s="575"/>
      <c r="UPX116" s="583"/>
      <c r="UPY116" s="590"/>
      <c r="UPZ116" s="589"/>
      <c r="UQA116" s="585"/>
      <c r="UQB116" s="577"/>
      <c r="UQC116" s="304"/>
      <c r="UQD116" s="572"/>
      <c r="UQE116" s="573"/>
      <c r="UQF116" s="574"/>
      <c r="UQG116" s="575"/>
      <c r="UQH116" s="583"/>
      <c r="UQI116" s="590"/>
      <c r="UQJ116" s="589"/>
      <c r="UQK116" s="585"/>
      <c r="UQL116" s="577"/>
      <c r="UQM116" s="304"/>
      <c r="UQN116" s="572"/>
      <c r="UQO116" s="573"/>
      <c r="UQP116" s="574"/>
      <c r="UQQ116" s="575"/>
      <c r="UQR116" s="583"/>
      <c r="UQS116" s="590"/>
      <c r="UQT116" s="589"/>
      <c r="UQU116" s="585"/>
      <c r="UQV116" s="577"/>
      <c r="UQW116" s="304"/>
      <c r="UQX116" s="572"/>
      <c r="UQY116" s="573"/>
      <c r="UQZ116" s="574"/>
      <c r="URA116" s="575"/>
      <c r="URB116" s="583"/>
      <c r="URC116" s="590"/>
      <c r="URD116" s="589"/>
      <c r="URE116" s="585"/>
      <c r="URF116" s="577"/>
      <c r="URG116" s="304"/>
      <c r="URH116" s="572"/>
      <c r="URI116" s="573"/>
      <c r="URJ116" s="574"/>
      <c r="URK116" s="575"/>
      <c r="URL116" s="583"/>
      <c r="URM116" s="590"/>
      <c r="URN116" s="589"/>
      <c r="URO116" s="585"/>
      <c r="URP116" s="577"/>
      <c r="URQ116" s="304"/>
      <c r="URR116" s="572"/>
      <c r="URS116" s="573"/>
      <c r="URT116" s="574"/>
      <c r="URU116" s="575"/>
      <c r="URV116" s="583"/>
      <c r="URW116" s="590"/>
      <c r="URX116" s="589"/>
      <c r="URY116" s="585"/>
      <c r="URZ116" s="577"/>
      <c r="USA116" s="304"/>
      <c r="USB116" s="572"/>
      <c r="USC116" s="573"/>
      <c r="USD116" s="574"/>
      <c r="USE116" s="575"/>
      <c r="USF116" s="583"/>
      <c r="USG116" s="590"/>
      <c r="USH116" s="589"/>
      <c r="USI116" s="585"/>
      <c r="USJ116" s="577"/>
      <c r="USK116" s="304"/>
      <c r="USL116" s="572"/>
      <c r="USM116" s="573"/>
      <c r="USN116" s="574"/>
      <c r="USO116" s="575"/>
      <c r="USP116" s="583"/>
      <c r="USQ116" s="590"/>
      <c r="USR116" s="589"/>
      <c r="USS116" s="585"/>
      <c r="UST116" s="577"/>
      <c r="USU116" s="304"/>
      <c r="USV116" s="572"/>
      <c r="USW116" s="573"/>
      <c r="USX116" s="574"/>
      <c r="USY116" s="575"/>
      <c r="USZ116" s="583"/>
      <c r="UTA116" s="590"/>
      <c r="UTB116" s="589"/>
      <c r="UTC116" s="585"/>
      <c r="UTD116" s="577"/>
      <c r="UTE116" s="304"/>
      <c r="UTF116" s="572"/>
      <c r="UTG116" s="573"/>
      <c r="UTH116" s="574"/>
      <c r="UTI116" s="575"/>
      <c r="UTJ116" s="583"/>
      <c r="UTK116" s="590"/>
      <c r="UTL116" s="589"/>
      <c r="UTM116" s="585"/>
      <c r="UTN116" s="577"/>
      <c r="UTO116" s="304"/>
      <c r="UTP116" s="572"/>
      <c r="UTQ116" s="573"/>
      <c r="UTR116" s="574"/>
      <c r="UTS116" s="575"/>
      <c r="UTT116" s="583"/>
      <c r="UTU116" s="590"/>
      <c r="UTV116" s="589"/>
      <c r="UTW116" s="585"/>
      <c r="UTX116" s="577"/>
      <c r="UTY116" s="304"/>
      <c r="UTZ116" s="572"/>
      <c r="UUA116" s="573"/>
      <c r="UUB116" s="574"/>
      <c r="UUC116" s="575"/>
      <c r="UUD116" s="583"/>
      <c r="UUE116" s="590"/>
      <c r="UUF116" s="589"/>
      <c r="UUG116" s="585"/>
      <c r="UUH116" s="577"/>
      <c r="UUI116" s="304"/>
      <c r="UUJ116" s="572"/>
      <c r="UUK116" s="573"/>
      <c r="UUL116" s="574"/>
      <c r="UUM116" s="575"/>
      <c r="UUN116" s="583"/>
      <c r="UUO116" s="590"/>
      <c r="UUP116" s="589"/>
      <c r="UUQ116" s="585"/>
      <c r="UUR116" s="577"/>
      <c r="UUS116" s="304"/>
      <c r="UUT116" s="572"/>
      <c r="UUU116" s="573"/>
      <c r="UUV116" s="574"/>
      <c r="UUW116" s="575"/>
      <c r="UUX116" s="583"/>
      <c r="UUY116" s="590"/>
      <c r="UUZ116" s="589"/>
      <c r="UVA116" s="585"/>
      <c r="UVB116" s="577"/>
      <c r="UVC116" s="304"/>
      <c r="UVD116" s="572"/>
      <c r="UVE116" s="573"/>
      <c r="UVF116" s="574"/>
      <c r="UVG116" s="575"/>
      <c r="UVH116" s="583"/>
      <c r="UVI116" s="590"/>
      <c r="UVJ116" s="589"/>
      <c r="UVK116" s="585"/>
      <c r="UVL116" s="577"/>
      <c r="UVM116" s="304"/>
      <c r="UVN116" s="572"/>
      <c r="UVO116" s="573"/>
      <c r="UVP116" s="574"/>
      <c r="UVQ116" s="575"/>
      <c r="UVR116" s="583"/>
      <c r="UVS116" s="590"/>
      <c r="UVT116" s="589"/>
      <c r="UVU116" s="585"/>
      <c r="UVV116" s="577"/>
      <c r="UVW116" s="304"/>
      <c r="UVX116" s="572"/>
      <c r="UVY116" s="573"/>
      <c r="UVZ116" s="574"/>
      <c r="UWA116" s="575"/>
      <c r="UWB116" s="583"/>
      <c r="UWC116" s="590"/>
      <c r="UWD116" s="589"/>
      <c r="UWE116" s="585"/>
      <c r="UWF116" s="577"/>
      <c r="UWG116" s="304"/>
      <c r="UWH116" s="572"/>
      <c r="UWI116" s="573"/>
      <c r="UWJ116" s="574"/>
      <c r="UWK116" s="575"/>
      <c r="UWL116" s="583"/>
      <c r="UWM116" s="590"/>
      <c r="UWN116" s="589"/>
      <c r="UWO116" s="585"/>
      <c r="UWP116" s="577"/>
      <c r="UWQ116" s="304"/>
      <c r="UWR116" s="572"/>
      <c r="UWS116" s="573"/>
      <c r="UWT116" s="574"/>
      <c r="UWU116" s="575"/>
      <c r="UWV116" s="583"/>
      <c r="UWW116" s="590"/>
      <c r="UWX116" s="589"/>
      <c r="UWY116" s="585"/>
      <c r="UWZ116" s="577"/>
      <c r="UXA116" s="304"/>
      <c r="UXB116" s="572"/>
      <c r="UXC116" s="573"/>
      <c r="UXD116" s="574"/>
      <c r="UXE116" s="575"/>
      <c r="UXF116" s="583"/>
      <c r="UXG116" s="590"/>
      <c r="UXH116" s="589"/>
      <c r="UXI116" s="585"/>
      <c r="UXJ116" s="577"/>
      <c r="UXK116" s="304"/>
      <c r="UXL116" s="572"/>
      <c r="UXM116" s="573"/>
      <c r="UXN116" s="574"/>
      <c r="UXO116" s="575"/>
      <c r="UXP116" s="583"/>
      <c r="UXQ116" s="590"/>
      <c r="UXR116" s="589"/>
      <c r="UXS116" s="585"/>
      <c r="UXT116" s="577"/>
      <c r="UXU116" s="304"/>
      <c r="UXV116" s="572"/>
      <c r="UXW116" s="573"/>
      <c r="UXX116" s="574"/>
      <c r="UXY116" s="575"/>
      <c r="UXZ116" s="583"/>
      <c r="UYA116" s="590"/>
      <c r="UYB116" s="589"/>
      <c r="UYC116" s="585"/>
      <c r="UYD116" s="577"/>
      <c r="UYE116" s="304"/>
      <c r="UYF116" s="572"/>
      <c r="UYG116" s="573"/>
      <c r="UYH116" s="574"/>
      <c r="UYI116" s="575"/>
      <c r="UYJ116" s="583"/>
      <c r="UYK116" s="590"/>
      <c r="UYL116" s="589"/>
      <c r="UYM116" s="585"/>
      <c r="UYN116" s="577"/>
      <c r="UYO116" s="304"/>
      <c r="UYP116" s="572"/>
      <c r="UYQ116" s="573"/>
      <c r="UYR116" s="574"/>
      <c r="UYS116" s="575"/>
      <c r="UYT116" s="583"/>
      <c r="UYU116" s="590"/>
      <c r="UYV116" s="589"/>
      <c r="UYW116" s="585"/>
      <c r="UYX116" s="577"/>
      <c r="UYY116" s="304"/>
      <c r="UYZ116" s="572"/>
      <c r="UZA116" s="573"/>
      <c r="UZB116" s="574"/>
      <c r="UZC116" s="575"/>
      <c r="UZD116" s="583"/>
      <c r="UZE116" s="590"/>
      <c r="UZF116" s="589"/>
      <c r="UZG116" s="585"/>
      <c r="UZH116" s="577"/>
      <c r="UZI116" s="304"/>
      <c r="UZJ116" s="572"/>
      <c r="UZK116" s="573"/>
      <c r="UZL116" s="574"/>
      <c r="UZM116" s="575"/>
      <c r="UZN116" s="583"/>
      <c r="UZO116" s="590"/>
      <c r="UZP116" s="589"/>
      <c r="UZQ116" s="585"/>
      <c r="UZR116" s="577"/>
      <c r="UZS116" s="304"/>
      <c r="UZT116" s="572"/>
      <c r="UZU116" s="573"/>
      <c r="UZV116" s="574"/>
      <c r="UZW116" s="575"/>
      <c r="UZX116" s="583"/>
      <c r="UZY116" s="590"/>
      <c r="UZZ116" s="589"/>
      <c r="VAA116" s="585"/>
      <c r="VAB116" s="577"/>
      <c r="VAC116" s="304"/>
      <c r="VAD116" s="572"/>
      <c r="VAE116" s="573"/>
      <c r="VAF116" s="574"/>
      <c r="VAG116" s="575"/>
      <c r="VAH116" s="583"/>
      <c r="VAI116" s="590"/>
      <c r="VAJ116" s="589"/>
      <c r="VAK116" s="585"/>
      <c r="VAL116" s="577"/>
      <c r="VAM116" s="304"/>
      <c r="VAN116" s="572"/>
      <c r="VAO116" s="573"/>
      <c r="VAP116" s="574"/>
      <c r="VAQ116" s="575"/>
      <c r="VAR116" s="583"/>
      <c r="VAS116" s="590"/>
      <c r="VAT116" s="589"/>
      <c r="VAU116" s="585"/>
      <c r="VAV116" s="577"/>
      <c r="VAW116" s="304"/>
      <c r="VAX116" s="572"/>
      <c r="VAY116" s="573"/>
      <c r="VAZ116" s="574"/>
      <c r="VBA116" s="575"/>
      <c r="VBB116" s="583"/>
      <c r="VBC116" s="590"/>
      <c r="VBD116" s="589"/>
      <c r="VBE116" s="585"/>
      <c r="VBF116" s="577"/>
      <c r="VBG116" s="304"/>
      <c r="VBH116" s="572"/>
      <c r="VBI116" s="573"/>
      <c r="VBJ116" s="574"/>
      <c r="VBK116" s="575"/>
      <c r="VBL116" s="583"/>
      <c r="VBM116" s="590"/>
      <c r="VBN116" s="589"/>
      <c r="VBO116" s="585"/>
      <c r="VBP116" s="577"/>
      <c r="VBQ116" s="304"/>
      <c r="VBR116" s="572"/>
      <c r="VBS116" s="573"/>
      <c r="VBT116" s="574"/>
      <c r="VBU116" s="575"/>
      <c r="VBV116" s="583"/>
      <c r="VBW116" s="590"/>
      <c r="VBX116" s="589"/>
      <c r="VBY116" s="585"/>
      <c r="VBZ116" s="577"/>
      <c r="VCA116" s="304"/>
      <c r="VCB116" s="572"/>
      <c r="VCC116" s="573"/>
      <c r="VCD116" s="574"/>
      <c r="VCE116" s="575"/>
      <c r="VCF116" s="583"/>
      <c r="VCG116" s="590"/>
      <c r="VCH116" s="589"/>
      <c r="VCI116" s="585"/>
      <c r="VCJ116" s="577"/>
      <c r="VCK116" s="304"/>
      <c r="VCL116" s="572"/>
      <c r="VCM116" s="573"/>
      <c r="VCN116" s="574"/>
      <c r="VCO116" s="575"/>
      <c r="VCP116" s="583"/>
      <c r="VCQ116" s="590"/>
      <c r="VCR116" s="589"/>
      <c r="VCS116" s="585"/>
      <c r="VCT116" s="577"/>
      <c r="VCU116" s="304"/>
      <c r="VCV116" s="572"/>
      <c r="VCW116" s="573"/>
      <c r="VCX116" s="574"/>
      <c r="VCY116" s="575"/>
      <c r="VCZ116" s="583"/>
      <c r="VDA116" s="590"/>
      <c r="VDB116" s="589"/>
      <c r="VDC116" s="585"/>
      <c r="VDD116" s="577"/>
      <c r="VDE116" s="304"/>
      <c r="VDF116" s="572"/>
      <c r="VDG116" s="573"/>
      <c r="VDH116" s="574"/>
      <c r="VDI116" s="575"/>
      <c r="VDJ116" s="583"/>
      <c r="VDK116" s="590"/>
      <c r="VDL116" s="589"/>
      <c r="VDM116" s="585"/>
      <c r="VDN116" s="577"/>
      <c r="VDO116" s="304"/>
      <c r="VDP116" s="572"/>
      <c r="VDQ116" s="573"/>
      <c r="VDR116" s="574"/>
      <c r="VDS116" s="575"/>
      <c r="VDT116" s="583"/>
      <c r="VDU116" s="590"/>
      <c r="VDV116" s="589"/>
      <c r="VDW116" s="585"/>
      <c r="VDX116" s="577"/>
      <c r="VDY116" s="304"/>
      <c r="VDZ116" s="572"/>
      <c r="VEA116" s="573"/>
      <c r="VEB116" s="574"/>
      <c r="VEC116" s="575"/>
      <c r="VED116" s="583"/>
      <c r="VEE116" s="590"/>
      <c r="VEF116" s="589"/>
      <c r="VEG116" s="585"/>
      <c r="VEH116" s="577"/>
      <c r="VEI116" s="304"/>
      <c r="VEJ116" s="572"/>
      <c r="VEK116" s="573"/>
      <c r="VEL116" s="574"/>
      <c r="VEM116" s="575"/>
      <c r="VEN116" s="583"/>
      <c r="VEO116" s="590"/>
      <c r="VEP116" s="589"/>
      <c r="VEQ116" s="585"/>
      <c r="VER116" s="577"/>
      <c r="VES116" s="304"/>
      <c r="VET116" s="572"/>
      <c r="VEU116" s="573"/>
      <c r="VEV116" s="574"/>
      <c r="VEW116" s="575"/>
      <c r="VEX116" s="583"/>
      <c r="VEY116" s="590"/>
      <c r="VEZ116" s="589"/>
      <c r="VFA116" s="585"/>
      <c r="VFB116" s="577"/>
      <c r="VFC116" s="304"/>
      <c r="VFD116" s="572"/>
      <c r="VFE116" s="573"/>
      <c r="VFF116" s="574"/>
      <c r="VFG116" s="575"/>
      <c r="VFH116" s="583"/>
      <c r="VFI116" s="590"/>
      <c r="VFJ116" s="589"/>
      <c r="VFK116" s="585"/>
      <c r="VFL116" s="577"/>
      <c r="VFM116" s="304"/>
      <c r="VFN116" s="572"/>
      <c r="VFO116" s="573"/>
      <c r="VFP116" s="574"/>
      <c r="VFQ116" s="575"/>
      <c r="VFR116" s="583"/>
      <c r="VFS116" s="590"/>
      <c r="VFT116" s="589"/>
      <c r="VFU116" s="585"/>
      <c r="VFV116" s="577"/>
      <c r="VFW116" s="304"/>
      <c r="VFX116" s="572"/>
      <c r="VFY116" s="573"/>
      <c r="VFZ116" s="574"/>
      <c r="VGA116" s="575"/>
      <c r="VGB116" s="583"/>
      <c r="VGC116" s="590"/>
      <c r="VGD116" s="589"/>
      <c r="VGE116" s="585"/>
      <c r="VGF116" s="577"/>
      <c r="VGG116" s="304"/>
      <c r="VGH116" s="572"/>
      <c r="VGI116" s="573"/>
      <c r="VGJ116" s="574"/>
      <c r="VGK116" s="575"/>
      <c r="VGL116" s="583"/>
      <c r="VGM116" s="590"/>
      <c r="VGN116" s="589"/>
      <c r="VGO116" s="585"/>
      <c r="VGP116" s="577"/>
      <c r="VGQ116" s="304"/>
      <c r="VGR116" s="572"/>
      <c r="VGS116" s="573"/>
      <c r="VGT116" s="574"/>
      <c r="VGU116" s="575"/>
      <c r="VGV116" s="583"/>
      <c r="VGW116" s="590"/>
      <c r="VGX116" s="589"/>
      <c r="VGY116" s="585"/>
      <c r="VGZ116" s="577"/>
      <c r="VHA116" s="304"/>
      <c r="VHB116" s="572"/>
      <c r="VHC116" s="573"/>
      <c r="VHD116" s="574"/>
      <c r="VHE116" s="575"/>
      <c r="VHF116" s="583"/>
      <c r="VHG116" s="590"/>
      <c r="VHH116" s="589"/>
      <c r="VHI116" s="585"/>
      <c r="VHJ116" s="577"/>
      <c r="VHK116" s="304"/>
      <c r="VHL116" s="572"/>
      <c r="VHM116" s="573"/>
      <c r="VHN116" s="574"/>
      <c r="VHO116" s="575"/>
      <c r="VHP116" s="583"/>
      <c r="VHQ116" s="590"/>
      <c r="VHR116" s="589"/>
      <c r="VHS116" s="585"/>
      <c r="VHT116" s="577"/>
      <c r="VHU116" s="304"/>
      <c r="VHV116" s="572"/>
      <c r="VHW116" s="573"/>
      <c r="VHX116" s="574"/>
      <c r="VHY116" s="575"/>
      <c r="VHZ116" s="583"/>
      <c r="VIA116" s="590"/>
      <c r="VIB116" s="589"/>
      <c r="VIC116" s="585"/>
      <c r="VID116" s="577"/>
      <c r="VIE116" s="304"/>
      <c r="VIF116" s="572"/>
      <c r="VIG116" s="573"/>
      <c r="VIH116" s="574"/>
      <c r="VII116" s="575"/>
      <c r="VIJ116" s="583"/>
      <c r="VIK116" s="590"/>
      <c r="VIL116" s="589"/>
      <c r="VIM116" s="585"/>
      <c r="VIN116" s="577"/>
      <c r="VIO116" s="304"/>
      <c r="VIP116" s="572"/>
      <c r="VIQ116" s="573"/>
      <c r="VIR116" s="574"/>
      <c r="VIS116" s="575"/>
      <c r="VIT116" s="583"/>
      <c r="VIU116" s="590"/>
      <c r="VIV116" s="589"/>
      <c r="VIW116" s="585"/>
      <c r="VIX116" s="577"/>
      <c r="VIY116" s="304"/>
      <c r="VIZ116" s="572"/>
      <c r="VJA116" s="573"/>
      <c r="VJB116" s="574"/>
      <c r="VJC116" s="575"/>
      <c r="VJD116" s="583"/>
      <c r="VJE116" s="590"/>
      <c r="VJF116" s="589"/>
      <c r="VJG116" s="585"/>
      <c r="VJH116" s="577"/>
      <c r="VJI116" s="304"/>
      <c r="VJJ116" s="572"/>
      <c r="VJK116" s="573"/>
      <c r="VJL116" s="574"/>
      <c r="VJM116" s="575"/>
      <c r="VJN116" s="583"/>
      <c r="VJO116" s="590"/>
      <c r="VJP116" s="589"/>
      <c r="VJQ116" s="585"/>
      <c r="VJR116" s="577"/>
      <c r="VJS116" s="304"/>
      <c r="VJT116" s="572"/>
      <c r="VJU116" s="573"/>
      <c r="VJV116" s="574"/>
      <c r="VJW116" s="575"/>
      <c r="VJX116" s="583"/>
      <c r="VJY116" s="590"/>
      <c r="VJZ116" s="589"/>
      <c r="VKA116" s="585"/>
      <c r="VKB116" s="577"/>
      <c r="VKC116" s="304"/>
      <c r="VKD116" s="572"/>
      <c r="VKE116" s="573"/>
      <c r="VKF116" s="574"/>
      <c r="VKG116" s="575"/>
      <c r="VKH116" s="583"/>
      <c r="VKI116" s="590"/>
      <c r="VKJ116" s="589"/>
      <c r="VKK116" s="585"/>
      <c r="VKL116" s="577"/>
      <c r="VKM116" s="304"/>
      <c r="VKN116" s="572"/>
      <c r="VKO116" s="573"/>
      <c r="VKP116" s="574"/>
      <c r="VKQ116" s="575"/>
      <c r="VKR116" s="583"/>
      <c r="VKS116" s="590"/>
      <c r="VKT116" s="589"/>
      <c r="VKU116" s="585"/>
      <c r="VKV116" s="577"/>
      <c r="VKW116" s="304"/>
      <c r="VKX116" s="572"/>
      <c r="VKY116" s="573"/>
      <c r="VKZ116" s="574"/>
      <c r="VLA116" s="575"/>
      <c r="VLB116" s="583"/>
      <c r="VLC116" s="590"/>
      <c r="VLD116" s="589"/>
      <c r="VLE116" s="585"/>
      <c r="VLF116" s="577"/>
      <c r="VLG116" s="304"/>
      <c r="VLH116" s="572"/>
      <c r="VLI116" s="573"/>
      <c r="VLJ116" s="574"/>
      <c r="VLK116" s="575"/>
      <c r="VLL116" s="583"/>
      <c r="VLM116" s="590"/>
      <c r="VLN116" s="589"/>
      <c r="VLO116" s="585"/>
      <c r="VLP116" s="577"/>
      <c r="VLQ116" s="304"/>
      <c r="VLR116" s="572"/>
      <c r="VLS116" s="573"/>
      <c r="VLT116" s="574"/>
      <c r="VLU116" s="575"/>
      <c r="VLV116" s="583"/>
      <c r="VLW116" s="590"/>
      <c r="VLX116" s="589"/>
      <c r="VLY116" s="585"/>
      <c r="VLZ116" s="577"/>
      <c r="VMA116" s="304"/>
      <c r="VMB116" s="572"/>
      <c r="VMC116" s="573"/>
      <c r="VMD116" s="574"/>
      <c r="VME116" s="575"/>
      <c r="VMF116" s="583"/>
      <c r="VMG116" s="590"/>
      <c r="VMH116" s="589"/>
      <c r="VMI116" s="585"/>
      <c r="VMJ116" s="577"/>
      <c r="VMK116" s="304"/>
      <c r="VML116" s="572"/>
      <c r="VMM116" s="573"/>
      <c r="VMN116" s="574"/>
      <c r="VMO116" s="575"/>
      <c r="VMP116" s="583"/>
      <c r="VMQ116" s="590"/>
      <c r="VMR116" s="589"/>
      <c r="VMS116" s="585"/>
      <c r="VMT116" s="577"/>
      <c r="VMU116" s="304"/>
      <c r="VMV116" s="572"/>
      <c r="VMW116" s="573"/>
      <c r="VMX116" s="574"/>
      <c r="VMY116" s="575"/>
      <c r="VMZ116" s="583"/>
      <c r="VNA116" s="590"/>
      <c r="VNB116" s="589"/>
      <c r="VNC116" s="585"/>
      <c r="VND116" s="577"/>
      <c r="VNE116" s="304"/>
      <c r="VNF116" s="572"/>
      <c r="VNG116" s="573"/>
      <c r="VNH116" s="574"/>
      <c r="VNI116" s="575"/>
      <c r="VNJ116" s="583"/>
      <c r="VNK116" s="590"/>
      <c r="VNL116" s="589"/>
      <c r="VNM116" s="585"/>
      <c r="VNN116" s="577"/>
      <c r="VNO116" s="304"/>
      <c r="VNP116" s="572"/>
      <c r="VNQ116" s="573"/>
      <c r="VNR116" s="574"/>
      <c r="VNS116" s="575"/>
      <c r="VNT116" s="583"/>
      <c r="VNU116" s="590"/>
      <c r="VNV116" s="589"/>
      <c r="VNW116" s="585"/>
      <c r="VNX116" s="577"/>
      <c r="VNY116" s="304"/>
      <c r="VNZ116" s="572"/>
      <c r="VOA116" s="573"/>
      <c r="VOB116" s="574"/>
      <c r="VOC116" s="575"/>
      <c r="VOD116" s="583"/>
      <c r="VOE116" s="590"/>
      <c r="VOF116" s="589"/>
      <c r="VOG116" s="585"/>
      <c r="VOH116" s="577"/>
      <c r="VOI116" s="304"/>
      <c r="VOJ116" s="572"/>
      <c r="VOK116" s="573"/>
      <c r="VOL116" s="574"/>
      <c r="VOM116" s="575"/>
      <c r="VON116" s="583"/>
      <c r="VOO116" s="590"/>
      <c r="VOP116" s="589"/>
      <c r="VOQ116" s="585"/>
      <c r="VOR116" s="577"/>
      <c r="VOS116" s="304"/>
      <c r="VOT116" s="572"/>
      <c r="VOU116" s="573"/>
      <c r="VOV116" s="574"/>
      <c r="VOW116" s="575"/>
      <c r="VOX116" s="583"/>
      <c r="VOY116" s="590"/>
      <c r="VOZ116" s="589"/>
      <c r="VPA116" s="585"/>
      <c r="VPB116" s="577"/>
      <c r="VPC116" s="304"/>
      <c r="VPD116" s="572"/>
      <c r="VPE116" s="573"/>
      <c r="VPF116" s="574"/>
      <c r="VPG116" s="575"/>
      <c r="VPH116" s="583"/>
      <c r="VPI116" s="590"/>
      <c r="VPJ116" s="589"/>
      <c r="VPK116" s="585"/>
      <c r="VPL116" s="577"/>
      <c r="VPM116" s="304"/>
      <c r="VPN116" s="572"/>
      <c r="VPO116" s="573"/>
      <c r="VPP116" s="574"/>
      <c r="VPQ116" s="575"/>
      <c r="VPR116" s="583"/>
      <c r="VPS116" s="590"/>
      <c r="VPT116" s="589"/>
      <c r="VPU116" s="585"/>
      <c r="VPV116" s="577"/>
      <c r="VPW116" s="304"/>
      <c r="VPX116" s="572"/>
      <c r="VPY116" s="573"/>
      <c r="VPZ116" s="574"/>
      <c r="VQA116" s="575"/>
      <c r="VQB116" s="583"/>
      <c r="VQC116" s="590"/>
      <c r="VQD116" s="589"/>
      <c r="VQE116" s="585"/>
      <c r="VQF116" s="577"/>
      <c r="VQG116" s="304"/>
      <c r="VQH116" s="572"/>
      <c r="VQI116" s="573"/>
      <c r="VQJ116" s="574"/>
      <c r="VQK116" s="575"/>
      <c r="VQL116" s="583"/>
      <c r="VQM116" s="590"/>
      <c r="VQN116" s="589"/>
      <c r="VQO116" s="585"/>
      <c r="VQP116" s="577"/>
      <c r="VQQ116" s="304"/>
      <c r="VQR116" s="572"/>
      <c r="VQS116" s="573"/>
      <c r="VQT116" s="574"/>
      <c r="VQU116" s="575"/>
      <c r="VQV116" s="583"/>
      <c r="VQW116" s="590"/>
      <c r="VQX116" s="589"/>
      <c r="VQY116" s="585"/>
      <c r="VQZ116" s="577"/>
      <c r="VRA116" s="304"/>
      <c r="VRB116" s="572"/>
      <c r="VRC116" s="573"/>
      <c r="VRD116" s="574"/>
      <c r="VRE116" s="575"/>
      <c r="VRF116" s="583"/>
      <c r="VRG116" s="590"/>
      <c r="VRH116" s="589"/>
      <c r="VRI116" s="585"/>
      <c r="VRJ116" s="577"/>
      <c r="VRK116" s="304"/>
      <c r="VRL116" s="572"/>
      <c r="VRM116" s="573"/>
      <c r="VRN116" s="574"/>
      <c r="VRO116" s="575"/>
      <c r="VRP116" s="583"/>
      <c r="VRQ116" s="590"/>
      <c r="VRR116" s="589"/>
      <c r="VRS116" s="585"/>
      <c r="VRT116" s="577"/>
      <c r="VRU116" s="304"/>
      <c r="VRV116" s="572"/>
      <c r="VRW116" s="573"/>
      <c r="VRX116" s="574"/>
      <c r="VRY116" s="575"/>
      <c r="VRZ116" s="583"/>
      <c r="VSA116" s="590"/>
      <c r="VSB116" s="589"/>
      <c r="VSC116" s="585"/>
      <c r="VSD116" s="577"/>
      <c r="VSE116" s="304"/>
      <c r="VSF116" s="572"/>
      <c r="VSG116" s="573"/>
      <c r="VSH116" s="574"/>
      <c r="VSI116" s="575"/>
      <c r="VSJ116" s="583"/>
      <c r="VSK116" s="590"/>
      <c r="VSL116" s="589"/>
      <c r="VSM116" s="585"/>
      <c r="VSN116" s="577"/>
      <c r="VSO116" s="304"/>
      <c r="VSP116" s="572"/>
      <c r="VSQ116" s="573"/>
      <c r="VSR116" s="574"/>
      <c r="VSS116" s="575"/>
      <c r="VST116" s="583"/>
      <c r="VSU116" s="590"/>
      <c r="VSV116" s="589"/>
      <c r="VSW116" s="585"/>
      <c r="VSX116" s="577"/>
      <c r="VSY116" s="304"/>
      <c r="VSZ116" s="572"/>
      <c r="VTA116" s="573"/>
      <c r="VTB116" s="574"/>
      <c r="VTC116" s="575"/>
      <c r="VTD116" s="583"/>
      <c r="VTE116" s="590"/>
      <c r="VTF116" s="589"/>
      <c r="VTG116" s="585"/>
      <c r="VTH116" s="577"/>
      <c r="VTI116" s="304"/>
      <c r="VTJ116" s="572"/>
      <c r="VTK116" s="573"/>
      <c r="VTL116" s="574"/>
      <c r="VTM116" s="575"/>
      <c r="VTN116" s="583"/>
      <c r="VTO116" s="590"/>
      <c r="VTP116" s="589"/>
      <c r="VTQ116" s="585"/>
      <c r="VTR116" s="577"/>
      <c r="VTS116" s="304"/>
      <c r="VTT116" s="572"/>
      <c r="VTU116" s="573"/>
      <c r="VTV116" s="574"/>
      <c r="VTW116" s="575"/>
      <c r="VTX116" s="583"/>
      <c r="VTY116" s="590"/>
      <c r="VTZ116" s="589"/>
      <c r="VUA116" s="585"/>
      <c r="VUB116" s="577"/>
      <c r="VUC116" s="304"/>
      <c r="VUD116" s="572"/>
      <c r="VUE116" s="573"/>
      <c r="VUF116" s="574"/>
      <c r="VUG116" s="575"/>
      <c r="VUH116" s="583"/>
      <c r="VUI116" s="590"/>
      <c r="VUJ116" s="589"/>
      <c r="VUK116" s="585"/>
      <c r="VUL116" s="577"/>
      <c r="VUM116" s="304"/>
      <c r="VUN116" s="572"/>
      <c r="VUO116" s="573"/>
      <c r="VUP116" s="574"/>
      <c r="VUQ116" s="575"/>
      <c r="VUR116" s="583"/>
      <c r="VUS116" s="590"/>
      <c r="VUT116" s="589"/>
      <c r="VUU116" s="585"/>
      <c r="VUV116" s="577"/>
      <c r="VUW116" s="304"/>
      <c r="VUX116" s="572"/>
      <c r="VUY116" s="573"/>
      <c r="VUZ116" s="574"/>
      <c r="VVA116" s="575"/>
      <c r="VVB116" s="583"/>
      <c r="VVC116" s="590"/>
      <c r="VVD116" s="589"/>
      <c r="VVE116" s="585"/>
      <c r="VVF116" s="577"/>
      <c r="VVG116" s="304"/>
      <c r="VVH116" s="572"/>
      <c r="VVI116" s="573"/>
      <c r="VVJ116" s="574"/>
      <c r="VVK116" s="575"/>
      <c r="VVL116" s="583"/>
      <c r="VVM116" s="590"/>
      <c r="VVN116" s="589"/>
      <c r="VVO116" s="585"/>
      <c r="VVP116" s="577"/>
      <c r="VVQ116" s="304"/>
      <c r="VVR116" s="572"/>
      <c r="VVS116" s="573"/>
      <c r="VVT116" s="574"/>
      <c r="VVU116" s="575"/>
      <c r="VVV116" s="583"/>
      <c r="VVW116" s="590"/>
      <c r="VVX116" s="589"/>
      <c r="VVY116" s="585"/>
      <c r="VVZ116" s="577"/>
      <c r="VWA116" s="304"/>
      <c r="VWB116" s="572"/>
      <c r="VWC116" s="573"/>
      <c r="VWD116" s="574"/>
      <c r="VWE116" s="575"/>
      <c r="VWF116" s="583"/>
      <c r="VWG116" s="590"/>
      <c r="VWH116" s="589"/>
      <c r="VWI116" s="585"/>
      <c r="VWJ116" s="577"/>
      <c r="VWK116" s="304"/>
      <c r="VWL116" s="572"/>
      <c r="VWM116" s="573"/>
      <c r="VWN116" s="574"/>
      <c r="VWO116" s="575"/>
      <c r="VWP116" s="583"/>
      <c r="VWQ116" s="590"/>
      <c r="VWR116" s="589"/>
      <c r="VWS116" s="585"/>
      <c r="VWT116" s="577"/>
      <c r="VWU116" s="304"/>
      <c r="VWV116" s="572"/>
      <c r="VWW116" s="573"/>
      <c r="VWX116" s="574"/>
      <c r="VWY116" s="575"/>
      <c r="VWZ116" s="583"/>
      <c r="VXA116" s="590"/>
      <c r="VXB116" s="589"/>
      <c r="VXC116" s="585"/>
      <c r="VXD116" s="577"/>
      <c r="VXE116" s="304"/>
      <c r="VXF116" s="572"/>
      <c r="VXG116" s="573"/>
      <c r="VXH116" s="574"/>
      <c r="VXI116" s="575"/>
      <c r="VXJ116" s="583"/>
      <c r="VXK116" s="590"/>
      <c r="VXL116" s="589"/>
      <c r="VXM116" s="585"/>
      <c r="VXN116" s="577"/>
      <c r="VXO116" s="304"/>
      <c r="VXP116" s="572"/>
      <c r="VXQ116" s="573"/>
      <c r="VXR116" s="574"/>
      <c r="VXS116" s="575"/>
      <c r="VXT116" s="583"/>
      <c r="VXU116" s="590"/>
      <c r="VXV116" s="589"/>
      <c r="VXW116" s="585"/>
      <c r="VXX116" s="577"/>
      <c r="VXY116" s="304"/>
      <c r="VXZ116" s="572"/>
      <c r="VYA116" s="573"/>
      <c r="VYB116" s="574"/>
      <c r="VYC116" s="575"/>
      <c r="VYD116" s="583"/>
      <c r="VYE116" s="590"/>
      <c r="VYF116" s="589"/>
      <c r="VYG116" s="585"/>
      <c r="VYH116" s="577"/>
      <c r="VYI116" s="304"/>
      <c r="VYJ116" s="572"/>
      <c r="VYK116" s="573"/>
      <c r="VYL116" s="574"/>
      <c r="VYM116" s="575"/>
      <c r="VYN116" s="583"/>
      <c r="VYO116" s="590"/>
      <c r="VYP116" s="589"/>
      <c r="VYQ116" s="585"/>
      <c r="VYR116" s="577"/>
      <c r="VYS116" s="304"/>
      <c r="VYT116" s="572"/>
      <c r="VYU116" s="573"/>
      <c r="VYV116" s="574"/>
      <c r="VYW116" s="575"/>
      <c r="VYX116" s="583"/>
      <c r="VYY116" s="590"/>
      <c r="VYZ116" s="589"/>
      <c r="VZA116" s="585"/>
      <c r="VZB116" s="577"/>
      <c r="VZC116" s="304"/>
      <c r="VZD116" s="572"/>
      <c r="VZE116" s="573"/>
      <c r="VZF116" s="574"/>
      <c r="VZG116" s="575"/>
      <c r="VZH116" s="583"/>
      <c r="VZI116" s="590"/>
      <c r="VZJ116" s="589"/>
      <c r="VZK116" s="585"/>
      <c r="VZL116" s="577"/>
      <c r="VZM116" s="304"/>
      <c r="VZN116" s="572"/>
      <c r="VZO116" s="573"/>
      <c r="VZP116" s="574"/>
      <c r="VZQ116" s="575"/>
      <c r="VZR116" s="583"/>
      <c r="VZS116" s="590"/>
      <c r="VZT116" s="589"/>
      <c r="VZU116" s="585"/>
      <c r="VZV116" s="577"/>
      <c r="VZW116" s="304"/>
      <c r="VZX116" s="572"/>
      <c r="VZY116" s="573"/>
      <c r="VZZ116" s="574"/>
      <c r="WAA116" s="575"/>
      <c r="WAB116" s="583"/>
      <c r="WAC116" s="590"/>
      <c r="WAD116" s="589"/>
      <c r="WAE116" s="585"/>
      <c r="WAF116" s="577"/>
      <c r="WAG116" s="304"/>
      <c r="WAH116" s="572"/>
      <c r="WAI116" s="573"/>
      <c r="WAJ116" s="574"/>
      <c r="WAK116" s="575"/>
      <c r="WAL116" s="583"/>
      <c r="WAM116" s="590"/>
      <c r="WAN116" s="589"/>
      <c r="WAO116" s="585"/>
      <c r="WAP116" s="577"/>
      <c r="WAQ116" s="304"/>
      <c r="WAR116" s="572"/>
      <c r="WAS116" s="573"/>
      <c r="WAT116" s="574"/>
      <c r="WAU116" s="575"/>
      <c r="WAV116" s="583"/>
      <c r="WAW116" s="590"/>
      <c r="WAX116" s="589"/>
      <c r="WAY116" s="585"/>
      <c r="WAZ116" s="577"/>
      <c r="WBA116" s="304"/>
      <c r="WBB116" s="572"/>
      <c r="WBC116" s="573"/>
      <c r="WBD116" s="574"/>
      <c r="WBE116" s="575"/>
      <c r="WBF116" s="583"/>
      <c r="WBG116" s="590"/>
      <c r="WBH116" s="589"/>
      <c r="WBI116" s="585"/>
      <c r="WBJ116" s="577"/>
      <c r="WBK116" s="304"/>
      <c r="WBL116" s="572"/>
      <c r="WBM116" s="573"/>
      <c r="WBN116" s="574"/>
      <c r="WBO116" s="575"/>
      <c r="WBP116" s="583"/>
      <c r="WBQ116" s="590"/>
      <c r="WBR116" s="589"/>
      <c r="WBS116" s="585"/>
      <c r="WBT116" s="577"/>
      <c r="WBU116" s="304"/>
      <c r="WBV116" s="572"/>
      <c r="WBW116" s="573"/>
      <c r="WBX116" s="574"/>
      <c r="WBY116" s="575"/>
      <c r="WBZ116" s="583"/>
      <c r="WCA116" s="590"/>
      <c r="WCB116" s="589"/>
      <c r="WCC116" s="585"/>
      <c r="WCD116" s="577"/>
      <c r="WCE116" s="304"/>
      <c r="WCF116" s="572"/>
      <c r="WCG116" s="573"/>
      <c r="WCH116" s="574"/>
      <c r="WCI116" s="575"/>
      <c r="WCJ116" s="583"/>
      <c r="WCK116" s="590"/>
      <c r="WCL116" s="589"/>
      <c r="WCM116" s="585"/>
      <c r="WCN116" s="577"/>
      <c r="WCO116" s="304"/>
      <c r="WCP116" s="572"/>
      <c r="WCQ116" s="573"/>
      <c r="WCR116" s="574"/>
      <c r="WCS116" s="575"/>
      <c r="WCT116" s="583"/>
      <c r="WCU116" s="590"/>
      <c r="WCV116" s="589"/>
      <c r="WCW116" s="585"/>
      <c r="WCX116" s="577"/>
      <c r="WCY116" s="304"/>
      <c r="WCZ116" s="572"/>
      <c r="WDA116" s="573"/>
      <c r="WDB116" s="574"/>
      <c r="WDC116" s="575"/>
      <c r="WDD116" s="583"/>
      <c r="WDE116" s="590"/>
      <c r="WDF116" s="589"/>
      <c r="WDG116" s="585"/>
      <c r="WDH116" s="577"/>
      <c r="WDI116" s="304"/>
      <c r="WDJ116" s="572"/>
      <c r="WDK116" s="573"/>
      <c r="WDL116" s="574"/>
      <c r="WDM116" s="575"/>
      <c r="WDN116" s="583"/>
      <c r="WDO116" s="590"/>
      <c r="WDP116" s="589"/>
      <c r="WDQ116" s="585"/>
      <c r="WDR116" s="577"/>
      <c r="WDS116" s="304"/>
      <c r="WDT116" s="572"/>
      <c r="WDU116" s="573"/>
      <c r="WDV116" s="574"/>
      <c r="WDW116" s="575"/>
      <c r="WDX116" s="583"/>
      <c r="WDY116" s="590"/>
      <c r="WDZ116" s="589"/>
      <c r="WEA116" s="585"/>
      <c r="WEB116" s="577"/>
      <c r="WEC116" s="304"/>
      <c r="WED116" s="572"/>
      <c r="WEE116" s="573"/>
      <c r="WEF116" s="574"/>
      <c r="WEG116" s="575"/>
      <c r="WEH116" s="583"/>
      <c r="WEI116" s="590"/>
      <c r="WEJ116" s="589"/>
      <c r="WEK116" s="585"/>
      <c r="WEL116" s="577"/>
      <c r="WEM116" s="304"/>
      <c r="WEN116" s="572"/>
      <c r="WEO116" s="573"/>
      <c r="WEP116" s="574"/>
      <c r="WEQ116" s="575"/>
      <c r="WER116" s="583"/>
      <c r="WES116" s="590"/>
      <c r="WET116" s="589"/>
      <c r="WEU116" s="585"/>
      <c r="WEV116" s="577"/>
      <c r="WEW116" s="304"/>
      <c r="WEX116" s="572"/>
      <c r="WEY116" s="573"/>
      <c r="WEZ116" s="574"/>
      <c r="WFA116" s="575"/>
      <c r="WFB116" s="583"/>
      <c r="WFC116" s="590"/>
      <c r="WFD116" s="589"/>
      <c r="WFE116" s="585"/>
      <c r="WFF116" s="577"/>
      <c r="WFG116" s="304"/>
      <c r="WFH116" s="572"/>
      <c r="WFI116" s="573"/>
      <c r="WFJ116" s="574"/>
      <c r="WFK116" s="575"/>
      <c r="WFL116" s="583"/>
      <c r="WFM116" s="590"/>
      <c r="WFN116" s="589"/>
      <c r="WFO116" s="585"/>
      <c r="WFP116" s="577"/>
      <c r="WFQ116" s="304"/>
      <c r="WFR116" s="572"/>
      <c r="WFS116" s="573"/>
      <c r="WFT116" s="574"/>
      <c r="WFU116" s="575"/>
      <c r="WFV116" s="583"/>
      <c r="WFW116" s="590"/>
      <c r="WFX116" s="589"/>
      <c r="WFY116" s="585"/>
      <c r="WFZ116" s="577"/>
      <c r="WGA116" s="304"/>
      <c r="WGB116" s="572"/>
      <c r="WGC116" s="573"/>
      <c r="WGD116" s="574"/>
      <c r="WGE116" s="575"/>
      <c r="WGF116" s="583"/>
      <c r="WGG116" s="590"/>
      <c r="WGH116" s="589"/>
      <c r="WGI116" s="585"/>
      <c r="WGJ116" s="577"/>
      <c r="WGK116" s="304"/>
      <c r="WGL116" s="572"/>
      <c r="WGM116" s="573"/>
      <c r="WGN116" s="574"/>
      <c r="WGO116" s="575"/>
      <c r="WGP116" s="583"/>
      <c r="WGQ116" s="590"/>
      <c r="WGR116" s="589"/>
      <c r="WGS116" s="585"/>
      <c r="WGT116" s="577"/>
      <c r="WGU116" s="304"/>
      <c r="WGV116" s="572"/>
      <c r="WGW116" s="573"/>
      <c r="WGX116" s="574"/>
      <c r="WGY116" s="575"/>
      <c r="WGZ116" s="583"/>
      <c r="WHA116" s="590"/>
      <c r="WHB116" s="589"/>
      <c r="WHC116" s="585"/>
      <c r="WHD116" s="577"/>
      <c r="WHE116" s="304"/>
      <c r="WHF116" s="572"/>
      <c r="WHG116" s="573"/>
      <c r="WHH116" s="574"/>
      <c r="WHI116" s="575"/>
      <c r="WHJ116" s="583"/>
      <c r="WHK116" s="590"/>
      <c r="WHL116" s="589"/>
      <c r="WHM116" s="585"/>
      <c r="WHN116" s="577"/>
      <c r="WHO116" s="304"/>
      <c r="WHP116" s="572"/>
      <c r="WHQ116" s="573"/>
      <c r="WHR116" s="574"/>
      <c r="WHS116" s="575"/>
      <c r="WHT116" s="583"/>
      <c r="WHU116" s="590"/>
      <c r="WHV116" s="589"/>
      <c r="WHW116" s="585"/>
      <c r="WHX116" s="577"/>
      <c r="WHY116" s="304"/>
      <c r="WHZ116" s="572"/>
      <c r="WIA116" s="573"/>
      <c r="WIB116" s="574"/>
      <c r="WIC116" s="575"/>
      <c r="WID116" s="583"/>
      <c r="WIE116" s="590"/>
      <c r="WIF116" s="589"/>
      <c r="WIG116" s="585"/>
      <c r="WIH116" s="577"/>
      <c r="WII116" s="304"/>
      <c r="WIJ116" s="572"/>
      <c r="WIK116" s="573"/>
      <c r="WIL116" s="574"/>
      <c r="WIM116" s="575"/>
      <c r="WIN116" s="583"/>
      <c r="WIO116" s="590"/>
      <c r="WIP116" s="589"/>
      <c r="WIQ116" s="585"/>
      <c r="WIR116" s="577"/>
      <c r="WIS116" s="304"/>
      <c r="WIT116" s="572"/>
      <c r="WIU116" s="573"/>
      <c r="WIV116" s="574"/>
      <c r="WIW116" s="575"/>
      <c r="WIX116" s="583"/>
      <c r="WIY116" s="590"/>
      <c r="WIZ116" s="589"/>
      <c r="WJA116" s="585"/>
      <c r="WJB116" s="577"/>
      <c r="WJC116" s="304"/>
      <c r="WJD116" s="572"/>
      <c r="WJE116" s="573"/>
      <c r="WJF116" s="574"/>
      <c r="WJG116" s="575"/>
      <c r="WJH116" s="583"/>
      <c r="WJI116" s="590"/>
      <c r="WJJ116" s="589"/>
      <c r="WJK116" s="585"/>
      <c r="WJL116" s="577"/>
      <c r="WJM116" s="304"/>
      <c r="WJN116" s="572"/>
      <c r="WJO116" s="573"/>
      <c r="WJP116" s="574"/>
      <c r="WJQ116" s="575"/>
      <c r="WJR116" s="583"/>
      <c r="WJS116" s="590"/>
      <c r="WJT116" s="589"/>
      <c r="WJU116" s="585"/>
      <c r="WJV116" s="577"/>
      <c r="WJW116" s="304"/>
      <c r="WJX116" s="572"/>
      <c r="WJY116" s="573"/>
      <c r="WJZ116" s="574"/>
      <c r="WKA116" s="575"/>
      <c r="WKB116" s="583"/>
      <c r="WKC116" s="590"/>
      <c r="WKD116" s="589"/>
      <c r="WKE116" s="585"/>
      <c r="WKF116" s="577"/>
      <c r="WKG116" s="304"/>
      <c r="WKH116" s="572"/>
      <c r="WKI116" s="573"/>
      <c r="WKJ116" s="574"/>
      <c r="WKK116" s="575"/>
      <c r="WKL116" s="583"/>
      <c r="WKM116" s="590"/>
      <c r="WKN116" s="589"/>
      <c r="WKO116" s="585"/>
      <c r="WKP116" s="577"/>
      <c r="WKQ116" s="304"/>
      <c r="WKR116" s="572"/>
      <c r="WKS116" s="573"/>
      <c r="WKT116" s="574"/>
      <c r="WKU116" s="575"/>
      <c r="WKV116" s="583"/>
      <c r="WKW116" s="590"/>
      <c r="WKX116" s="589"/>
      <c r="WKY116" s="585"/>
      <c r="WKZ116" s="577"/>
      <c r="WLA116" s="304"/>
      <c r="WLB116" s="572"/>
      <c r="WLC116" s="573"/>
      <c r="WLD116" s="574"/>
      <c r="WLE116" s="575"/>
      <c r="WLF116" s="583"/>
      <c r="WLG116" s="590"/>
      <c r="WLH116" s="589"/>
      <c r="WLI116" s="585"/>
      <c r="WLJ116" s="577"/>
      <c r="WLK116" s="304"/>
      <c r="WLL116" s="572"/>
      <c r="WLM116" s="573"/>
      <c r="WLN116" s="574"/>
      <c r="WLO116" s="575"/>
      <c r="WLP116" s="583"/>
      <c r="WLQ116" s="590"/>
      <c r="WLR116" s="589"/>
      <c r="WLS116" s="585"/>
      <c r="WLT116" s="577"/>
      <c r="WLU116" s="304"/>
      <c r="WLV116" s="572"/>
      <c r="WLW116" s="573"/>
      <c r="WLX116" s="574"/>
      <c r="WLY116" s="575"/>
      <c r="WLZ116" s="583"/>
      <c r="WMA116" s="590"/>
      <c r="WMB116" s="589"/>
      <c r="WMC116" s="585"/>
      <c r="WMD116" s="577"/>
      <c r="WME116" s="304"/>
      <c r="WMF116" s="572"/>
      <c r="WMG116" s="573"/>
      <c r="WMH116" s="574"/>
      <c r="WMI116" s="575"/>
      <c r="WMJ116" s="583"/>
      <c r="WMK116" s="590"/>
      <c r="WML116" s="589"/>
      <c r="WMM116" s="585"/>
      <c r="WMN116" s="577"/>
      <c r="WMO116" s="304"/>
      <c r="WMP116" s="572"/>
      <c r="WMQ116" s="573"/>
      <c r="WMR116" s="574"/>
      <c r="WMS116" s="575"/>
      <c r="WMT116" s="583"/>
      <c r="WMU116" s="590"/>
      <c r="WMV116" s="589"/>
      <c r="WMW116" s="585"/>
      <c r="WMX116" s="577"/>
      <c r="WMY116" s="304"/>
      <c r="WMZ116" s="572"/>
      <c r="WNA116" s="573"/>
      <c r="WNB116" s="574"/>
      <c r="WNC116" s="575"/>
      <c r="WND116" s="583"/>
      <c r="WNE116" s="590"/>
      <c r="WNF116" s="589"/>
      <c r="WNG116" s="585"/>
      <c r="WNH116" s="577"/>
      <c r="WNI116" s="304"/>
      <c r="WNJ116" s="572"/>
      <c r="WNK116" s="573"/>
      <c r="WNL116" s="574"/>
      <c r="WNM116" s="575"/>
      <c r="WNN116" s="583"/>
      <c r="WNO116" s="590"/>
      <c r="WNP116" s="589"/>
      <c r="WNQ116" s="585"/>
      <c r="WNR116" s="577"/>
      <c r="WNS116" s="304"/>
      <c r="WNT116" s="572"/>
      <c r="WNU116" s="573"/>
      <c r="WNV116" s="574"/>
      <c r="WNW116" s="575"/>
      <c r="WNX116" s="583"/>
      <c r="WNY116" s="590"/>
      <c r="WNZ116" s="589"/>
      <c r="WOA116" s="585"/>
      <c r="WOB116" s="577"/>
      <c r="WOC116" s="304"/>
      <c r="WOD116" s="572"/>
      <c r="WOE116" s="573"/>
      <c r="WOF116" s="574"/>
      <c r="WOG116" s="575"/>
      <c r="WOH116" s="583"/>
      <c r="WOI116" s="590"/>
      <c r="WOJ116" s="589"/>
      <c r="WOK116" s="585"/>
      <c r="WOL116" s="577"/>
      <c r="WOM116" s="304"/>
      <c r="WON116" s="572"/>
      <c r="WOO116" s="573"/>
      <c r="WOP116" s="574"/>
      <c r="WOQ116" s="575"/>
      <c r="WOR116" s="583"/>
      <c r="WOS116" s="590"/>
      <c r="WOT116" s="589"/>
      <c r="WOU116" s="585"/>
      <c r="WOV116" s="577"/>
      <c r="WOW116" s="304"/>
      <c r="WOX116" s="572"/>
      <c r="WOY116" s="573"/>
      <c r="WOZ116" s="574"/>
      <c r="WPA116" s="575"/>
      <c r="WPB116" s="583"/>
      <c r="WPC116" s="590"/>
      <c r="WPD116" s="589"/>
      <c r="WPE116" s="585"/>
      <c r="WPF116" s="577"/>
      <c r="WPG116" s="304"/>
      <c r="WPH116" s="572"/>
      <c r="WPI116" s="573"/>
      <c r="WPJ116" s="574"/>
      <c r="WPK116" s="575"/>
      <c r="WPL116" s="583"/>
      <c r="WPM116" s="590"/>
      <c r="WPN116" s="589"/>
      <c r="WPO116" s="585"/>
      <c r="WPP116" s="577"/>
      <c r="WPQ116" s="304"/>
      <c r="WPR116" s="572"/>
      <c r="WPS116" s="573"/>
      <c r="WPT116" s="574"/>
      <c r="WPU116" s="575"/>
      <c r="WPV116" s="583"/>
      <c r="WPW116" s="590"/>
      <c r="WPX116" s="589"/>
      <c r="WPY116" s="585"/>
      <c r="WPZ116" s="577"/>
      <c r="WQA116" s="304"/>
      <c r="WQB116" s="572"/>
      <c r="WQC116" s="573"/>
      <c r="WQD116" s="574"/>
      <c r="WQE116" s="575"/>
      <c r="WQF116" s="583"/>
      <c r="WQG116" s="590"/>
      <c r="WQH116" s="589"/>
      <c r="WQI116" s="585"/>
      <c r="WQJ116" s="577"/>
      <c r="WQK116" s="304"/>
      <c r="WQL116" s="572"/>
      <c r="WQM116" s="573"/>
      <c r="WQN116" s="574"/>
      <c r="WQO116" s="575"/>
      <c r="WQP116" s="583"/>
      <c r="WQQ116" s="590"/>
      <c r="WQR116" s="589"/>
      <c r="WQS116" s="585"/>
      <c r="WQT116" s="577"/>
      <c r="WQU116" s="304"/>
      <c r="WQV116" s="572"/>
      <c r="WQW116" s="573"/>
      <c r="WQX116" s="574"/>
      <c r="WQY116" s="575"/>
      <c r="WQZ116" s="583"/>
      <c r="WRA116" s="590"/>
      <c r="WRB116" s="589"/>
      <c r="WRC116" s="585"/>
      <c r="WRD116" s="577"/>
      <c r="WRE116" s="304"/>
      <c r="WRF116" s="572"/>
      <c r="WRG116" s="573"/>
      <c r="WRH116" s="574"/>
      <c r="WRI116" s="575"/>
      <c r="WRJ116" s="583"/>
      <c r="WRK116" s="590"/>
      <c r="WRL116" s="589"/>
      <c r="WRM116" s="585"/>
      <c r="WRN116" s="577"/>
      <c r="WRO116" s="304"/>
      <c r="WRP116" s="572"/>
      <c r="WRQ116" s="573"/>
      <c r="WRR116" s="574"/>
      <c r="WRS116" s="575"/>
      <c r="WRT116" s="583"/>
      <c r="WRU116" s="590"/>
      <c r="WRV116" s="589"/>
      <c r="WRW116" s="585"/>
      <c r="WRX116" s="577"/>
      <c r="WRY116" s="304"/>
      <c r="WRZ116" s="572"/>
      <c r="WSA116" s="573"/>
      <c r="WSB116" s="574"/>
      <c r="WSC116" s="575"/>
      <c r="WSD116" s="583"/>
      <c r="WSE116" s="590"/>
      <c r="WSF116" s="589"/>
      <c r="WSG116" s="585"/>
      <c r="WSH116" s="577"/>
      <c r="WSI116" s="304"/>
      <c r="WSJ116" s="572"/>
      <c r="WSK116" s="573"/>
      <c r="WSL116" s="574"/>
      <c r="WSM116" s="575"/>
      <c r="WSN116" s="583"/>
      <c r="WSO116" s="590"/>
      <c r="WSP116" s="589"/>
      <c r="WSQ116" s="585"/>
      <c r="WSR116" s="577"/>
      <c r="WSS116" s="304"/>
      <c r="WST116" s="572"/>
      <c r="WSU116" s="573"/>
      <c r="WSV116" s="574"/>
      <c r="WSW116" s="575"/>
      <c r="WSX116" s="583"/>
      <c r="WSY116" s="590"/>
      <c r="WSZ116" s="589"/>
      <c r="WTA116" s="585"/>
      <c r="WTB116" s="577"/>
      <c r="WTC116" s="304"/>
      <c r="WTD116" s="572"/>
      <c r="WTE116" s="573"/>
      <c r="WTF116" s="574"/>
      <c r="WTG116" s="575"/>
      <c r="WTH116" s="583"/>
      <c r="WTI116" s="590"/>
      <c r="WTJ116" s="589"/>
      <c r="WTK116" s="585"/>
      <c r="WTL116" s="577"/>
      <c r="WTM116" s="304"/>
      <c r="WTN116" s="572"/>
      <c r="WTO116" s="573"/>
      <c r="WTP116" s="574"/>
      <c r="WTQ116" s="575"/>
      <c r="WTR116" s="583"/>
      <c r="WTS116" s="590"/>
      <c r="WTT116" s="589"/>
      <c r="WTU116" s="585"/>
      <c r="WTV116" s="577"/>
      <c r="WTW116" s="304"/>
      <c r="WTX116" s="572"/>
      <c r="WTY116" s="573"/>
      <c r="WTZ116" s="574"/>
      <c r="WUA116" s="575"/>
      <c r="WUB116" s="583"/>
      <c r="WUC116" s="590"/>
      <c r="WUD116" s="589"/>
      <c r="WUE116" s="585"/>
      <c r="WUF116" s="577"/>
      <c r="WUG116" s="304"/>
      <c r="WUH116" s="572"/>
      <c r="WUI116" s="573"/>
      <c r="WUJ116" s="574"/>
      <c r="WUK116" s="575"/>
      <c r="WUL116" s="583"/>
      <c r="WUM116" s="590"/>
      <c r="WUN116" s="589"/>
      <c r="WUO116" s="585"/>
      <c r="WUP116" s="577"/>
      <c r="WUQ116" s="304"/>
      <c r="WUR116" s="572"/>
      <c r="WUS116" s="573"/>
      <c r="WUT116" s="574"/>
      <c r="WUU116" s="575"/>
      <c r="WUV116" s="583"/>
      <c r="WUW116" s="590"/>
      <c r="WUX116" s="589"/>
      <c r="WUY116" s="585"/>
      <c r="WUZ116" s="577"/>
      <c r="WVA116" s="304"/>
      <c r="WVB116" s="572"/>
      <c r="WVC116" s="573"/>
      <c r="WVD116" s="574"/>
      <c r="WVE116" s="575"/>
      <c r="WVF116" s="583"/>
      <c r="WVG116" s="590"/>
      <c r="WVH116" s="589"/>
      <c r="WVI116" s="585"/>
      <c r="WVJ116" s="577"/>
      <c r="WVK116" s="304"/>
      <c r="WVL116" s="572"/>
      <c r="WVM116" s="573"/>
      <c r="WVN116" s="574"/>
      <c r="WVO116" s="575"/>
      <c r="WVP116" s="583"/>
      <c r="WVQ116" s="590"/>
      <c r="WVR116" s="589"/>
      <c r="WVS116" s="585"/>
      <c r="WVT116" s="577"/>
      <c r="WVU116" s="304"/>
      <c r="WVV116" s="572"/>
      <c r="WVW116" s="573"/>
      <c r="WVX116" s="574"/>
      <c r="WVY116" s="575"/>
      <c r="WVZ116" s="583"/>
      <c r="WWA116" s="590"/>
      <c r="WWB116" s="589"/>
      <c r="WWC116" s="585"/>
      <c r="WWD116" s="577"/>
      <c r="WWE116" s="304"/>
      <c r="WWF116" s="572"/>
      <c r="WWG116" s="573"/>
      <c r="WWH116" s="574"/>
      <c r="WWI116" s="575"/>
      <c r="WWJ116" s="583"/>
      <c r="WWK116" s="590"/>
      <c r="WWL116" s="589"/>
      <c r="WWM116" s="585"/>
      <c r="WWN116" s="577"/>
      <c r="WWO116" s="304"/>
      <c r="WWP116" s="572"/>
      <c r="WWQ116" s="573"/>
      <c r="WWR116" s="574"/>
      <c r="WWS116" s="575"/>
      <c r="WWT116" s="583"/>
      <c r="WWU116" s="590"/>
      <c r="WWV116" s="589"/>
      <c r="WWW116" s="585"/>
      <c r="WWX116" s="577"/>
      <c r="WWY116" s="304"/>
      <c r="WWZ116" s="572"/>
      <c r="WXA116" s="573"/>
      <c r="WXB116" s="574"/>
      <c r="WXC116" s="575"/>
      <c r="WXD116" s="583"/>
      <c r="WXE116" s="590"/>
      <c r="WXF116" s="589"/>
      <c r="WXG116" s="585"/>
      <c r="WXH116" s="577"/>
      <c r="WXI116" s="304"/>
      <c r="WXJ116" s="572"/>
      <c r="WXK116" s="573"/>
      <c r="WXL116" s="574"/>
      <c r="WXM116" s="575"/>
      <c r="WXN116" s="583"/>
      <c r="WXO116" s="590"/>
      <c r="WXP116" s="589"/>
      <c r="WXQ116" s="585"/>
      <c r="WXR116" s="577"/>
      <c r="WXS116" s="304"/>
      <c r="WXT116" s="572"/>
      <c r="WXU116" s="573"/>
      <c r="WXV116" s="574"/>
      <c r="WXW116" s="575"/>
      <c r="WXX116" s="583"/>
      <c r="WXY116" s="590"/>
      <c r="WXZ116" s="589"/>
      <c r="WYA116" s="585"/>
      <c r="WYB116" s="577"/>
      <c r="WYC116" s="304"/>
      <c r="WYD116" s="572"/>
      <c r="WYE116" s="573"/>
      <c r="WYF116" s="574"/>
      <c r="WYG116" s="575"/>
      <c r="WYH116" s="583"/>
      <c r="WYI116" s="590"/>
      <c r="WYJ116" s="589"/>
      <c r="WYK116" s="585"/>
      <c r="WYL116" s="577"/>
      <c r="WYM116" s="304"/>
      <c r="WYN116" s="572"/>
      <c r="WYO116" s="573"/>
      <c r="WYP116" s="574"/>
      <c r="WYQ116" s="575"/>
      <c r="WYR116" s="583"/>
      <c r="WYS116" s="590"/>
      <c r="WYT116" s="589"/>
      <c r="WYU116" s="585"/>
      <c r="WYV116" s="577"/>
      <c r="WYW116" s="304"/>
      <c r="WYX116" s="572"/>
      <c r="WYY116" s="573"/>
      <c r="WYZ116" s="574"/>
      <c r="WZA116" s="575"/>
      <c r="WZB116" s="583"/>
      <c r="WZC116" s="590"/>
      <c r="WZD116" s="589"/>
      <c r="WZE116" s="585"/>
      <c r="WZF116" s="577"/>
      <c r="WZG116" s="304"/>
      <c r="WZH116" s="572"/>
      <c r="WZI116" s="573"/>
      <c r="WZJ116" s="574"/>
      <c r="WZK116" s="575"/>
      <c r="WZL116" s="583"/>
      <c r="WZM116" s="590"/>
      <c r="WZN116" s="589"/>
      <c r="WZO116" s="585"/>
      <c r="WZP116" s="577"/>
      <c r="WZQ116" s="304"/>
      <c r="WZR116" s="572"/>
      <c r="WZS116" s="573"/>
      <c r="WZT116" s="574"/>
      <c r="WZU116" s="575"/>
      <c r="WZV116" s="583"/>
      <c r="WZW116" s="590"/>
      <c r="WZX116" s="589"/>
      <c r="WZY116" s="585"/>
      <c r="WZZ116" s="577"/>
      <c r="XAA116" s="304"/>
      <c r="XAB116" s="572"/>
      <c r="XAC116" s="573"/>
      <c r="XAD116" s="574"/>
      <c r="XAE116" s="575"/>
      <c r="XAF116" s="583"/>
      <c r="XAG116" s="590"/>
      <c r="XAH116" s="589"/>
      <c r="XAI116" s="585"/>
      <c r="XAJ116" s="577"/>
      <c r="XAK116" s="304"/>
      <c r="XAL116" s="572"/>
      <c r="XAM116" s="573"/>
      <c r="XAN116" s="574"/>
      <c r="XAO116" s="575"/>
      <c r="XAP116" s="583"/>
      <c r="XAQ116" s="590"/>
      <c r="XAR116" s="589"/>
      <c r="XAS116" s="585"/>
      <c r="XAT116" s="577"/>
      <c r="XAU116" s="304"/>
      <c r="XAV116" s="572"/>
      <c r="XAW116" s="573"/>
      <c r="XAX116" s="574"/>
      <c r="XAY116" s="575"/>
      <c r="XAZ116" s="583"/>
      <c r="XBA116" s="590"/>
      <c r="XBB116" s="589"/>
      <c r="XBC116" s="585"/>
      <c r="XBD116" s="577"/>
      <c r="XBE116" s="304"/>
      <c r="XBF116" s="572"/>
      <c r="XBG116" s="573"/>
      <c r="XBH116" s="574"/>
      <c r="XBI116" s="575"/>
      <c r="XBJ116" s="583"/>
      <c r="XBK116" s="590"/>
      <c r="XBL116" s="589"/>
      <c r="XBM116" s="585"/>
      <c r="XBN116" s="577"/>
      <c r="XBO116" s="304"/>
      <c r="XBP116" s="572"/>
      <c r="XBQ116" s="573"/>
      <c r="XBR116" s="574"/>
      <c r="XBS116" s="575"/>
      <c r="XBT116" s="583"/>
      <c r="XBU116" s="590"/>
      <c r="XBV116" s="589"/>
      <c r="XBW116" s="585"/>
      <c r="XBX116" s="577"/>
      <c r="XBY116" s="304"/>
      <c r="XBZ116" s="572"/>
      <c r="XCA116" s="573"/>
      <c r="XCB116" s="574"/>
      <c r="XCC116" s="575"/>
      <c r="XCD116" s="583"/>
      <c r="XCE116" s="590"/>
      <c r="XCF116" s="589"/>
      <c r="XCG116" s="585"/>
      <c r="XCH116" s="577"/>
      <c r="XCI116" s="304"/>
      <c r="XCJ116" s="572"/>
      <c r="XCK116" s="573"/>
      <c r="XCL116" s="574"/>
      <c r="XCM116" s="575"/>
      <c r="XCN116" s="583"/>
      <c r="XCO116" s="590"/>
      <c r="XCP116" s="589"/>
      <c r="XCQ116" s="585"/>
      <c r="XCR116" s="577"/>
      <c r="XCS116" s="304"/>
      <c r="XCT116" s="572"/>
      <c r="XCU116" s="573"/>
      <c r="XCV116" s="574"/>
      <c r="XCW116" s="575"/>
      <c r="XCX116" s="583"/>
      <c r="XCY116" s="590"/>
      <c r="XCZ116" s="589"/>
      <c r="XDA116" s="585"/>
      <c r="XDB116" s="577"/>
      <c r="XDC116" s="304"/>
      <c r="XDD116" s="572"/>
      <c r="XDE116" s="573"/>
      <c r="XDF116" s="574"/>
      <c r="XDG116" s="575"/>
      <c r="XDH116" s="583"/>
      <c r="XDI116" s="590"/>
      <c r="XDJ116" s="589"/>
      <c r="XDK116" s="585"/>
      <c r="XDL116" s="577"/>
      <c r="XDM116" s="304"/>
      <c r="XDN116" s="572"/>
      <c r="XDO116" s="573"/>
      <c r="XDP116" s="574"/>
      <c r="XDQ116" s="575"/>
      <c r="XDR116" s="583"/>
      <c r="XDS116" s="590"/>
      <c r="XDT116" s="589"/>
      <c r="XDU116" s="585"/>
      <c r="XDV116" s="577"/>
      <c r="XDW116" s="304"/>
      <c r="XDX116" s="572"/>
      <c r="XDY116" s="573"/>
      <c r="XDZ116" s="574"/>
      <c r="XEA116" s="575"/>
      <c r="XEB116" s="583"/>
      <c r="XEC116" s="590"/>
      <c r="XED116" s="589"/>
      <c r="XEE116" s="585"/>
      <c r="XEF116" s="577"/>
      <c r="XEG116" s="304"/>
      <c r="XEH116" s="572"/>
      <c r="XEI116" s="573"/>
      <c r="XEJ116" s="574"/>
      <c r="XEK116" s="575"/>
      <c r="XEL116" s="583"/>
      <c r="XEM116" s="590"/>
      <c r="XEN116" s="589"/>
      <c r="XEO116" s="585"/>
      <c r="XEP116" s="577"/>
      <c r="XEQ116" s="304"/>
      <c r="XER116" s="572"/>
      <c r="XES116" s="573"/>
      <c r="XET116" s="574"/>
      <c r="XEU116" s="575"/>
      <c r="XEV116" s="583"/>
      <c r="XEW116" s="590"/>
      <c r="XEX116" s="589"/>
      <c r="XEY116" s="585"/>
      <c r="XEZ116" s="577"/>
      <c r="XFA116" s="304"/>
      <c r="XFB116" s="572"/>
      <c r="XFC116" s="573"/>
      <c r="XFD116" s="574"/>
    </row>
    <row r="117" spans="1:16384" ht="42.6" customHeight="1" x14ac:dyDescent="0.45">
      <c r="A117" s="304" t="str">
        <f>'DATA BASE'!A121</f>
        <v>BM-101</v>
      </c>
      <c r="B117" s="572">
        <f>'DATA BASE'!P121</f>
        <v>400</v>
      </c>
      <c r="C117" s="573">
        <f>'DATA BASE'!Q121</f>
        <v>26</v>
      </c>
      <c r="D117" s="574">
        <f>'DATA BASE'!O121</f>
        <v>0</v>
      </c>
      <c r="E117" s="575">
        <f>'DATA BASE'!N121</f>
        <v>0</v>
      </c>
      <c r="F117" s="583">
        <f>'DATA BASE'!S121</f>
        <v>104</v>
      </c>
      <c r="G117" s="590">
        <f>'DATA BASE'!T121</f>
        <v>39</v>
      </c>
      <c r="H117" s="589" t="str">
        <f>'DATA BASE'!U121</f>
        <v>FLEX-10</v>
      </c>
      <c r="I117" s="585">
        <f>'DATA BASE'!V121</f>
        <v>237</v>
      </c>
      <c r="J117" s="577">
        <f>'DATA BASE'!Z121</f>
        <v>43307</v>
      </c>
      <c r="K117" s="304"/>
      <c r="HB117" s="577"/>
      <c r="HC117" s="304"/>
      <c r="HD117" s="572"/>
      <c r="HE117" s="573"/>
      <c r="HF117" s="574"/>
      <c r="HG117" s="575"/>
      <c r="HH117" s="583"/>
      <c r="HI117" s="590"/>
      <c r="HJ117" s="589"/>
      <c r="HK117" s="585"/>
      <c r="HL117" s="577"/>
      <c r="HM117" s="304"/>
      <c r="HN117" s="572"/>
      <c r="HO117" s="573"/>
      <c r="HP117" s="574"/>
      <c r="HQ117" s="575"/>
      <c r="HR117" s="583"/>
      <c r="HS117" s="590"/>
      <c r="HT117" s="589"/>
      <c r="HU117" s="585"/>
      <c r="HV117" s="577"/>
      <c r="HW117" s="304"/>
      <c r="HX117" s="572"/>
      <c r="HY117" s="573"/>
      <c r="HZ117" s="574"/>
      <c r="IA117" s="575"/>
      <c r="IB117" s="583"/>
      <c r="IC117" s="590"/>
      <c r="ID117" s="589"/>
      <c r="IE117" s="585"/>
      <c r="IF117" s="577"/>
      <c r="IG117" s="304"/>
      <c r="IH117" s="572"/>
      <c r="II117" s="573"/>
      <c r="IJ117" s="574"/>
      <c r="IK117" s="575"/>
      <c r="IL117" s="583"/>
      <c r="IM117" s="590"/>
      <c r="IN117" s="589"/>
      <c r="IO117" s="585"/>
      <c r="IP117" s="577"/>
      <c r="IQ117" s="304"/>
      <c r="IR117" s="572"/>
      <c r="IS117" s="573"/>
      <c r="IT117" s="574"/>
      <c r="IU117" s="575"/>
      <c r="IV117" s="583"/>
      <c r="IW117" s="590"/>
      <c r="IX117" s="589"/>
      <c r="IY117" s="585"/>
      <c r="IZ117" s="577"/>
      <c r="JA117" s="304"/>
      <c r="JB117" s="572"/>
      <c r="JC117" s="573"/>
      <c r="JD117" s="574"/>
      <c r="JE117" s="575"/>
      <c r="JF117" s="583"/>
      <c r="JG117" s="590"/>
      <c r="JH117" s="589"/>
      <c r="JI117" s="585"/>
      <c r="JJ117" s="577"/>
      <c r="JK117" s="304"/>
      <c r="JL117" s="572"/>
      <c r="JM117" s="573"/>
      <c r="JN117" s="574"/>
      <c r="JO117" s="575"/>
      <c r="JP117" s="583"/>
      <c r="JQ117" s="590"/>
      <c r="JR117" s="589"/>
      <c r="JS117" s="585"/>
      <c r="JT117" s="577"/>
      <c r="JU117" s="304"/>
      <c r="JV117" s="572"/>
      <c r="JW117" s="573"/>
      <c r="JX117" s="574"/>
      <c r="JY117" s="575"/>
      <c r="JZ117" s="583"/>
      <c r="KA117" s="590"/>
      <c r="KB117" s="589"/>
      <c r="KC117" s="585"/>
      <c r="KD117" s="577"/>
      <c r="KE117" s="304"/>
      <c r="KF117" s="572"/>
      <c r="KG117" s="573"/>
      <c r="KH117" s="574"/>
      <c r="KI117" s="575"/>
      <c r="KJ117" s="583"/>
      <c r="KK117" s="590"/>
      <c r="KL117" s="589"/>
      <c r="KM117" s="585"/>
      <c r="KN117" s="577"/>
      <c r="KO117" s="304"/>
      <c r="KP117" s="572"/>
      <c r="KQ117" s="573"/>
      <c r="KR117" s="574"/>
      <c r="KS117" s="575"/>
      <c r="KT117" s="583"/>
      <c r="KU117" s="590"/>
      <c r="KV117" s="589"/>
      <c r="KW117" s="585"/>
      <c r="KX117" s="577"/>
      <c r="KY117" s="304"/>
      <c r="KZ117" s="572"/>
      <c r="LA117" s="573"/>
      <c r="LB117" s="574"/>
      <c r="LC117" s="575"/>
      <c r="LD117" s="583"/>
      <c r="LE117" s="590"/>
      <c r="LF117" s="589"/>
      <c r="LG117" s="585"/>
      <c r="LH117" s="577"/>
      <c r="LI117" s="304"/>
      <c r="LJ117" s="572"/>
      <c r="LK117" s="573"/>
      <c r="LL117" s="574"/>
      <c r="LM117" s="575"/>
      <c r="LN117" s="583"/>
      <c r="LO117" s="590"/>
      <c r="LP117" s="589"/>
      <c r="LQ117" s="585"/>
      <c r="LR117" s="577"/>
      <c r="LS117" s="304"/>
      <c r="LT117" s="572"/>
      <c r="LU117" s="573"/>
      <c r="LV117" s="574"/>
      <c r="LW117" s="575"/>
      <c r="LX117" s="583"/>
      <c r="LY117" s="590"/>
      <c r="LZ117" s="589"/>
      <c r="MA117" s="585"/>
      <c r="MB117" s="577"/>
      <c r="MC117" s="304"/>
      <c r="MD117" s="572"/>
      <c r="ME117" s="573"/>
      <c r="MF117" s="574"/>
      <c r="MG117" s="575"/>
      <c r="MH117" s="583"/>
      <c r="MI117" s="590"/>
      <c r="MJ117" s="589"/>
      <c r="MK117" s="585"/>
      <c r="ML117" s="577"/>
      <c r="MM117" s="304"/>
      <c r="MN117" s="572"/>
      <c r="MO117" s="573"/>
      <c r="MP117" s="574"/>
      <c r="MQ117" s="575"/>
      <c r="MR117" s="583"/>
      <c r="MS117" s="590"/>
      <c r="MT117" s="589"/>
      <c r="MU117" s="585"/>
      <c r="MV117" s="577"/>
      <c r="MW117" s="304"/>
      <c r="MX117" s="572"/>
      <c r="MY117" s="573"/>
      <c r="MZ117" s="574"/>
      <c r="NA117" s="575"/>
      <c r="NB117" s="583"/>
      <c r="NC117" s="590"/>
      <c r="ND117" s="589"/>
      <c r="NE117" s="585"/>
      <c r="NF117" s="577"/>
      <c r="NG117" s="304"/>
      <c r="NH117" s="572"/>
      <c r="NI117" s="573"/>
      <c r="NJ117" s="574"/>
      <c r="NK117" s="575"/>
      <c r="NL117" s="583"/>
      <c r="NM117" s="590"/>
      <c r="NN117" s="589"/>
      <c r="NO117" s="585"/>
      <c r="NP117" s="577"/>
      <c r="NQ117" s="304"/>
      <c r="NR117" s="572"/>
      <c r="NS117" s="573"/>
      <c r="NT117" s="574"/>
      <c r="NU117" s="575"/>
      <c r="NV117" s="583"/>
      <c r="NW117" s="590"/>
      <c r="NX117" s="589"/>
      <c r="NY117" s="585"/>
      <c r="NZ117" s="577"/>
      <c r="OA117" s="304"/>
      <c r="OB117" s="572"/>
      <c r="OC117" s="573"/>
      <c r="OD117" s="574"/>
      <c r="OE117" s="575"/>
      <c r="OF117" s="583"/>
      <c r="OG117" s="590"/>
      <c r="OH117" s="589"/>
      <c r="OI117" s="585"/>
      <c r="OJ117" s="577"/>
      <c r="OK117" s="304"/>
      <c r="OL117" s="572"/>
      <c r="OM117" s="573"/>
      <c r="ON117" s="574"/>
      <c r="OO117" s="575"/>
      <c r="OP117" s="583"/>
      <c r="OQ117" s="590"/>
      <c r="OR117" s="589"/>
      <c r="OS117" s="585"/>
      <c r="OT117" s="577"/>
      <c r="OU117" s="304"/>
      <c r="OV117" s="572"/>
      <c r="OW117" s="573"/>
      <c r="OX117" s="574"/>
      <c r="OY117" s="575"/>
      <c r="OZ117" s="583"/>
      <c r="PA117" s="590"/>
      <c r="PB117" s="589"/>
      <c r="PC117" s="585"/>
      <c r="PD117" s="577"/>
      <c r="PE117" s="304"/>
      <c r="PF117" s="572"/>
      <c r="PG117" s="573"/>
      <c r="PH117" s="574"/>
      <c r="PI117" s="575"/>
      <c r="PJ117" s="583"/>
      <c r="PK117" s="590"/>
      <c r="PL117" s="589"/>
      <c r="PM117" s="585"/>
      <c r="PN117" s="577"/>
      <c r="PO117" s="304"/>
      <c r="PP117" s="572"/>
      <c r="PQ117" s="573"/>
      <c r="PR117" s="574"/>
      <c r="PS117" s="575"/>
      <c r="PT117" s="583"/>
      <c r="PU117" s="590"/>
      <c r="PV117" s="589"/>
      <c r="PW117" s="585"/>
      <c r="PX117" s="577"/>
      <c r="PY117" s="304"/>
      <c r="PZ117" s="572"/>
      <c r="QA117" s="573"/>
      <c r="QB117" s="574"/>
      <c r="QC117" s="575"/>
      <c r="QD117" s="583"/>
      <c r="QE117" s="590"/>
      <c r="QF117" s="589"/>
      <c r="QG117" s="585"/>
      <c r="QH117" s="577"/>
      <c r="QI117" s="304"/>
      <c r="QJ117" s="572"/>
      <c r="QK117" s="573"/>
      <c r="QL117" s="574"/>
      <c r="QM117" s="575"/>
      <c r="QN117" s="583"/>
      <c r="QO117" s="590"/>
      <c r="QP117" s="589"/>
      <c r="QQ117" s="585"/>
      <c r="QR117" s="577"/>
      <c r="QS117" s="304"/>
      <c r="QT117" s="572"/>
      <c r="QU117" s="573"/>
      <c r="QV117" s="574"/>
      <c r="QW117" s="575"/>
      <c r="QX117" s="583"/>
      <c r="QY117" s="590"/>
      <c r="QZ117" s="589"/>
      <c r="RA117" s="585"/>
      <c r="RB117" s="577"/>
      <c r="RC117" s="304"/>
      <c r="RD117" s="572"/>
      <c r="RE117" s="573"/>
      <c r="RF117" s="574"/>
      <c r="RG117" s="575"/>
      <c r="RH117" s="583"/>
      <c r="RI117" s="590"/>
      <c r="RJ117" s="589"/>
      <c r="RK117" s="585"/>
      <c r="RL117" s="577"/>
      <c r="RM117" s="304"/>
      <c r="RN117" s="572"/>
      <c r="RO117" s="573"/>
      <c r="RP117" s="574"/>
      <c r="RQ117" s="575"/>
      <c r="RR117" s="583"/>
      <c r="RS117" s="590"/>
      <c r="RT117" s="589"/>
      <c r="RU117" s="585"/>
      <c r="RV117" s="577"/>
      <c r="RW117" s="304"/>
      <c r="RX117" s="572"/>
      <c r="RY117" s="573"/>
      <c r="RZ117" s="574"/>
      <c r="SA117" s="575"/>
      <c r="SB117" s="583"/>
      <c r="SC117" s="590"/>
      <c r="SD117" s="589"/>
      <c r="SE117" s="585"/>
      <c r="SF117" s="577"/>
      <c r="SG117" s="304"/>
      <c r="SH117" s="572"/>
      <c r="SI117" s="573"/>
      <c r="SJ117" s="574"/>
      <c r="SK117" s="575"/>
      <c r="SL117" s="583"/>
      <c r="SM117" s="590"/>
      <c r="SN117" s="589"/>
      <c r="SO117" s="585"/>
      <c r="SP117" s="577"/>
      <c r="SQ117" s="304"/>
      <c r="SR117" s="572"/>
      <c r="SS117" s="573"/>
      <c r="ST117" s="574"/>
      <c r="SU117" s="575"/>
      <c r="SV117" s="583"/>
      <c r="SW117" s="590"/>
      <c r="SX117" s="589"/>
      <c r="SY117" s="585"/>
      <c r="SZ117" s="577"/>
      <c r="TA117" s="304"/>
      <c r="TB117" s="572"/>
      <c r="TC117" s="573"/>
      <c r="TD117" s="574"/>
      <c r="TE117" s="575"/>
      <c r="TF117" s="583"/>
      <c r="TG117" s="590"/>
      <c r="TH117" s="589"/>
      <c r="TI117" s="585"/>
      <c r="TJ117" s="577"/>
      <c r="TK117" s="304"/>
      <c r="TL117" s="572"/>
      <c r="TM117" s="573"/>
      <c r="TN117" s="574"/>
      <c r="TO117" s="575"/>
      <c r="TP117" s="583"/>
      <c r="TQ117" s="590"/>
      <c r="TR117" s="589"/>
      <c r="TS117" s="585"/>
      <c r="TT117" s="577"/>
      <c r="TU117" s="304"/>
      <c r="TV117" s="572"/>
      <c r="TW117" s="573"/>
      <c r="TX117" s="574"/>
      <c r="TY117" s="575"/>
      <c r="TZ117" s="583"/>
      <c r="UA117" s="590"/>
      <c r="UB117" s="589"/>
      <c r="UC117" s="585"/>
      <c r="UD117" s="577"/>
      <c r="UE117" s="304"/>
      <c r="UF117" s="572"/>
      <c r="UG117" s="573"/>
      <c r="UH117" s="574"/>
      <c r="UI117" s="575"/>
      <c r="UJ117" s="583"/>
      <c r="UK117" s="590"/>
      <c r="UL117" s="589"/>
      <c r="UM117" s="585"/>
      <c r="UN117" s="577"/>
      <c r="UO117" s="304"/>
      <c r="UP117" s="572"/>
      <c r="UQ117" s="573"/>
      <c r="UR117" s="574"/>
      <c r="US117" s="575"/>
      <c r="UT117" s="583"/>
      <c r="UU117" s="590"/>
      <c r="UV117" s="589"/>
      <c r="UW117" s="585"/>
      <c r="UX117" s="577"/>
      <c r="UY117" s="304"/>
      <c r="UZ117" s="572"/>
      <c r="VA117" s="573"/>
      <c r="VB117" s="574"/>
      <c r="VC117" s="575"/>
      <c r="VD117" s="583"/>
      <c r="VE117" s="590"/>
      <c r="VF117" s="589"/>
      <c r="VG117" s="585"/>
      <c r="VH117" s="577"/>
      <c r="VI117" s="304"/>
      <c r="VJ117" s="572"/>
      <c r="VK117" s="573"/>
      <c r="VL117" s="574"/>
      <c r="VM117" s="575"/>
      <c r="VN117" s="583"/>
      <c r="VO117" s="590"/>
      <c r="VP117" s="589"/>
      <c r="VQ117" s="585"/>
      <c r="VR117" s="577"/>
      <c r="VS117" s="304"/>
      <c r="VT117" s="572"/>
      <c r="VU117" s="573"/>
      <c r="VV117" s="574"/>
      <c r="VW117" s="575"/>
      <c r="VX117" s="583"/>
      <c r="VY117" s="590"/>
      <c r="VZ117" s="589"/>
      <c r="WA117" s="585"/>
      <c r="WB117" s="577"/>
      <c r="WC117" s="304"/>
      <c r="WD117" s="572"/>
      <c r="WE117" s="573"/>
      <c r="WF117" s="574"/>
      <c r="WG117" s="575"/>
      <c r="WH117" s="583"/>
      <c r="WI117" s="590"/>
      <c r="WJ117" s="589"/>
      <c r="WK117" s="585"/>
      <c r="WL117" s="577"/>
      <c r="WM117" s="304"/>
      <c r="WN117" s="572"/>
      <c r="WO117" s="573"/>
      <c r="WP117" s="574"/>
      <c r="WQ117" s="575"/>
      <c r="WR117" s="583"/>
      <c r="WS117" s="590"/>
      <c r="WT117" s="589"/>
      <c r="WU117" s="585"/>
      <c r="WV117" s="577"/>
      <c r="WW117" s="304"/>
      <c r="WX117" s="572"/>
      <c r="WY117" s="573"/>
      <c r="WZ117" s="574"/>
      <c r="XA117" s="575"/>
      <c r="XB117" s="583"/>
      <c r="XC117" s="590"/>
      <c r="XD117" s="589"/>
      <c r="XE117" s="585"/>
      <c r="XF117" s="577"/>
      <c r="XG117" s="304"/>
      <c r="XH117" s="572"/>
      <c r="XI117" s="573"/>
      <c r="XJ117" s="574"/>
      <c r="XK117" s="575"/>
      <c r="XL117" s="583"/>
      <c r="XM117" s="590"/>
      <c r="XN117" s="589"/>
      <c r="XO117" s="585"/>
      <c r="XP117" s="577"/>
      <c r="XQ117" s="304"/>
      <c r="XR117" s="572"/>
      <c r="XS117" s="573"/>
      <c r="XT117" s="574"/>
      <c r="XU117" s="575"/>
      <c r="XV117" s="583"/>
      <c r="XW117" s="590"/>
      <c r="XX117" s="589"/>
      <c r="XY117" s="585"/>
      <c r="XZ117" s="577"/>
      <c r="YA117" s="304"/>
      <c r="YB117" s="572"/>
      <c r="YC117" s="573"/>
      <c r="YD117" s="574"/>
      <c r="YE117" s="575"/>
      <c r="YF117" s="583"/>
      <c r="YG117" s="590"/>
      <c r="YH117" s="589"/>
      <c r="YI117" s="585"/>
      <c r="YJ117" s="577"/>
      <c r="YK117" s="304"/>
      <c r="YL117" s="572"/>
      <c r="YM117" s="573"/>
      <c r="YN117" s="574"/>
      <c r="YO117" s="575"/>
      <c r="YP117" s="583"/>
      <c r="YQ117" s="590"/>
      <c r="YR117" s="589"/>
      <c r="YS117" s="585"/>
      <c r="YT117" s="577"/>
      <c r="YU117" s="304"/>
      <c r="YV117" s="572"/>
      <c r="YW117" s="573"/>
      <c r="YX117" s="574"/>
      <c r="YY117" s="575"/>
      <c r="YZ117" s="583"/>
      <c r="ZA117" s="590"/>
      <c r="ZB117" s="589"/>
      <c r="ZC117" s="585"/>
      <c r="ZD117" s="577"/>
      <c r="ZE117" s="304"/>
      <c r="ZF117" s="572"/>
      <c r="ZG117" s="573"/>
      <c r="ZH117" s="574"/>
      <c r="ZI117" s="575"/>
      <c r="ZJ117" s="583"/>
      <c r="ZK117" s="590"/>
      <c r="ZL117" s="589"/>
      <c r="ZM117" s="585"/>
      <c r="ZN117" s="577"/>
      <c r="ZO117" s="304"/>
      <c r="ZP117" s="572"/>
      <c r="ZQ117" s="573"/>
      <c r="ZR117" s="574"/>
      <c r="ZS117" s="575"/>
      <c r="ZT117" s="583"/>
      <c r="ZU117" s="590"/>
      <c r="ZV117" s="589"/>
      <c r="ZW117" s="585"/>
      <c r="ZX117" s="577"/>
      <c r="ZY117" s="304"/>
      <c r="ZZ117" s="572"/>
      <c r="AAA117" s="573"/>
      <c r="AAB117" s="574"/>
      <c r="AAC117" s="575"/>
      <c r="AAD117" s="583"/>
      <c r="AAE117" s="590"/>
      <c r="AAF117" s="589"/>
      <c r="AAG117" s="585"/>
      <c r="AAH117" s="577"/>
      <c r="AAI117" s="304"/>
      <c r="AAJ117" s="572"/>
      <c r="AAK117" s="573"/>
      <c r="AAL117" s="574"/>
      <c r="AAM117" s="575"/>
      <c r="AAN117" s="583"/>
      <c r="AAO117" s="590"/>
      <c r="AAP117" s="589"/>
      <c r="AAQ117" s="585"/>
      <c r="AAR117" s="577"/>
      <c r="AAS117" s="304"/>
      <c r="AAT117" s="572"/>
      <c r="AAU117" s="573"/>
      <c r="AAV117" s="574"/>
      <c r="AAW117" s="575"/>
      <c r="AAX117" s="583"/>
      <c r="AAY117" s="590"/>
      <c r="AAZ117" s="589"/>
      <c r="ABA117" s="585"/>
      <c r="ABB117" s="577"/>
      <c r="ABC117" s="304"/>
      <c r="ABD117" s="572"/>
      <c r="ABE117" s="573"/>
      <c r="ABF117" s="574"/>
      <c r="ABG117" s="575"/>
      <c r="ABH117" s="583"/>
      <c r="ABI117" s="590"/>
      <c r="ABJ117" s="589"/>
      <c r="ABK117" s="585"/>
      <c r="ABL117" s="577"/>
      <c r="ABM117" s="304"/>
      <c r="ABN117" s="572"/>
      <c r="ABO117" s="573"/>
      <c r="ABP117" s="574"/>
      <c r="ABQ117" s="575"/>
      <c r="ABR117" s="583"/>
      <c r="ABS117" s="590"/>
      <c r="ABT117" s="589"/>
      <c r="ABU117" s="585"/>
      <c r="ABV117" s="577"/>
      <c r="ABW117" s="304"/>
      <c r="ABX117" s="572"/>
      <c r="ABY117" s="573"/>
      <c r="ABZ117" s="574"/>
      <c r="ACA117" s="575"/>
      <c r="ACB117" s="583"/>
      <c r="ACC117" s="590"/>
      <c r="ACD117" s="589"/>
      <c r="ACE117" s="585"/>
      <c r="ACF117" s="577"/>
      <c r="ACG117" s="304"/>
      <c r="ACH117" s="572"/>
      <c r="ACI117" s="573"/>
      <c r="ACJ117" s="574"/>
      <c r="ACK117" s="575"/>
      <c r="ACL117" s="583"/>
      <c r="ACM117" s="590"/>
      <c r="ACN117" s="589"/>
      <c r="ACO117" s="585"/>
      <c r="ACP117" s="577"/>
      <c r="ACQ117" s="304"/>
      <c r="ACR117" s="572"/>
      <c r="ACS117" s="573"/>
      <c r="ACT117" s="574"/>
      <c r="ACU117" s="575"/>
      <c r="ACV117" s="583"/>
      <c r="ACW117" s="590"/>
      <c r="ACX117" s="589"/>
      <c r="ACY117" s="585"/>
      <c r="ACZ117" s="577"/>
      <c r="ADA117" s="304"/>
      <c r="ADB117" s="572"/>
      <c r="ADC117" s="573"/>
      <c r="ADD117" s="574"/>
      <c r="ADE117" s="575"/>
      <c r="ADF117" s="583"/>
      <c r="ADG117" s="590"/>
      <c r="ADH117" s="589"/>
      <c r="ADI117" s="585"/>
      <c r="ADJ117" s="577"/>
      <c r="ADK117" s="304"/>
      <c r="ADL117" s="572"/>
      <c r="ADM117" s="573"/>
      <c r="ADN117" s="574"/>
      <c r="ADO117" s="575"/>
      <c r="ADP117" s="583"/>
      <c r="ADQ117" s="590"/>
      <c r="ADR117" s="589"/>
      <c r="ADS117" s="585"/>
      <c r="ADT117" s="577"/>
      <c r="ADU117" s="304"/>
      <c r="ADV117" s="572"/>
      <c r="ADW117" s="573"/>
      <c r="ADX117" s="574"/>
      <c r="ADY117" s="575"/>
      <c r="ADZ117" s="583"/>
      <c r="AEA117" s="590"/>
      <c r="AEB117" s="589"/>
      <c r="AEC117" s="585"/>
      <c r="AED117" s="577"/>
      <c r="AEE117" s="304"/>
      <c r="AEF117" s="572"/>
      <c r="AEG117" s="573"/>
      <c r="AEH117" s="574"/>
      <c r="AEI117" s="575"/>
      <c r="AEJ117" s="583"/>
      <c r="AEK117" s="590"/>
      <c r="AEL117" s="589"/>
      <c r="AEM117" s="585"/>
      <c r="AEN117" s="577"/>
      <c r="AEO117" s="304"/>
      <c r="AEP117" s="572"/>
      <c r="AEQ117" s="573"/>
      <c r="AER117" s="574"/>
      <c r="AES117" s="575"/>
      <c r="AET117" s="583"/>
      <c r="AEU117" s="590"/>
      <c r="AEV117" s="589"/>
      <c r="AEW117" s="585"/>
      <c r="AEX117" s="577"/>
      <c r="AEY117" s="304"/>
      <c r="AEZ117" s="572"/>
      <c r="AFA117" s="573"/>
      <c r="AFB117" s="574"/>
      <c r="AFC117" s="575"/>
      <c r="AFD117" s="583"/>
      <c r="AFE117" s="590"/>
      <c r="AFF117" s="589"/>
      <c r="AFG117" s="585"/>
      <c r="AFH117" s="577"/>
      <c r="AFI117" s="304"/>
      <c r="AFJ117" s="572"/>
      <c r="AFK117" s="573"/>
      <c r="AFL117" s="574"/>
      <c r="AFM117" s="575"/>
      <c r="AFN117" s="583"/>
      <c r="AFO117" s="590"/>
      <c r="AFP117" s="589"/>
      <c r="AFQ117" s="585"/>
      <c r="AFR117" s="577"/>
      <c r="AFS117" s="304"/>
      <c r="AFT117" s="572"/>
      <c r="AFU117" s="573"/>
      <c r="AFV117" s="574"/>
      <c r="AFW117" s="575"/>
      <c r="AFX117" s="583"/>
      <c r="AFY117" s="590"/>
      <c r="AFZ117" s="589"/>
      <c r="AGA117" s="585"/>
      <c r="AGB117" s="577"/>
      <c r="AGC117" s="304"/>
      <c r="AGD117" s="572"/>
      <c r="AGE117" s="573"/>
      <c r="AGF117" s="574"/>
      <c r="AGG117" s="575"/>
      <c r="AGH117" s="583"/>
      <c r="AGI117" s="590"/>
      <c r="AGJ117" s="589"/>
      <c r="AGK117" s="585"/>
      <c r="AGL117" s="577"/>
      <c r="AGM117" s="304"/>
      <c r="AGN117" s="572"/>
      <c r="AGO117" s="573"/>
      <c r="AGP117" s="574"/>
      <c r="AGQ117" s="575"/>
      <c r="AGR117" s="583"/>
      <c r="AGS117" s="590"/>
      <c r="AGT117" s="589"/>
      <c r="AGU117" s="585"/>
      <c r="AGV117" s="577"/>
      <c r="AGW117" s="304"/>
      <c r="AGX117" s="572"/>
      <c r="AGY117" s="573"/>
      <c r="AGZ117" s="574"/>
      <c r="AHA117" s="575"/>
      <c r="AHB117" s="583"/>
      <c r="AHC117" s="590"/>
      <c r="AHD117" s="589"/>
      <c r="AHE117" s="585"/>
      <c r="AHF117" s="577"/>
      <c r="AHG117" s="304"/>
      <c r="AHH117" s="572"/>
      <c r="AHI117" s="573"/>
      <c r="AHJ117" s="574"/>
      <c r="AHK117" s="575"/>
      <c r="AHL117" s="583"/>
      <c r="AHM117" s="590"/>
      <c r="AHN117" s="589"/>
      <c r="AHO117" s="585"/>
      <c r="AHP117" s="577"/>
      <c r="AHQ117" s="304"/>
      <c r="AHR117" s="572"/>
      <c r="AHS117" s="573"/>
      <c r="AHT117" s="574"/>
      <c r="AHU117" s="575"/>
      <c r="AHV117" s="583"/>
      <c r="AHW117" s="590"/>
      <c r="AHX117" s="589"/>
      <c r="AHY117" s="585"/>
      <c r="AHZ117" s="577"/>
      <c r="AIA117" s="304"/>
      <c r="AIB117" s="572"/>
      <c r="AIC117" s="573"/>
      <c r="AID117" s="574"/>
      <c r="AIE117" s="575"/>
      <c r="AIF117" s="583"/>
      <c r="AIG117" s="590"/>
      <c r="AIH117" s="589"/>
      <c r="AII117" s="585"/>
      <c r="AIJ117" s="577"/>
      <c r="AIK117" s="304"/>
      <c r="AIL117" s="572"/>
      <c r="AIM117" s="573"/>
      <c r="AIN117" s="574"/>
      <c r="AIO117" s="575"/>
      <c r="AIP117" s="583"/>
      <c r="AIQ117" s="590"/>
      <c r="AIR117" s="589"/>
      <c r="AIS117" s="585"/>
      <c r="AIT117" s="577"/>
      <c r="AIU117" s="304"/>
      <c r="AIV117" s="572"/>
      <c r="AIW117" s="573"/>
      <c r="AIX117" s="574"/>
      <c r="AIY117" s="575"/>
      <c r="AIZ117" s="583"/>
      <c r="AJA117" s="590"/>
      <c r="AJB117" s="589"/>
      <c r="AJC117" s="585"/>
      <c r="AJD117" s="577"/>
      <c r="AJE117" s="304"/>
      <c r="AJF117" s="572"/>
      <c r="AJG117" s="573"/>
      <c r="AJH117" s="574"/>
      <c r="AJI117" s="575"/>
      <c r="AJJ117" s="583"/>
      <c r="AJK117" s="590"/>
      <c r="AJL117" s="589"/>
      <c r="AJM117" s="585"/>
      <c r="AJN117" s="577"/>
      <c r="AJO117" s="304"/>
      <c r="AJP117" s="572"/>
      <c r="AJQ117" s="573"/>
      <c r="AJR117" s="574"/>
      <c r="AJS117" s="575"/>
      <c r="AJT117" s="583"/>
      <c r="AJU117" s="590"/>
      <c r="AJV117" s="589"/>
      <c r="AJW117" s="585"/>
      <c r="AJX117" s="577"/>
      <c r="AJY117" s="304"/>
      <c r="AJZ117" s="572"/>
      <c r="AKA117" s="573"/>
      <c r="AKB117" s="574"/>
      <c r="AKC117" s="575"/>
      <c r="AKD117" s="583"/>
      <c r="AKE117" s="590"/>
      <c r="AKF117" s="589"/>
      <c r="AKG117" s="585"/>
      <c r="AKH117" s="577"/>
      <c r="AKI117" s="304"/>
      <c r="AKJ117" s="572"/>
      <c r="AKK117" s="573"/>
      <c r="AKL117" s="574"/>
      <c r="AKM117" s="575"/>
      <c r="AKN117" s="583"/>
      <c r="AKO117" s="590"/>
      <c r="AKP117" s="589"/>
      <c r="AKQ117" s="585"/>
      <c r="AKR117" s="577"/>
      <c r="AKS117" s="304"/>
      <c r="AKT117" s="572"/>
      <c r="AKU117" s="573"/>
      <c r="AKV117" s="574"/>
      <c r="AKW117" s="575"/>
      <c r="AKX117" s="583"/>
      <c r="AKY117" s="590"/>
      <c r="AKZ117" s="589"/>
      <c r="ALA117" s="585"/>
      <c r="ALB117" s="577"/>
      <c r="ALC117" s="304"/>
      <c r="ALD117" s="572"/>
      <c r="ALE117" s="573"/>
      <c r="ALF117" s="574"/>
      <c r="ALG117" s="575"/>
      <c r="ALH117" s="583"/>
      <c r="ALI117" s="590"/>
      <c r="ALJ117" s="589"/>
      <c r="ALK117" s="585"/>
      <c r="ALL117" s="577"/>
      <c r="ALM117" s="304"/>
      <c r="ALN117" s="572"/>
      <c r="ALO117" s="573"/>
      <c r="ALP117" s="574"/>
      <c r="ALQ117" s="575"/>
      <c r="ALR117" s="583"/>
      <c r="ALS117" s="590"/>
      <c r="ALT117" s="589"/>
      <c r="ALU117" s="585"/>
      <c r="ALV117" s="577"/>
      <c r="ALW117" s="304"/>
      <c r="ALX117" s="572"/>
      <c r="ALY117" s="573"/>
      <c r="ALZ117" s="574"/>
      <c r="AMA117" s="575"/>
      <c r="AMB117" s="583"/>
      <c r="AMC117" s="590"/>
      <c r="AMD117" s="589"/>
      <c r="AME117" s="585"/>
      <c r="AMF117" s="577"/>
      <c r="AMG117" s="304"/>
      <c r="AMH117" s="572"/>
      <c r="AMI117" s="573"/>
      <c r="AMJ117" s="574"/>
      <c r="AMK117" s="575"/>
      <c r="AML117" s="583"/>
      <c r="AMM117" s="590"/>
      <c r="AMN117" s="589"/>
      <c r="AMO117" s="585"/>
      <c r="AMP117" s="577"/>
      <c r="AMQ117" s="304"/>
      <c r="AMR117" s="572"/>
      <c r="AMS117" s="573"/>
      <c r="AMT117" s="574"/>
      <c r="AMU117" s="575"/>
      <c r="AMV117" s="583"/>
      <c r="AMW117" s="590"/>
      <c r="AMX117" s="589"/>
      <c r="AMY117" s="585"/>
      <c r="AMZ117" s="577"/>
      <c r="ANA117" s="304"/>
      <c r="ANB117" s="572"/>
      <c r="ANC117" s="573"/>
      <c r="AND117" s="574"/>
      <c r="ANE117" s="575"/>
      <c r="ANF117" s="583"/>
      <c r="ANG117" s="590"/>
      <c r="ANH117" s="589"/>
      <c r="ANI117" s="585"/>
      <c r="ANJ117" s="577"/>
      <c r="ANK117" s="304"/>
      <c r="ANL117" s="572"/>
      <c r="ANM117" s="573"/>
      <c r="ANN117" s="574"/>
      <c r="ANO117" s="575"/>
      <c r="ANP117" s="583"/>
      <c r="ANQ117" s="590"/>
      <c r="ANR117" s="589"/>
      <c r="ANS117" s="585"/>
      <c r="ANT117" s="577"/>
      <c r="ANU117" s="304"/>
      <c r="ANV117" s="572"/>
      <c r="ANW117" s="573"/>
      <c r="ANX117" s="574"/>
      <c r="ANY117" s="575"/>
      <c r="ANZ117" s="583"/>
      <c r="AOA117" s="590"/>
      <c r="AOB117" s="589"/>
      <c r="AOC117" s="585"/>
      <c r="AOD117" s="577"/>
      <c r="AOE117" s="304"/>
      <c r="AOF117" s="572"/>
      <c r="AOG117" s="573"/>
      <c r="AOH117" s="574"/>
      <c r="AOI117" s="575"/>
      <c r="AOJ117" s="583"/>
      <c r="AOK117" s="590"/>
      <c r="AOL117" s="589"/>
      <c r="AOM117" s="585"/>
      <c r="AON117" s="577"/>
      <c r="AOO117" s="304"/>
      <c r="AOP117" s="572"/>
      <c r="AOQ117" s="573"/>
      <c r="AOR117" s="574"/>
      <c r="AOS117" s="575"/>
      <c r="AOT117" s="583"/>
      <c r="AOU117" s="590"/>
      <c r="AOV117" s="589"/>
      <c r="AOW117" s="585"/>
      <c r="AOX117" s="577"/>
      <c r="AOY117" s="304"/>
      <c r="AOZ117" s="572"/>
      <c r="APA117" s="573"/>
      <c r="APB117" s="574"/>
      <c r="APC117" s="575"/>
      <c r="APD117" s="583"/>
      <c r="APE117" s="590"/>
      <c r="APF117" s="589"/>
      <c r="APG117" s="585"/>
      <c r="APH117" s="577"/>
      <c r="API117" s="304"/>
      <c r="APJ117" s="572"/>
      <c r="APK117" s="573"/>
      <c r="APL117" s="574"/>
      <c r="APM117" s="575"/>
      <c r="APN117" s="583"/>
      <c r="APO117" s="590"/>
      <c r="APP117" s="589"/>
      <c r="APQ117" s="585"/>
      <c r="APR117" s="577"/>
      <c r="APS117" s="304"/>
      <c r="APT117" s="572"/>
      <c r="APU117" s="573"/>
      <c r="APV117" s="574"/>
      <c r="APW117" s="575"/>
      <c r="APX117" s="583"/>
      <c r="APY117" s="590"/>
      <c r="APZ117" s="589"/>
      <c r="AQA117" s="585"/>
      <c r="AQB117" s="577"/>
      <c r="AQC117" s="304"/>
      <c r="AQD117" s="572"/>
      <c r="AQE117" s="573"/>
      <c r="AQF117" s="574"/>
      <c r="AQG117" s="575"/>
      <c r="AQH117" s="583"/>
      <c r="AQI117" s="590"/>
      <c r="AQJ117" s="589"/>
      <c r="AQK117" s="585"/>
      <c r="AQL117" s="577"/>
      <c r="AQM117" s="304"/>
      <c r="AQN117" s="572"/>
      <c r="AQO117" s="573"/>
      <c r="AQP117" s="574"/>
      <c r="AQQ117" s="575"/>
      <c r="AQR117" s="583"/>
      <c r="AQS117" s="590"/>
      <c r="AQT117" s="589"/>
      <c r="AQU117" s="585"/>
      <c r="AQV117" s="577"/>
      <c r="AQW117" s="304"/>
      <c r="AQX117" s="572"/>
      <c r="AQY117" s="573"/>
      <c r="AQZ117" s="574"/>
      <c r="ARA117" s="575"/>
      <c r="ARB117" s="583"/>
      <c r="ARC117" s="590"/>
      <c r="ARD117" s="589"/>
      <c r="ARE117" s="585"/>
      <c r="ARF117" s="577"/>
      <c r="ARG117" s="304"/>
      <c r="ARH117" s="572"/>
      <c r="ARI117" s="573"/>
      <c r="ARJ117" s="574"/>
      <c r="ARK117" s="575"/>
      <c r="ARL117" s="583"/>
      <c r="ARM117" s="590"/>
      <c r="ARN117" s="589"/>
      <c r="ARO117" s="585"/>
      <c r="ARP117" s="577"/>
      <c r="ARQ117" s="304"/>
      <c r="ARR117" s="572"/>
      <c r="ARS117" s="573"/>
      <c r="ART117" s="574"/>
      <c r="ARU117" s="575"/>
      <c r="ARV117" s="583"/>
      <c r="ARW117" s="590"/>
      <c r="ARX117" s="589"/>
      <c r="ARY117" s="585"/>
      <c r="ARZ117" s="577"/>
      <c r="ASA117" s="304"/>
      <c r="ASB117" s="572"/>
      <c r="ASC117" s="573"/>
      <c r="ASD117" s="574"/>
      <c r="ASE117" s="575"/>
      <c r="ASF117" s="583"/>
      <c r="ASG117" s="590"/>
      <c r="ASH117" s="589"/>
      <c r="ASI117" s="585"/>
      <c r="ASJ117" s="577"/>
      <c r="ASK117" s="304"/>
      <c r="ASL117" s="572"/>
      <c r="ASM117" s="573"/>
      <c r="ASN117" s="574"/>
      <c r="ASO117" s="575"/>
      <c r="ASP117" s="583"/>
      <c r="ASQ117" s="590"/>
      <c r="ASR117" s="589"/>
      <c r="ASS117" s="585"/>
      <c r="AST117" s="577"/>
      <c r="ASU117" s="304"/>
      <c r="ASV117" s="572"/>
      <c r="ASW117" s="573"/>
      <c r="ASX117" s="574"/>
      <c r="ASY117" s="575"/>
      <c r="ASZ117" s="583"/>
      <c r="ATA117" s="590"/>
      <c r="ATB117" s="589"/>
      <c r="ATC117" s="585"/>
      <c r="ATD117" s="577"/>
      <c r="ATE117" s="304"/>
      <c r="ATF117" s="572"/>
      <c r="ATG117" s="573"/>
      <c r="ATH117" s="574"/>
      <c r="ATI117" s="575"/>
      <c r="ATJ117" s="583"/>
      <c r="ATK117" s="590"/>
      <c r="ATL117" s="589"/>
      <c r="ATM117" s="585"/>
      <c r="ATN117" s="577"/>
      <c r="ATO117" s="304"/>
      <c r="ATP117" s="572"/>
      <c r="ATQ117" s="573"/>
      <c r="ATR117" s="574"/>
      <c r="ATS117" s="575"/>
      <c r="ATT117" s="583"/>
      <c r="ATU117" s="590"/>
      <c r="ATV117" s="589"/>
      <c r="ATW117" s="585"/>
      <c r="ATX117" s="577"/>
      <c r="ATY117" s="304"/>
      <c r="ATZ117" s="572"/>
      <c r="AUA117" s="573"/>
      <c r="AUB117" s="574"/>
      <c r="AUC117" s="575"/>
      <c r="AUD117" s="583"/>
      <c r="AUE117" s="590"/>
      <c r="AUF117" s="589"/>
      <c r="AUG117" s="585"/>
      <c r="AUH117" s="577"/>
      <c r="AUI117" s="304"/>
      <c r="AUJ117" s="572"/>
      <c r="AUK117" s="573"/>
      <c r="AUL117" s="574"/>
      <c r="AUM117" s="575"/>
      <c r="AUN117" s="583"/>
      <c r="AUO117" s="590"/>
      <c r="AUP117" s="589"/>
      <c r="AUQ117" s="585"/>
      <c r="AUR117" s="577"/>
      <c r="AUS117" s="304"/>
      <c r="AUT117" s="572"/>
      <c r="AUU117" s="573"/>
      <c r="AUV117" s="574"/>
      <c r="AUW117" s="575"/>
      <c r="AUX117" s="583"/>
      <c r="AUY117" s="590"/>
      <c r="AUZ117" s="589"/>
      <c r="AVA117" s="585"/>
      <c r="AVB117" s="577"/>
      <c r="AVC117" s="304"/>
      <c r="AVD117" s="572"/>
      <c r="AVE117" s="573"/>
      <c r="AVF117" s="574"/>
      <c r="AVG117" s="575"/>
      <c r="AVH117" s="583"/>
      <c r="AVI117" s="590"/>
      <c r="AVJ117" s="589"/>
      <c r="AVK117" s="585"/>
      <c r="AVL117" s="577"/>
      <c r="AVM117" s="304"/>
      <c r="AVN117" s="572"/>
      <c r="AVO117" s="573"/>
      <c r="AVP117" s="574"/>
      <c r="AVQ117" s="575"/>
      <c r="AVR117" s="583"/>
      <c r="AVS117" s="590"/>
      <c r="AVT117" s="589"/>
      <c r="AVU117" s="585"/>
      <c r="AVV117" s="577"/>
      <c r="AVW117" s="304"/>
      <c r="AVX117" s="572"/>
      <c r="AVY117" s="573"/>
      <c r="AVZ117" s="574"/>
      <c r="AWA117" s="575"/>
      <c r="AWB117" s="583"/>
      <c r="AWC117" s="590"/>
      <c r="AWD117" s="589"/>
      <c r="AWE117" s="585"/>
      <c r="AWF117" s="577"/>
      <c r="AWG117" s="304"/>
      <c r="AWH117" s="572"/>
      <c r="AWI117" s="573"/>
      <c r="AWJ117" s="574"/>
      <c r="AWK117" s="575"/>
      <c r="AWL117" s="583"/>
      <c r="AWM117" s="590"/>
      <c r="AWN117" s="589"/>
      <c r="AWO117" s="585"/>
      <c r="AWP117" s="577"/>
      <c r="AWQ117" s="304"/>
      <c r="AWR117" s="572"/>
      <c r="AWS117" s="573"/>
      <c r="AWT117" s="574"/>
      <c r="AWU117" s="575"/>
      <c r="AWV117" s="583"/>
      <c r="AWW117" s="590"/>
      <c r="AWX117" s="589"/>
      <c r="AWY117" s="585"/>
      <c r="AWZ117" s="577"/>
      <c r="AXA117" s="304"/>
      <c r="AXB117" s="572"/>
      <c r="AXC117" s="573"/>
      <c r="AXD117" s="574"/>
      <c r="AXE117" s="575"/>
      <c r="AXF117" s="583"/>
      <c r="AXG117" s="590"/>
      <c r="AXH117" s="589"/>
      <c r="AXI117" s="585"/>
      <c r="AXJ117" s="577"/>
      <c r="AXK117" s="304"/>
      <c r="AXL117" s="572"/>
      <c r="AXM117" s="573"/>
      <c r="AXN117" s="574"/>
      <c r="AXO117" s="575"/>
      <c r="AXP117" s="583"/>
      <c r="AXQ117" s="590"/>
      <c r="AXR117" s="589"/>
      <c r="AXS117" s="585"/>
      <c r="AXT117" s="577"/>
      <c r="AXU117" s="304"/>
      <c r="AXV117" s="572"/>
      <c r="AXW117" s="573"/>
      <c r="AXX117" s="574"/>
      <c r="AXY117" s="575"/>
      <c r="AXZ117" s="583"/>
      <c r="AYA117" s="590"/>
      <c r="AYB117" s="589"/>
      <c r="AYC117" s="585"/>
      <c r="AYD117" s="577"/>
      <c r="AYE117" s="304"/>
      <c r="AYF117" s="572"/>
      <c r="AYG117" s="573"/>
      <c r="AYH117" s="574"/>
      <c r="AYI117" s="575"/>
      <c r="AYJ117" s="583"/>
      <c r="AYK117" s="590"/>
      <c r="AYL117" s="589"/>
      <c r="AYM117" s="585"/>
      <c r="AYN117" s="577"/>
      <c r="AYO117" s="304"/>
      <c r="AYP117" s="572"/>
      <c r="AYQ117" s="573"/>
      <c r="AYR117" s="574"/>
      <c r="AYS117" s="575"/>
      <c r="AYT117" s="583"/>
      <c r="AYU117" s="590"/>
      <c r="AYV117" s="589"/>
      <c r="AYW117" s="585"/>
      <c r="AYX117" s="577"/>
      <c r="AYY117" s="304"/>
      <c r="AYZ117" s="572"/>
      <c r="AZA117" s="573"/>
      <c r="AZB117" s="574"/>
      <c r="AZC117" s="575"/>
      <c r="AZD117" s="583"/>
      <c r="AZE117" s="590"/>
      <c r="AZF117" s="589"/>
      <c r="AZG117" s="585"/>
      <c r="AZH117" s="577"/>
      <c r="AZI117" s="304"/>
      <c r="AZJ117" s="572"/>
      <c r="AZK117" s="573"/>
      <c r="AZL117" s="574"/>
      <c r="AZM117" s="575"/>
      <c r="AZN117" s="583"/>
      <c r="AZO117" s="590"/>
      <c r="AZP117" s="589"/>
      <c r="AZQ117" s="585"/>
      <c r="AZR117" s="577"/>
      <c r="AZS117" s="304"/>
      <c r="AZT117" s="572"/>
      <c r="AZU117" s="573"/>
      <c r="AZV117" s="574"/>
      <c r="AZW117" s="575"/>
      <c r="AZX117" s="583"/>
      <c r="AZY117" s="590"/>
      <c r="AZZ117" s="589"/>
      <c r="BAA117" s="585"/>
      <c r="BAB117" s="577"/>
      <c r="BAC117" s="304"/>
      <c r="BAD117" s="572"/>
      <c r="BAE117" s="573"/>
      <c r="BAF117" s="574"/>
      <c r="BAG117" s="575"/>
      <c r="BAH117" s="583"/>
      <c r="BAI117" s="590"/>
      <c r="BAJ117" s="589"/>
      <c r="BAK117" s="585"/>
      <c r="BAL117" s="577"/>
      <c r="BAM117" s="304"/>
      <c r="BAN117" s="572"/>
      <c r="BAO117" s="573"/>
      <c r="BAP117" s="574"/>
      <c r="BAQ117" s="575"/>
      <c r="BAR117" s="583"/>
      <c r="BAS117" s="590"/>
      <c r="BAT117" s="589"/>
      <c r="BAU117" s="585"/>
      <c r="BAV117" s="577"/>
      <c r="BAW117" s="304"/>
      <c r="BAX117" s="572"/>
      <c r="BAY117" s="573"/>
      <c r="BAZ117" s="574"/>
      <c r="BBA117" s="575"/>
      <c r="BBB117" s="583"/>
      <c r="BBC117" s="590"/>
      <c r="BBD117" s="589"/>
      <c r="BBE117" s="585"/>
      <c r="BBF117" s="577"/>
      <c r="BBG117" s="304"/>
      <c r="BBH117" s="572"/>
      <c r="BBI117" s="573"/>
      <c r="BBJ117" s="574"/>
      <c r="BBK117" s="575"/>
      <c r="BBL117" s="583"/>
      <c r="BBM117" s="590"/>
      <c r="BBN117" s="589"/>
      <c r="BBO117" s="585"/>
      <c r="BBP117" s="577"/>
      <c r="BBQ117" s="304"/>
      <c r="BBR117" s="572"/>
      <c r="BBS117" s="573"/>
      <c r="BBT117" s="574"/>
      <c r="BBU117" s="575"/>
      <c r="BBV117" s="583"/>
      <c r="BBW117" s="590"/>
      <c r="BBX117" s="589"/>
      <c r="BBY117" s="585"/>
      <c r="BBZ117" s="577"/>
      <c r="BCA117" s="304"/>
      <c r="BCB117" s="572"/>
      <c r="BCC117" s="573"/>
      <c r="BCD117" s="574"/>
      <c r="BCE117" s="575"/>
      <c r="BCF117" s="583"/>
      <c r="BCG117" s="590"/>
      <c r="BCH117" s="589"/>
      <c r="BCI117" s="585"/>
      <c r="BCJ117" s="577"/>
      <c r="BCK117" s="304"/>
      <c r="BCL117" s="572"/>
      <c r="BCM117" s="573"/>
      <c r="BCN117" s="574"/>
      <c r="BCO117" s="575"/>
      <c r="BCP117" s="583"/>
      <c r="BCQ117" s="590"/>
      <c r="BCR117" s="589"/>
      <c r="BCS117" s="585"/>
      <c r="BCT117" s="577"/>
      <c r="BCU117" s="304"/>
      <c r="BCV117" s="572"/>
      <c r="BCW117" s="573"/>
      <c r="BCX117" s="574"/>
      <c r="BCY117" s="575"/>
      <c r="BCZ117" s="583"/>
      <c r="BDA117" s="590"/>
      <c r="BDB117" s="589"/>
      <c r="BDC117" s="585"/>
      <c r="BDD117" s="577"/>
      <c r="BDE117" s="304"/>
      <c r="BDF117" s="572"/>
      <c r="BDG117" s="573"/>
      <c r="BDH117" s="574"/>
      <c r="BDI117" s="575"/>
      <c r="BDJ117" s="583"/>
      <c r="BDK117" s="590"/>
      <c r="BDL117" s="589"/>
      <c r="BDM117" s="585"/>
      <c r="BDN117" s="577"/>
      <c r="BDO117" s="304"/>
      <c r="BDP117" s="572"/>
      <c r="BDQ117" s="573"/>
      <c r="BDR117" s="574"/>
      <c r="BDS117" s="575"/>
      <c r="BDT117" s="583"/>
      <c r="BDU117" s="590"/>
      <c r="BDV117" s="589"/>
      <c r="BDW117" s="585"/>
      <c r="BDX117" s="577"/>
      <c r="BDY117" s="304"/>
      <c r="BDZ117" s="572"/>
      <c r="BEA117" s="573"/>
      <c r="BEB117" s="574"/>
      <c r="BEC117" s="575"/>
      <c r="BED117" s="583"/>
      <c r="BEE117" s="590"/>
      <c r="BEF117" s="589"/>
      <c r="BEG117" s="585"/>
      <c r="BEH117" s="577"/>
      <c r="BEI117" s="304"/>
      <c r="BEJ117" s="572"/>
      <c r="BEK117" s="573"/>
      <c r="BEL117" s="574"/>
      <c r="BEM117" s="575"/>
      <c r="BEN117" s="583"/>
      <c r="BEO117" s="590"/>
      <c r="BEP117" s="589"/>
      <c r="BEQ117" s="585"/>
      <c r="BER117" s="577"/>
      <c r="BES117" s="304"/>
      <c r="BET117" s="572"/>
      <c r="BEU117" s="573"/>
      <c r="BEV117" s="574"/>
      <c r="BEW117" s="575"/>
      <c r="BEX117" s="583"/>
      <c r="BEY117" s="590"/>
      <c r="BEZ117" s="589"/>
      <c r="BFA117" s="585"/>
      <c r="BFB117" s="577"/>
      <c r="BFC117" s="304"/>
      <c r="BFD117" s="572"/>
      <c r="BFE117" s="573"/>
      <c r="BFF117" s="574"/>
      <c r="BFG117" s="575"/>
      <c r="BFH117" s="583"/>
      <c r="BFI117" s="590"/>
      <c r="BFJ117" s="589"/>
      <c r="BFK117" s="585"/>
      <c r="BFL117" s="577"/>
      <c r="BFM117" s="304"/>
      <c r="BFN117" s="572"/>
      <c r="BFO117" s="573"/>
      <c r="BFP117" s="574"/>
      <c r="BFQ117" s="575"/>
      <c r="BFR117" s="583"/>
      <c r="BFS117" s="590"/>
      <c r="BFT117" s="589"/>
      <c r="BFU117" s="585"/>
      <c r="BFV117" s="577"/>
      <c r="BFW117" s="304"/>
      <c r="BFX117" s="572"/>
      <c r="BFY117" s="573"/>
      <c r="BFZ117" s="574"/>
      <c r="BGA117" s="575"/>
      <c r="BGB117" s="583"/>
      <c r="BGC117" s="590"/>
      <c r="BGD117" s="589"/>
      <c r="BGE117" s="585"/>
      <c r="BGF117" s="577"/>
      <c r="BGG117" s="304"/>
      <c r="BGH117" s="572"/>
      <c r="BGI117" s="573"/>
      <c r="BGJ117" s="574"/>
      <c r="BGK117" s="575"/>
      <c r="BGL117" s="583"/>
      <c r="BGM117" s="590"/>
      <c r="BGN117" s="589"/>
      <c r="BGO117" s="585"/>
      <c r="BGP117" s="577"/>
      <c r="BGQ117" s="304"/>
      <c r="BGR117" s="572"/>
      <c r="BGS117" s="573"/>
      <c r="BGT117" s="574"/>
      <c r="BGU117" s="575"/>
      <c r="BGV117" s="583"/>
      <c r="BGW117" s="590"/>
      <c r="BGX117" s="589"/>
      <c r="BGY117" s="585"/>
      <c r="BGZ117" s="577"/>
      <c r="BHA117" s="304"/>
      <c r="BHB117" s="572"/>
      <c r="BHC117" s="573"/>
      <c r="BHD117" s="574"/>
      <c r="BHE117" s="575"/>
      <c r="BHF117" s="583"/>
      <c r="BHG117" s="590"/>
      <c r="BHH117" s="589"/>
      <c r="BHI117" s="585"/>
      <c r="BHJ117" s="577"/>
      <c r="BHK117" s="304"/>
      <c r="BHL117" s="572"/>
      <c r="BHM117" s="573"/>
      <c r="BHN117" s="574"/>
      <c r="BHO117" s="575"/>
      <c r="BHP117" s="583"/>
      <c r="BHQ117" s="590"/>
      <c r="BHR117" s="589"/>
      <c r="BHS117" s="585"/>
      <c r="BHT117" s="577"/>
      <c r="BHU117" s="304"/>
      <c r="BHV117" s="572"/>
      <c r="BHW117" s="573"/>
      <c r="BHX117" s="574"/>
      <c r="BHY117" s="575"/>
      <c r="BHZ117" s="583"/>
      <c r="BIA117" s="590"/>
      <c r="BIB117" s="589"/>
      <c r="BIC117" s="585"/>
      <c r="BID117" s="577"/>
      <c r="BIE117" s="304"/>
      <c r="BIF117" s="572"/>
      <c r="BIG117" s="573"/>
      <c r="BIH117" s="574"/>
      <c r="BII117" s="575"/>
      <c r="BIJ117" s="583"/>
      <c r="BIK117" s="590"/>
      <c r="BIL117" s="589"/>
      <c r="BIM117" s="585"/>
      <c r="BIN117" s="577"/>
      <c r="BIO117" s="304"/>
      <c r="BIP117" s="572"/>
      <c r="BIQ117" s="573"/>
      <c r="BIR117" s="574"/>
      <c r="BIS117" s="575"/>
      <c r="BIT117" s="583"/>
      <c r="BIU117" s="590"/>
      <c r="BIV117" s="589"/>
      <c r="BIW117" s="585"/>
      <c r="BIX117" s="577"/>
      <c r="BIY117" s="304"/>
      <c r="BIZ117" s="572"/>
      <c r="BJA117" s="573"/>
      <c r="BJB117" s="574"/>
      <c r="BJC117" s="575"/>
      <c r="BJD117" s="583"/>
      <c r="BJE117" s="590"/>
      <c r="BJF117" s="589"/>
      <c r="BJG117" s="585"/>
      <c r="BJH117" s="577"/>
      <c r="BJI117" s="304"/>
      <c r="BJJ117" s="572"/>
      <c r="BJK117" s="573"/>
      <c r="BJL117" s="574"/>
      <c r="BJM117" s="575"/>
      <c r="BJN117" s="583"/>
      <c r="BJO117" s="590"/>
      <c r="BJP117" s="589"/>
      <c r="BJQ117" s="585"/>
      <c r="BJR117" s="577"/>
      <c r="BJS117" s="304"/>
      <c r="BJT117" s="572"/>
      <c r="BJU117" s="573"/>
      <c r="BJV117" s="574"/>
      <c r="BJW117" s="575"/>
      <c r="BJX117" s="583"/>
      <c r="BJY117" s="590"/>
      <c r="BJZ117" s="589"/>
      <c r="BKA117" s="585"/>
      <c r="BKB117" s="577"/>
      <c r="BKC117" s="304"/>
      <c r="BKD117" s="572"/>
      <c r="BKE117" s="573"/>
      <c r="BKF117" s="574"/>
      <c r="BKG117" s="575"/>
      <c r="BKH117" s="583"/>
      <c r="BKI117" s="590"/>
      <c r="BKJ117" s="589"/>
      <c r="BKK117" s="585"/>
      <c r="BKL117" s="577"/>
      <c r="BKM117" s="304"/>
      <c r="BKN117" s="572"/>
      <c r="BKO117" s="573"/>
      <c r="BKP117" s="574"/>
      <c r="BKQ117" s="575"/>
      <c r="BKR117" s="583"/>
      <c r="BKS117" s="590"/>
      <c r="BKT117" s="589"/>
      <c r="BKU117" s="585"/>
      <c r="BKV117" s="577"/>
      <c r="BKW117" s="304"/>
      <c r="BKX117" s="572"/>
      <c r="BKY117" s="573"/>
      <c r="BKZ117" s="574"/>
      <c r="BLA117" s="575"/>
      <c r="BLB117" s="583"/>
      <c r="BLC117" s="590"/>
      <c r="BLD117" s="589"/>
      <c r="BLE117" s="585"/>
      <c r="BLF117" s="577"/>
      <c r="BLG117" s="304"/>
      <c r="BLH117" s="572"/>
      <c r="BLI117" s="573"/>
      <c r="BLJ117" s="574"/>
      <c r="BLK117" s="575"/>
      <c r="BLL117" s="583"/>
      <c r="BLM117" s="590"/>
      <c r="BLN117" s="589"/>
      <c r="BLO117" s="585"/>
      <c r="BLP117" s="577"/>
      <c r="BLQ117" s="304"/>
      <c r="BLR117" s="572"/>
      <c r="BLS117" s="573"/>
      <c r="BLT117" s="574"/>
      <c r="BLU117" s="575"/>
      <c r="BLV117" s="583"/>
      <c r="BLW117" s="590"/>
      <c r="BLX117" s="589"/>
      <c r="BLY117" s="585"/>
      <c r="BLZ117" s="577"/>
      <c r="BMA117" s="304"/>
      <c r="BMB117" s="572"/>
      <c r="BMC117" s="573"/>
      <c r="BMD117" s="574"/>
      <c r="BME117" s="575"/>
      <c r="BMF117" s="583"/>
      <c r="BMG117" s="590"/>
      <c r="BMH117" s="589"/>
      <c r="BMI117" s="585"/>
      <c r="BMJ117" s="577"/>
      <c r="BMK117" s="304"/>
      <c r="BML117" s="572"/>
      <c r="BMM117" s="573"/>
      <c r="BMN117" s="574"/>
      <c r="BMO117" s="575"/>
      <c r="BMP117" s="583"/>
      <c r="BMQ117" s="590"/>
      <c r="BMR117" s="589"/>
      <c r="BMS117" s="585"/>
      <c r="BMT117" s="577"/>
      <c r="BMU117" s="304"/>
      <c r="BMV117" s="572"/>
      <c r="BMW117" s="573"/>
      <c r="BMX117" s="574"/>
      <c r="BMY117" s="575"/>
      <c r="BMZ117" s="583"/>
      <c r="BNA117" s="590"/>
      <c r="BNB117" s="589"/>
      <c r="BNC117" s="585"/>
      <c r="BND117" s="577"/>
      <c r="BNE117" s="304"/>
      <c r="BNF117" s="572"/>
      <c r="BNG117" s="573"/>
      <c r="BNH117" s="574"/>
      <c r="BNI117" s="575"/>
      <c r="BNJ117" s="583"/>
      <c r="BNK117" s="590"/>
      <c r="BNL117" s="589"/>
      <c r="BNM117" s="585"/>
      <c r="BNN117" s="577"/>
      <c r="BNO117" s="304"/>
      <c r="BNP117" s="572"/>
      <c r="BNQ117" s="573"/>
      <c r="BNR117" s="574"/>
      <c r="BNS117" s="575"/>
      <c r="BNT117" s="583"/>
      <c r="BNU117" s="590"/>
      <c r="BNV117" s="589"/>
      <c r="BNW117" s="585"/>
      <c r="BNX117" s="577"/>
      <c r="BNY117" s="304"/>
      <c r="BNZ117" s="572"/>
      <c r="BOA117" s="573"/>
      <c r="BOB117" s="574"/>
      <c r="BOC117" s="575"/>
      <c r="BOD117" s="583"/>
      <c r="BOE117" s="590"/>
      <c r="BOF117" s="589"/>
      <c r="BOG117" s="585"/>
      <c r="BOH117" s="577"/>
      <c r="BOI117" s="304"/>
      <c r="BOJ117" s="572"/>
      <c r="BOK117" s="573"/>
      <c r="BOL117" s="574"/>
      <c r="BOM117" s="575"/>
      <c r="BON117" s="583"/>
      <c r="BOO117" s="590"/>
      <c r="BOP117" s="589"/>
      <c r="BOQ117" s="585"/>
      <c r="BOR117" s="577"/>
      <c r="BOS117" s="304"/>
      <c r="BOT117" s="572"/>
      <c r="BOU117" s="573"/>
      <c r="BOV117" s="574"/>
      <c r="BOW117" s="575"/>
      <c r="BOX117" s="583"/>
      <c r="BOY117" s="590"/>
      <c r="BOZ117" s="589"/>
      <c r="BPA117" s="585"/>
      <c r="BPB117" s="577"/>
      <c r="BPC117" s="304"/>
      <c r="BPD117" s="572"/>
      <c r="BPE117" s="573"/>
      <c r="BPF117" s="574"/>
      <c r="BPG117" s="575"/>
      <c r="BPH117" s="583"/>
      <c r="BPI117" s="590"/>
      <c r="BPJ117" s="589"/>
      <c r="BPK117" s="585"/>
      <c r="BPL117" s="577"/>
      <c r="BPM117" s="304"/>
      <c r="BPN117" s="572"/>
      <c r="BPO117" s="573"/>
      <c r="BPP117" s="574"/>
      <c r="BPQ117" s="575"/>
      <c r="BPR117" s="583"/>
      <c r="BPS117" s="590"/>
      <c r="BPT117" s="589"/>
      <c r="BPU117" s="585"/>
      <c r="BPV117" s="577"/>
      <c r="BPW117" s="304"/>
      <c r="BPX117" s="572"/>
      <c r="BPY117" s="573"/>
      <c r="BPZ117" s="574"/>
      <c r="BQA117" s="575"/>
      <c r="BQB117" s="583"/>
      <c r="BQC117" s="590"/>
      <c r="BQD117" s="589"/>
      <c r="BQE117" s="585"/>
      <c r="BQF117" s="577"/>
      <c r="BQG117" s="304"/>
      <c r="BQH117" s="572"/>
      <c r="BQI117" s="573"/>
      <c r="BQJ117" s="574"/>
      <c r="BQK117" s="575"/>
      <c r="BQL117" s="583"/>
      <c r="BQM117" s="590"/>
      <c r="BQN117" s="589"/>
      <c r="BQO117" s="585"/>
      <c r="BQP117" s="577"/>
      <c r="BQQ117" s="304"/>
      <c r="BQR117" s="572"/>
      <c r="BQS117" s="573"/>
      <c r="BQT117" s="574"/>
      <c r="BQU117" s="575"/>
      <c r="BQV117" s="583"/>
      <c r="BQW117" s="590"/>
      <c r="BQX117" s="589"/>
      <c r="BQY117" s="585"/>
      <c r="BQZ117" s="577"/>
      <c r="BRA117" s="304"/>
      <c r="BRB117" s="572"/>
      <c r="BRC117" s="573"/>
      <c r="BRD117" s="574"/>
      <c r="BRE117" s="575"/>
      <c r="BRF117" s="583"/>
      <c r="BRG117" s="590"/>
      <c r="BRH117" s="589"/>
      <c r="BRI117" s="585"/>
      <c r="BRJ117" s="577"/>
      <c r="BRK117" s="304"/>
      <c r="BRL117" s="572"/>
      <c r="BRM117" s="573"/>
      <c r="BRN117" s="574"/>
      <c r="BRO117" s="575"/>
      <c r="BRP117" s="583"/>
      <c r="BRQ117" s="590"/>
      <c r="BRR117" s="589"/>
      <c r="BRS117" s="585"/>
      <c r="BRT117" s="577"/>
      <c r="BRU117" s="304"/>
      <c r="BRV117" s="572"/>
      <c r="BRW117" s="573"/>
      <c r="BRX117" s="574"/>
      <c r="BRY117" s="575"/>
      <c r="BRZ117" s="583"/>
      <c r="BSA117" s="590"/>
      <c r="BSB117" s="589"/>
      <c r="BSC117" s="585"/>
      <c r="BSD117" s="577"/>
      <c r="BSE117" s="304"/>
      <c r="BSF117" s="572"/>
      <c r="BSG117" s="573"/>
      <c r="BSH117" s="574"/>
      <c r="BSI117" s="575"/>
      <c r="BSJ117" s="583"/>
      <c r="BSK117" s="590"/>
      <c r="BSL117" s="589"/>
      <c r="BSM117" s="585"/>
      <c r="BSN117" s="577"/>
      <c r="BSO117" s="304"/>
      <c r="BSP117" s="572"/>
      <c r="BSQ117" s="573"/>
      <c r="BSR117" s="574"/>
      <c r="BSS117" s="575"/>
      <c r="BST117" s="583"/>
      <c r="BSU117" s="590"/>
      <c r="BSV117" s="589"/>
      <c r="BSW117" s="585"/>
      <c r="BSX117" s="577"/>
      <c r="BSY117" s="304"/>
      <c r="BSZ117" s="572"/>
      <c r="BTA117" s="573"/>
      <c r="BTB117" s="574"/>
      <c r="BTC117" s="575"/>
      <c r="BTD117" s="583"/>
      <c r="BTE117" s="590"/>
      <c r="BTF117" s="589"/>
      <c r="BTG117" s="585"/>
      <c r="BTH117" s="577"/>
      <c r="BTI117" s="304"/>
      <c r="BTJ117" s="572"/>
      <c r="BTK117" s="573"/>
      <c r="BTL117" s="574"/>
      <c r="BTM117" s="575"/>
      <c r="BTN117" s="583"/>
      <c r="BTO117" s="590"/>
      <c r="BTP117" s="589"/>
      <c r="BTQ117" s="585"/>
      <c r="BTR117" s="577"/>
      <c r="BTS117" s="304"/>
      <c r="BTT117" s="572"/>
      <c r="BTU117" s="573"/>
      <c r="BTV117" s="574"/>
      <c r="BTW117" s="575"/>
      <c r="BTX117" s="583"/>
      <c r="BTY117" s="590"/>
      <c r="BTZ117" s="589"/>
      <c r="BUA117" s="585"/>
      <c r="BUB117" s="577"/>
      <c r="BUC117" s="304"/>
      <c r="BUD117" s="572"/>
      <c r="BUE117" s="573"/>
      <c r="BUF117" s="574"/>
      <c r="BUG117" s="575"/>
      <c r="BUH117" s="583"/>
      <c r="BUI117" s="590"/>
      <c r="BUJ117" s="589"/>
      <c r="BUK117" s="585"/>
      <c r="BUL117" s="577"/>
      <c r="BUM117" s="304"/>
      <c r="BUN117" s="572"/>
      <c r="BUO117" s="573"/>
      <c r="BUP117" s="574"/>
      <c r="BUQ117" s="575"/>
      <c r="BUR117" s="583"/>
      <c r="BUS117" s="590"/>
      <c r="BUT117" s="589"/>
      <c r="BUU117" s="585"/>
      <c r="BUV117" s="577"/>
      <c r="BUW117" s="304"/>
      <c r="BUX117" s="572"/>
      <c r="BUY117" s="573"/>
      <c r="BUZ117" s="574"/>
      <c r="BVA117" s="575"/>
      <c r="BVB117" s="583"/>
      <c r="BVC117" s="590"/>
      <c r="BVD117" s="589"/>
      <c r="BVE117" s="585"/>
      <c r="BVF117" s="577"/>
      <c r="BVG117" s="304"/>
      <c r="BVH117" s="572"/>
      <c r="BVI117" s="573"/>
      <c r="BVJ117" s="574"/>
      <c r="BVK117" s="575"/>
      <c r="BVL117" s="583"/>
      <c r="BVM117" s="590"/>
      <c r="BVN117" s="589"/>
      <c r="BVO117" s="585"/>
      <c r="BVP117" s="577"/>
      <c r="BVQ117" s="304"/>
      <c r="BVR117" s="572"/>
      <c r="BVS117" s="573"/>
      <c r="BVT117" s="574"/>
      <c r="BVU117" s="575"/>
      <c r="BVV117" s="583"/>
      <c r="BVW117" s="590"/>
      <c r="BVX117" s="589"/>
      <c r="BVY117" s="585"/>
      <c r="BVZ117" s="577"/>
      <c r="BWA117" s="304"/>
      <c r="BWB117" s="572"/>
      <c r="BWC117" s="573"/>
      <c r="BWD117" s="574"/>
      <c r="BWE117" s="575"/>
      <c r="BWF117" s="583"/>
      <c r="BWG117" s="590"/>
      <c r="BWH117" s="589"/>
      <c r="BWI117" s="585"/>
      <c r="BWJ117" s="577"/>
      <c r="BWK117" s="304"/>
      <c r="BWL117" s="572"/>
      <c r="BWM117" s="573"/>
      <c r="BWN117" s="574"/>
      <c r="BWO117" s="575"/>
      <c r="BWP117" s="583"/>
      <c r="BWQ117" s="590"/>
      <c r="BWR117" s="589"/>
      <c r="BWS117" s="585"/>
      <c r="BWT117" s="577"/>
      <c r="BWU117" s="304"/>
      <c r="BWV117" s="572"/>
      <c r="BWW117" s="573"/>
      <c r="BWX117" s="574"/>
      <c r="BWY117" s="575"/>
      <c r="BWZ117" s="583"/>
      <c r="BXA117" s="590"/>
      <c r="BXB117" s="589"/>
      <c r="BXC117" s="585"/>
      <c r="BXD117" s="577"/>
      <c r="BXE117" s="304"/>
      <c r="BXF117" s="572"/>
      <c r="BXG117" s="573"/>
      <c r="BXH117" s="574"/>
      <c r="BXI117" s="575"/>
      <c r="BXJ117" s="583"/>
      <c r="BXK117" s="590"/>
      <c r="BXL117" s="589"/>
      <c r="BXM117" s="585"/>
      <c r="BXN117" s="577"/>
      <c r="BXO117" s="304"/>
      <c r="BXP117" s="572"/>
      <c r="BXQ117" s="573"/>
      <c r="BXR117" s="574"/>
      <c r="BXS117" s="575"/>
      <c r="BXT117" s="583"/>
      <c r="BXU117" s="590"/>
      <c r="BXV117" s="589"/>
      <c r="BXW117" s="585"/>
      <c r="BXX117" s="577"/>
      <c r="BXY117" s="304"/>
      <c r="BXZ117" s="572"/>
      <c r="BYA117" s="573"/>
      <c r="BYB117" s="574"/>
      <c r="BYC117" s="575"/>
      <c r="BYD117" s="583"/>
      <c r="BYE117" s="590"/>
      <c r="BYF117" s="589"/>
      <c r="BYG117" s="585"/>
      <c r="BYH117" s="577"/>
      <c r="BYI117" s="304"/>
      <c r="BYJ117" s="572"/>
      <c r="BYK117" s="573"/>
      <c r="BYL117" s="574"/>
      <c r="BYM117" s="575"/>
      <c r="BYN117" s="583"/>
      <c r="BYO117" s="590"/>
      <c r="BYP117" s="589"/>
      <c r="BYQ117" s="585"/>
      <c r="BYR117" s="577"/>
      <c r="BYS117" s="304"/>
      <c r="BYT117" s="572"/>
      <c r="BYU117" s="573"/>
      <c r="BYV117" s="574"/>
      <c r="BYW117" s="575"/>
      <c r="BYX117" s="583"/>
      <c r="BYY117" s="590"/>
      <c r="BYZ117" s="589"/>
      <c r="BZA117" s="585"/>
      <c r="BZB117" s="577"/>
      <c r="BZC117" s="304"/>
      <c r="BZD117" s="572"/>
      <c r="BZE117" s="573"/>
      <c r="BZF117" s="574"/>
      <c r="BZG117" s="575"/>
      <c r="BZH117" s="583"/>
      <c r="BZI117" s="590"/>
      <c r="BZJ117" s="589"/>
      <c r="BZK117" s="585"/>
      <c r="BZL117" s="577"/>
      <c r="BZM117" s="304"/>
      <c r="BZN117" s="572"/>
      <c r="BZO117" s="573"/>
      <c r="BZP117" s="574"/>
      <c r="BZQ117" s="575"/>
      <c r="BZR117" s="583"/>
      <c r="BZS117" s="590"/>
      <c r="BZT117" s="589"/>
      <c r="BZU117" s="585"/>
      <c r="BZV117" s="577"/>
      <c r="BZW117" s="304"/>
      <c r="BZX117" s="572"/>
      <c r="BZY117" s="573"/>
      <c r="BZZ117" s="574"/>
      <c r="CAA117" s="575"/>
      <c r="CAB117" s="583"/>
      <c r="CAC117" s="590"/>
      <c r="CAD117" s="589"/>
      <c r="CAE117" s="585"/>
      <c r="CAF117" s="577"/>
      <c r="CAG117" s="304"/>
      <c r="CAH117" s="572"/>
      <c r="CAI117" s="573"/>
      <c r="CAJ117" s="574"/>
      <c r="CAK117" s="575"/>
      <c r="CAL117" s="583"/>
      <c r="CAM117" s="590"/>
      <c r="CAN117" s="589"/>
      <c r="CAO117" s="585"/>
      <c r="CAP117" s="577"/>
      <c r="CAQ117" s="304"/>
      <c r="CAR117" s="572"/>
      <c r="CAS117" s="573"/>
      <c r="CAT117" s="574"/>
      <c r="CAU117" s="575"/>
      <c r="CAV117" s="583"/>
      <c r="CAW117" s="590"/>
      <c r="CAX117" s="589"/>
      <c r="CAY117" s="585"/>
      <c r="CAZ117" s="577"/>
      <c r="CBA117" s="304"/>
      <c r="CBB117" s="572"/>
      <c r="CBC117" s="573"/>
      <c r="CBD117" s="574"/>
      <c r="CBE117" s="575"/>
      <c r="CBF117" s="583"/>
      <c r="CBG117" s="590"/>
      <c r="CBH117" s="589"/>
      <c r="CBI117" s="585"/>
      <c r="CBJ117" s="577"/>
      <c r="CBK117" s="304"/>
      <c r="CBL117" s="572"/>
      <c r="CBM117" s="573"/>
      <c r="CBN117" s="574"/>
      <c r="CBO117" s="575"/>
      <c r="CBP117" s="583"/>
      <c r="CBQ117" s="590"/>
      <c r="CBR117" s="589"/>
      <c r="CBS117" s="585"/>
      <c r="CBT117" s="577"/>
      <c r="CBU117" s="304"/>
      <c r="CBV117" s="572"/>
      <c r="CBW117" s="573"/>
      <c r="CBX117" s="574"/>
      <c r="CBY117" s="575"/>
      <c r="CBZ117" s="583"/>
      <c r="CCA117" s="590"/>
      <c r="CCB117" s="589"/>
      <c r="CCC117" s="585"/>
      <c r="CCD117" s="577"/>
      <c r="CCE117" s="304"/>
      <c r="CCF117" s="572"/>
      <c r="CCG117" s="573"/>
      <c r="CCH117" s="574"/>
      <c r="CCI117" s="575"/>
      <c r="CCJ117" s="583"/>
      <c r="CCK117" s="590"/>
      <c r="CCL117" s="589"/>
      <c r="CCM117" s="585"/>
      <c r="CCN117" s="577"/>
      <c r="CCO117" s="304"/>
      <c r="CCP117" s="572"/>
      <c r="CCQ117" s="573"/>
      <c r="CCR117" s="574"/>
      <c r="CCS117" s="575"/>
      <c r="CCT117" s="583"/>
      <c r="CCU117" s="590"/>
      <c r="CCV117" s="589"/>
      <c r="CCW117" s="585"/>
      <c r="CCX117" s="577"/>
      <c r="CCY117" s="304"/>
      <c r="CCZ117" s="572"/>
      <c r="CDA117" s="573"/>
      <c r="CDB117" s="574"/>
      <c r="CDC117" s="575"/>
      <c r="CDD117" s="583"/>
      <c r="CDE117" s="590"/>
      <c r="CDF117" s="589"/>
      <c r="CDG117" s="585"/>
      <c r="CDH117" s="577"/>
      <c r="CDI117" s="304"/>
      <c r="CDJ117" s="572"/>
      <c r="CDK117" s="573"/>
      <c r="CDL117" s="574"/>
      <c r="CDM117" s="575"/>
      <c r="CDN117" s="583"/>
      <c r="CDO117" s="590"/>
      <c r="CDP117" s="589"/>
      <c r="CDQ117" s="585"/>
      <c r="CDR117" s="577"/>
      <c r="CDS117" s="304"/>
      <c r="CDT117" s="572"/>
      <c r="CDU117" s="573"/>
      <c r="CDV117" s="574"/>
      <c r="CDW117" s="575"/>
      <c r="CDX117" s="583"/>
      <c r="CDY117" s="590"/>
      <c r="CDZ117" s="589"/>
      <c r="CEA117" s="585"/>
      <c r="CEB117" s="577"/>
      <c r="CEC117" s="304"/>
      <c r="CED117" s="572"/>
      <c r="CEE117" s="573"/>
      <c r="CEF117" s="574"/>
      <c r="CEG117" s="575"/>
      <c r="CEH117" s="583"/>
      <c r="CEI117" s="590"/>
      <c r="CEJ117" s="589"/>
      <c r="CEK117" s="585"/>
      <c r="CEL117" s="577"/>
      <c r="CEM117" s="304"/>
      <c r="CEN117" s="572"/>
      <c r="CEO117" s="573"/>
      <c r="CEP117" s="574"/>
      <c r="CEQ117" s="575"/>
      <c r="CER117" s="583"/>
      <c r="CES117" s="590"/>
      <c r="CET117" s="589"/>
      <c r="CEU117" s="585"/>
      <c r="CEV117" s="577"/>
      <c r="CEW117" s="304"/>
      <c r="CEX117" s="572"/>
      <c r="CEY117" s="573"/>
      <c r="CEZ117" s="574"/>
      <c r="CFA117" s="575"/>
      <c r="CFB117" s="583"/>
      <c r="CFC117" s="590"/>
      <c r="CFD117" s="589"/>
      <c r="CFE117" s="585"/>
      <c r="CFF117" s="577"/>
      <c r="CFG117" s="304"/>
      <c r="CFH117" s="572"/>
      <c r="CFI117" s="573"/>
      <c r="CFJ117" s="574"/>
      <c r="CFK117" s="575"/>
      <c r="CFL117" s="583"/>
      <c r="CFM117" s="590"/>
      <c r="CFN117" s="589"/>
      <c r="CFO117" s="585"/>
      <c r="CFP117" s="577"/>
      <c r="CFQ117" s="304"/>
      <c r="CFR117" s="572"/>
      <c r="CFS117" s="573"/>
      <c r="CFT117" s="574"/>
      <c r="CFU117" s="575"/>
      <c r="CFV117" s="583"/>
      <c r="CFW117" s="590"/>
      <c r="CFX117" s="589"/>
      <c r="CFY117" s="585"/>
      <c r="CFZ117" s="577"/>
      <c r="CGA117" s="304"/>
      <c r="CGB117" s="572"/>
      <c r="CGC117" s="573"/>
      <c r="CGD117" s="574"/>
      <c r="CGE117" s="575"/>
      <c r="CGF117" s="583"/>
      <c r="CGG117" s="590"/>
      <c r="CGH117" s="589"/>
      <c r="CGI117" s="585"/>
      <c r="CGJ117" s="577"/>
      <c r="CGK117" s="304"/>
      <c r="CGL117" s="572"/>
      <c r="CGM117" s="573"/>
      <c r="CGN117" s="574"/>
      <c r="CGO117" s="575"/>
      <c r="CGP117" s="583"/>
      <c r="CGQ117" s="590"/>
      <c r="CGR117" s="589"/>
      <c r="CGS117" s="585"/>
      <c r="CGT117" s="577"/>
      <c r="CGU117" s="304"/>
      <c r="CGV117" s="572"/>
      <c r="CGW117" s="573"/>
      <c r="CGX117" s="574"/>
      <c r="CGY117" s="575"/>
      <c r="CGZ117" s="583"/>
      <c r="CHA117" s="590"/>
      <c r="CHB117" s="589"/>
      <c r="CHC117" s="585"/>
      <c r="CHD117" s="577"/>
      <c r="CHE117" s="304"/>
      <c r="CHF117" s="572"/>
      <c r="CHG117" s="573"/>
      <c r="CHH117" s="574"/>
      <c r="CHI117" s="575"/>
      <c r="CHJ117" s="583"/>
      <c r="CHK117" s="590"/>
      <c r="CHL117" s="589"/>
      <c r="CHM117" s="585"/>
      <c r="CHN117" s="577"/>
      <c r="CHO117" s="304"/>
      <c r="CHP117" s="572"/>
      <c r="CHQ117" s="573"/>
      <c r="CHR117" s="574"/>
      <c r="CHS117" s="575"/>
      <c r="CHT117" s="583"/>
      <c r="CHU117" s="590"/>
      <c r="CHV117" s="589"/>
      <c r="CHW117" s="585"/>
      <c r="CHX117" s="577"/>
      <c r="CHY117" s="304"/>
      <c r="CHZ117" s="572"/>
      <c r="CIA117" s="573"/>
      <c r="CIB117" s="574"/>
      <c r="CIC117" s="575"/>
      <c r="CID117" s="583"/>
      <c r="CIE117" s="590"/>
      <c r="CIF117" s="589"/>
      <c r="CIG117" s="585"/>
      <c r="CIH117" s="577"/>
      <c r="CII117" s="304"/>
      <c r="CIJ117" s="572"/>
      <c r="CIK117" s="573"/>
      <c r="CIL117" s="574"/>
      <c r="CIM117" s="575"/>
      <c r="CIN117" s="583"/>
      <c r="CIO117" s="590"/>
      <c r="CIP117" s="589"/>
      <c r="CIQ117" s="585"/>
      <c r="CIR117" s="577"/>
      <c r="CIS117" s="304"/>
      <c r="CIT117" s="572"/>
      <c r="CIU117" s="573"/>
      <c r="CIV117" s="574"/>
      <c r="CIW117" s="575"/>
      <c r="CIX117" s="583"/>
      <c r="CIY117" s="590"/>
      <c r="CIZ117" s="589"/>
      <c r="CJA117" s="585"/>
      <c r="CJB117" s="577"/>
      <c r="CJC117" s="304"/>
      <c r="CJD117" s="572"/>
      <c r="CJE117" s="573"/>
      <c r="CJF117" s="574"/>
      <c r="CJG117" s="575"/>
      <c r="CJH117" s="583"/>
      <c r="CJI117" s="590"/>
      <c r="CJJ117" s="589"/>
      <c r="CJK117" s="585"/>
      <c r="CJL117" s="577"/>
      <c r="CJM117" s="304"/>
      <c r="CJN117" s="572"/>
      <c r="CJO117" s="573"/>
      <c r="CJP117" s="574"/>
      <c r="CJQ117" s="575"/>
      <c r="CJR117" s="583"/>
      <c r="CJS117" s="590"/>
      <c r="CJT117" s="589"/>
      <c r="CJU117" s="585"/>
      <c r="CJV117" s="577"/>
      <c r="CJW117" s="304"/>
      <c r="CJX117" s="572"/>
      <c r="CJY117" s="573"/>
      <c r="CJZ117" s="574"/>
      <c r="CKA117" s="575"/>
      <c r="CKB117" s="583"/>
      <c r="CKC117" s="590"/>
      <c r="CKD117" s="589"/>
      <c r="CKE117" s="585"/>
      <c r="CKF117" s="577"/>
      <c r="CKG117" s="304"/>
      <c r="CKH117" s="572"/>
      <c r="CKI117" s="573"/>
      <c r="CKJ117" s="574"/>
      <c r="CKK117" s="575"/>
      <c r="CKL117" s="583"/>
      <c r="CKM117" s="590"/>
      <c r="CKN117" s="589"/>
      <c r="CKO117" s="585"/>
      <c r="CKP117" s="577"/>
      <c r="CKQ117" s="304"/>
      <c r="CKR117" s="572"/>
      <c r="CKS117" s="573"/>
      <c r="CKT117" s="574"/>
      <c r="CKU117" s="575"/>
      <c r="CKV117" s="583"/>
      <c r="CKW117" s="590"/>
      <c r="CKX117" s="589"/>
      <c r="CKY117" s="585"/>
      <c r="CKZ117" s="577"/>
      <c r="CLA117" s="304"/>
      <c r="CLB117" s="572"/>
      <c r="CLC117" s="573"/>
      <c r="CLD117" s="574"/>
      <c r="CLE117" s="575"/>
      <c r="CLF117" s="583"/>
      <c r="CLG117" s="590"/>
      <c r="CLH117" s="589"/>
      <c r="CLI117" s="585"/>
      <c r="CLJ117" s="577"/>
      <c r="CLK117" s="304"/>
      <c r="CLL117" s="572"/>
      <c r="CLM117" s="573"/>
      <c r="CLN117" s="574"/>
      <c r="CLO117" s="575"/>
      <c r="CLP117" s="583"/>
      <c r="CLQ117" s="590"/>
      <c r="CLR117" s="589"/>
      <c r="CLS117" s="585"/>
      <c r="CLT117" s="577"/>
      <c r="CLU117" s="304"/>
      <c r="CLV117" s="572"/>
      <c r="CLW117" s="573"/>
      <c r="CLX117" s="574"/>
      <c r="CLY117" s="575"/>
      <c r="CLZ117" s="583"/>
      <c r="CMA117" s="590"/>
      <c r="CMB117" s="589"/>
      <c r="CMC117" s="585"/>
      <c r="CMD117" s="577"/>
      <c r="CME117" s="304"/>
      <c r="CMF117" s="572"/>
      <c r="CMG117" s="573"/>
      <c r="CMH117" s="574"/>
      <c r="CMI117" s="575"/>
      <c r="CMJ117" s="583"/>
      <c r="CMK117" s="590"/>
      <c r="CML117" s="589"/>
      <c r="CMM117" s="585"/>
      <c r="CMN117" s="577"/>
      <c r="CMO117" s="304"/>
      <c r="CMP117" s="572"/>
      <c r="CMQ117" s="573"/>
      <c r="CMR117" s="574"/>
      <c r="CMS117" s="575"/>
      <c r="CMT117" s="583"/>
      <c r="CMU117" s="590"/>
      <c r="CMV117" s="589"/>
      <c r="CMW117" s="585"/>
      <c r="CMX117" s="577"/>
      <c r="CMY117" s="304"/>
      <c r="CMZ117" s="572"/>
      <c r="CNA117" s="573"/>
      <c r="CNB117" s="574"/>
      <c r="CNC117" s="575"/>
      <c r="CND117" s="583"/>
      <c r="CNE117" s="590"/>
      <c r="CNF117" s="589"/>
      <c r="CNG117" s="585"/>
      <c r="CNH117" s="577"/>
      <c r="CNI117" s="304"/>
      <c r="CNJ117" s="572"/>
      <c r="CNK117" s="573"/>
      <c r="CNL117" s="574"/>
      <c r="CNM117" s="575"/>
      <c r="CNN117" s="583"/>
      <c r="CNO117" s="590"/>
      <c r="CNP117" s="589"/>
      <c r="CNQ117" s="585"/>
      <c r="CNR117" s="577"/>
      <c r="CNS117" s="304"/>
      <c r="CNT117" s="572"/>
      <c r="CNU117" s="573"/>
      <c r="CNV117" s="574"/>
      <c r="CNW117" s="575"/>
      <c r="CNX117" s="583"/>
      <c r="CNY117" s="590"/>
      <c r="CNZ117" s="589"/>
      <c r="COA117" s="585"/>
      <c r="COB117" s="577"/>
      <c r="COC117" s="304"/>
      <c r="COD117" s="572"/>
      <c r="COE117" s="573"/>
      <c r="COF117" s="574"/>
      <c r="COG117" s="575"/>
      <c r="COH117" s="583"/>
      <c r="COI117" s="590"/>
      <c r="COJ117" s="589"/>
      <c r="COK117" s="585"/>
      <c r="COL117" s="577"/>
      <c r="COM117" s="304"/>
      <c r="CON117" s="572"/>
      <c r="COO117" s="573"/>
      <c r="COP117" s="574"/>
      <c r="COQ117" s="575"/>
      <c r="COR117" s="583"/>
      <c r="COS117" s="590"/>
      <c r="COT117" s="589"/>
      <c r="COU117" s="585"/>
      <c r="COV117" s="577"/>
      <c r="COW117" s="304"/>
      <c r="COX117" s="572"/>
      <c r="COY117" s="573"/>
      <c r="COZ117" s="574"/>
      <c r="CPA117" s="575"/>
      <c r="CPB117" s="583"/>
      <c r="CPC117" s="590"/>
      <c r="CPD117" s="589"/>
      <c r="CPE117" s="585"/>
      <c r="CPF117" s="577"/>
      <c r="CPG117" s="304"/>
      <c r="CPH117" s="572"/>
      <c r="CPI117" s="573"/>
      <c r="CPJ117" s="574"/>
      <c r="CPK117" s="575"/>
      <c r="CPL117" s="583"/>
      <c r="CPM117" s="590"/>
      <c r="CPN117" s="589"/>
      <c r="CPO117" s="585"/>
      <c r="CPP117" s="577"/>
      <c r="CPQ117" s="304"/>
      <c r="CPR117" s="572"/>
      <c r="CPS117" s="573"/>
      <c r="CPT117" s="574"/>
      <c r="CPU117" s="575"/>
      <c r="CPV117" s="583"/>
      <c r="CPW117" s="590"/>
      <c r="CPX117" s="589"/>
      <c r="CPY117" s="585"/>
      <c r="CPZ117" s="577"/>
      <c r="CQA117" s="304"/>
      <c r="CQB117" s="572"/>
      <c r="CQC117" s="573"/>
      <c r="CQD117" s="574"/>
      <c r="CQE117" s="575"/>
      <c r="CQF117" s="583"/>
      <c r="CQG117" s="590"/>
      <c r="CQH117" s="589"/>
      <c r="CQI117" s="585"/>
      <c r="CQJ117" s="577"/>
      <c r="CQK117" s="304"/>
      <c r="CQL117" s="572"/>
      <c r="CQM117" s="573"/>
      <c r="CQN117" s="574"/>
      <c r="CQO117" s="575"/>
      <c r="CQP117" s="583"/>
      <c r="CQQ117" s="590"/>
      <c r="CQR117" s="589"/>
      <c r="CQS117" s="585"/>
      <c r="CQT117" s="577"/>
      <c r="CQU117" s="304"/>
      <c r="CQV117" s="572"/>
      <c r="CQW117" s="573"/>
      <c r="CQX117" s="574"/>
      <c r="CQY117" s="575"/>
      <c r="CQZ117" s="583"/>
      <c r="CRA117" s="590"/>
      <c r="CRB117" s="589"/>
      <c r="CRC117" s="585"/>
      <c r="CRD117" s="577"/>
      <c r="CRE117" s="304"/>
      <c r="CRF117" s="572"/>
      <c r="CRG117" s="573"/>
      <c r="CRH117" s="574"/>
      <c r="CRI117" s="575"/>
      <c r="CRJ117" s="583"/>
      <c r="CRK117" s="590"/>
      <c r="CRL117" s="589"/>
      <c r="CRM117" s="585"/>
      <c r="CRN117" s="577"/>
      <c r="CRO117" s="304"/>
      <c r="CRP117" s="572"/>
      <c r="CRQ117" s="573"/>
      <c r="CRR117" s="574"/>
      <c r="CRS117" s="575"/>
      <c r="CRT117" s="583"/>
      <c r="CRU117" s="590"/>
      <c r="CRV117" s="589"/>
      <c r="CRW117" s="585"/>
      <c r="CRX117" s="577"/>
      <c r="CRY117" s="304"/>
      <c r="CRZ117" s="572"/>
      <c r="CSA117" s="573"/>
      <c r="CSB117" s="574"/>
      <c r="CSC117" s="575"/>
      <c r="CSD117" s="583"/>
      <c r="CSE117" s="590"/>
      <c r="CSF117" s="589"/>
      <c r="CSG117" s="585"/>
      <c r="CSH117" s="577"/>
      <c r="CSI117" s="304"/>
      <c r="CSJ117" s="572"/>
      <c r="CSK117" s="573"/>
      <c r="CSL117" s="574"/>
      <c r="CSM117" s="575"/>
      <c r="CSN117" s="583"/>
      <c r="CSO117" s="590"/>
      <c r="CSP117" s="589"/>
      <c r="CSQ117" s="585"/>
      <c r="CSR117" s="577"/>
      <c r="CSS117" s="304"/>
      <c r="CST117" s="572"/>
      <c r="CSU117" s="573"/>
      <c r="CSV117" s="574"/>
      <c r="CSW117" s="575"/>
      <c r="CSX117" s="583"/>
      <c r="CSY117" s="590"/>
      <c r="CSZ117" s="589"/>
      <c r="CTA117" s="585"/>
      <c r="CTB117" s="577"/>
      <c r="CTC117" s="304"/>
      <c r="CTD117" s="572"/>
      <c r="CTE117" s="573"/>
      <c r="CTF117" s="574"/>
      <c r="CTG117" s="575"/>
      <c r="CTH117" s="583"/>
      <c r="CTI117" s="590"/>
      <c r="CTJ117" s="589"/>
      <c r="CTK117" s="585"/>
      <c r="CTL117" s="577"/>
      <c r="CTM117" s="304"/>
      <c r="CTN117" s="572"/>
      <c r="CTO117" s="573"/>
      <c r="CTP117" s="574"/>
      <c r="CTQ117" s="575"/>
      <c r="CTR117" s="583"/>
      <c r="CTS117" s="590"/>
      <c r="CTT117" s="589"/>
      <c r="CTU117" s="585"/>
      <c r="CTV117" s="577"/>
      <c r="CTW117" s="304"/>
      <c r="CTX117" s="572"/>
      <c r="CTY117" s="573"/>
      <c r="CTZ117" s="574"/>
      <c r="CUA117" s="575"/>
      <c r="CUB117" s="583"/>
      <c r="CUC117" s="590"/>
      <c r="CUD117" s="589"/>
      <c r="CUE117" s="585"/>
      <c r="CUF117" s="577"/>
      <c r="CUG117" s="304"/>
      <c r="CUH117" s="572"/>
      <c r="CUI117" s="573"/>
      <c r="CUJ117" s="574"/>
      <c r="CUK117" s="575"/>
      <c r="CUL117" s="583"/>
      <c r="CUM117" s="590"/>
      <c r="CUN117" s="589"/>
      <c r="CUO117" s="585"/>
      <c r="CUP117" s="577"/>
      <c r="CUQ117" s="304"/>
      <c r="CUR117" s="572"/>
      <c r="CUS117" s="573"/>
      <c r="CUT117" s="574"/>
      <c r="CUU117" s="575"/>
      <c r="CUV117" s="583"/>
      <c r="CUW117" s="590"/>
      <c r="CUX117" s="589"/>
      <c r="CUY117" s="585"/>
      <c r="CUZ117" s="577"/>
      <c r="CVA117" s="304"/>
      <c r="CVB117" s="572"/>
      <c r="CVC117" s="573"/>
      <c r="CVD117" s="574"/>
      <c r="CVE117" s="575"/>
      <c r="CVF117" s="583"/>
      <c r="CVG117" s="590"/>
      <c r="CVH117" s="589"/>
      <c r="CVI117" s="585"/>
      <c r="CVJ117" s="577"/>
      <c r="CVK117" s="304"/>
      <c r="CVL117" s="572"/>
      <c r="CVM117" s="573"/>
      <c r="CVN117" s="574"/>
      <c r="CVO117" s="575"/>
      <c r="CVP117" s="583"/>
      <c r="CVQ117" s="590"/>
      <c r="CVR117" s="589"/>
      <c r="CVS117" s="585"/>
      <c r="CVT117" s="577"/>
      <c r="CVU117" s="304"/>
      <c r="CVV117" s="572"/>
      <c r="CVW117" s="573"/>
      <c r="CVX117" s="574"/>
      <c r="CVY117" s="575"/>
      <c r="CVZ117" s="583"/>
      <c r="CWA117" s="590"/>
      <c r="CWB117" s="589"/>
      <c r="CWC117" s="585"/>
      <c r="CWD117" s="577"/>
      <c r="CWE117" s="304"/>
      <c r="CWF117" s="572"/>
      <c r="CWG117" s="573"/>
      <c r="CWH117" s="574"/>
      <c r="CWI117" s="575"/>
      <c r="CWJ117" s="583"/>
      <c r="CWK117" s="590"/>
      <c r="CWL117" s="589"/>
      <c r="CWM117" s="585"/>
      <c r="CWN117" s="577"/>
      <c r="CWO117" s="304"/>
      <c r="CWP117" s="572"/>
      <c r="CWQ117" s="573"/>
      <c r="CWR117" s="574"/>
      <c r="CWS117" s="575"/>
      <c r="CWT117" s="583"/>
      <c r="CWU117" s="590"/>
      <c r="CWV117" s="589"/>
      <c r="CWW117" s="585"/>
      <c r="CWX117" s="577"/>
      <c r="CWY117" s="304"/>
      <c r="CWZ117" s="572"/>
      <c r="CXA117" s="573"/>
      <c r="CXB117" s="574"/>
      <c r="CXC117" s="575"/>
      <c r="CXD117" s="583"/>
      <c r="CXE117" s="590"/>
      <c r="CXF117" s="589"/>
      <c r="CXG117" s="585"/>
      <c r="CXH117" s="577"/>
      <c r="CXI117" s="304"/>
      <c r="CXJ117" s="572"/>
      <c r="CXK117" s="573"/>
      <c r="CXL117" s="574"/>
      <c r="CXM117" s="575"/>
      <c r="CXN117" s="583"/>
      <c r="CXO117" s="590"/>
      <c r="CXP117" s="589"/>
      <c r="CXQ117" s="585"/>
      <c r="CXR117" s="577"/>
      <c r="CXS117" s="304"/>
      <c r="CXT117" s="572"/>
      <c r="CXU117" s="573"/>
      <c r="CXV117" s="574"/>
      <c r="CXW117" s="575"/>
      <c r="CXX117" s="583"/>
      <c r="CXY117" s="590"/>
      <c r="CXZ117" s="589"/>
      <c r="CYA117" s="585"/>
      <c r="CYB117" s="577"/>
      <c r="CYC117" s="304"/>
      <c r="CYD117" s="572"/>
      <c r="CYE117" s="573"/>
      <c r="CYF117" s="574"/>
      <c r="CYG117" s="575"/>
      <c r="CYH117" s="583"/>
      <c r="CYI117" s="590"/>
      <c r="CYJ117" s="589"/>
      <c r="CYK117" s="585"/>
      <c r="CYL117" s="577"/>
      <c r="CYM117" s="304"/>
      <c r="CYN117" s="572"/>
      <c r="CYO117" s="573"/>
      <c r="CYP117" s="574"/>
      <c r="CYQ117" s="575"/>
      <c r="CYR117" s="583"/>
      <c r="CYS117" s="590"/>
      <c r="CYT117" s="589"/>
      <c r="CYU117" s="585"/>
      <c r="CYV117" s="577"/>
      <c r="CYW117" s="304"/>
      <c r="CYX117" s="572"/>
      <c r="CYY117" s="573"/>
      <c r="CYZ117" s="574"/>
      <c r="CZA117" s="575"/>
      <c r="CZB117" s="583"/>
      <c r="CZC117" s="590"/>
      <c r="CZD117" s="589"/>
      <c r="CZE117" s="585"/>
      <c r="CZF117" s="577"/>
      <c r="CZG117" s="304"/>
      <c r="CZH117" s="572"/>
      <c r="CZI117" s="573"/>
      <c r="CZJ117" s="574"/>
      <c r="CZK117" s="575"/>
      <c r="CZL117" s="583"/>
      <c r="CZM117" s="590"/>
      <c r="CZN117" s="589"/>
      <c r="CZO117" s="585"/>
      <c r="CZP117" s="577"/>
      <c r="CZQ117" s="304"/>
      <c r="CZR117" s="572"/>
      <c r="CZS117" s="573"/>
      <c r="CZT117" s="574"/>
      <c r="CZU117" s="575"/>
      <c r="CZV117" s="583"/>
      <c r="CZW117" s="590"/>
      <c r="CZX117" s="589"/>
      <c r="CZY117" s="585"/>
      <c r="CZZ117" s="577"/>
      <c r="DAA117" s="304"/>
      <c r="DAB117" s="572"/>
      <c r="DAC117" s="573"/>
      <c r="DAD117" s="574"/>
      <c r="DAE117" s="575"/>
      <c r="DAF117" s="583"/>
      <c r="DAG117" s="590"/>
      <c r="DAH117" s="589"/>
      <c r="DAI117" s="585"/>
      <c r="DAJ117" s="577"/>
      <c r="DAK117" s="304"/>
      <c r="DAL117" s="572"/>
      <c r="DAM117" s="573"/>
      <c r="DAN117" s="574"/>
      <c r="DAO117" s="575"/>
      <c r="DAP117" s="583"/>
      <c r="DAQ117" s="590"/>
      <c r="DAR117" s="589"/>
      <c r="DAS117" s="585"/>
      <c r="DAT117" s="577"/>
      <c r="DAU117" s="304"/>
      <c r="DAV117" s="572"/>
      <c r="DAW117" s="573"/>
      <c r="DAX117" s="574"/>
      <c r="DAY117" s="575"/>
      <c r="DAZ117" s="583"/>
      <c r="DBA117" s="590"/>
      <c r="DBB117" s="589"/>
      <c r="DBC117" s="585"/>
      <c r="DBD117" s="577"/>
      <c r="DBE117" s="304"/>
      <c r="DBF117" s="572"/>
      <c r="DBG117" s="573"/>
      <c r="DBH117" s="574"/>
      <c r="DBI117" s="575"/>
      <c r="DBJ117" s="583"/>
      <c r="DBK117" s="590"/>
      <c r="DBL117" s="589"/>
      <c r="DBM117" s="585"/>
      <c r="DBN117" s="577"/>
      <c r="DBO117" s="304"/>
      <c r="DBP117" s="572"/>
      <c r="DBQ117" s="573"/>
      <c r="DBR117" s="574"/>
      <c r="DBS117" s="575"/>
      <c r="DBT117" s="583"/>
      <c r="DBU117" s="590"/>
      <c r="DBV117" s="589"/>
      <c r="DBW117" s="585"/>
      <c r="DBX117" s="577"/>
      <c r="DBY117" s="304"/>
      <c r="DBZ117" s="572"/>
      <c r="DCA117" s="573"/>
      <c r="DCB117" s="574"/>
      <c r="DCC117" s="575"/>
      <c r="DCD117" s="583"/>
      <c r="DCE117" s="590"/>
      <c r="DCF117" s="589"/>
      <c r="DCG117" s="585"/>
      <c r="DCH117" s="577"/>
      <c r="DCI117" s="304"/>
      <c r="DCJ117" s="572"/>
      <c r="DCK117" s="573"/>
      <c r="DCL117" s="574"/>
      <c r="DCM117" s="575"/>
      <c r="DCN117" s="583"/>
      <c r="DCO117" s="590"/>
      <c r="DCP117" s="589"/>
      <c r="DCQ117" s="585"/>
      <c r="DCR117" s="577"/>
      <c r="DCS117" s="304"/>
      <c r="DCT117" s="572"/>
      <c r="DCU117" s="573"/>
      <c r="DCV117" s="574"/>
      <c r="DCW117" s="575"/>
      <c r="DCX117" s="583"/>
      <c r="DCY117" s="590"/>
      <c r="DCZ117" s="589"/>
      <c r="DDA117" s="585"/>
      <c r="DDB117" s="577"/>
      <c r="DDC117" s="304"/>
      <c r="DDD117" s="572"/>
      <c r="DDE117" s="573"/>
      <c r="DDF117" s="574"/>
      <c r="DDG117" s="575"/>
      <c r="DDH117" s="583"/>
      <c r="DDI117" s="590"/>
      <c r="DDJ117" s="589"/>
      <c r="DDK117" s="585"/>
      <c r="DDL117" s="577"/>
      <c r="DDM117" s="304"/>
      <c r="DDN117" s="572"/>
      <c r="DDO117" s="573"/>
      <c r="DDP117" s="574"/>
      <c r="DDQ117" s="575"/>
      <c r="DDR117" s="583"/>
      <c r="DDS117" s="590"/>
      <c r="DDT117" s="589"/>
      <c r="DDU117" s="585"/>
      <c r="DDV117" s="577"/>
      <c r="DDW117" s="304"/>
      <c r="DDX117" s="572"/>
      <c r="DDY117" s="573"/>
      <c r="DDZ117" s="574"/>
      <c r="DEA117" s="575"/>
      <c r="DEB117" s="583"/>
      <c r="DEC117" s="590"/>
      <c r="DED117" s="589"/>
      <c r="DEE117" s="585"/>
      <c r="DEF117" s="577"/>
      <c r="DEG117" s="304"/>
      <c r="DEH117" s="572"/>
      <c r="DEI117" s="573"/>
      <c r="DEJ117" s="574"/>
      <c r="DEK117" s="575"/>
      <c r="DEL117" s="583"/>
      <c r="DEM117" s="590"/>
      <c r="DEN117" s="589"/>
      <c r="DEO117" s="585"/>
      <c r="DEP117" s="577"/>
      <c r="DEQ117" s="304"/>
      <c r="DER117" s="572"/>
      <c r="DES117" s="573"/>
      <c r="DET117" s="574"/>
      <c r="DEU117" s="575"/>
      <c r="DEV117" s="583"/>
      <c r="DEW117" s="590"/>
      <c r="DEX117" s="589"/>
      <c r="DEY117" s="585"/>
      <c r="DEZ117" s="577"/>
      <c r="DFA117" s="304"/>
      <c r="DFB117" s="572"/>
      <c r="DFC117" s="573"/>
      <c r="DFD117" s="574"/>
      <c r="DFE117" s="575"/>
      <c r="DFF117" s="583"/>
      <c r="DFG117" s="590"/>
      <c r="DFH117" s="589"/>
      <c r="DFI117" s="585"/>
      <c r="DFJ117" s="577"/>
      <c r="DFK117" s="304"/>
      <c r="DFL117" s="572"/>
      <c r="DFM117" s="573"/>
      <c r="DFN117" s="574"/>
      <c r="DFO117" s="575"/>
      <c r="DFP117" s="583"/>
      <c r="DFQ117" s="590"/>
      <c r="DFR117" s="589"/>
      <c r="DFS117" s="585"/>
      <c r="DFT117" s="577"/>
      <c r="DFU117" s="304"/>
      <c r="DFV117" s="572"/>
      <c r="DFW117" s="573"/>
      <c r="DFX117" s="574"/>
      <c r="DFY117" s="575"/>
      <c r="DFZ117" s="583"/>
      <c r="DGA117" s="590"/>
      <c r="DGB117" s="589"/>
      <c r="DGC117" s="585"/>
      <c r="DGD117" s="577"/>
      <c r="DGE117" s="304"/>
      <c r="DGF117" s="572"/>
      <c r="DGG117" s="573"/>
      <c r="DGH117" s="574"/>
      <c r="DGI117" s="575"/>
      <c r="DGJ117" s="583"/>
      <c r="DGK117" s="590"/>
      <c r="DGL117" s="589"/>
      <c r="DGM117" s="585"/>
      <c r="DGN117" s="577"/>
      <c r="DGO117" s="304"/>
      <c r="DGP117" s="572"/>
      <c r="DGQ117" s="573"/>
      <c r="DGR117" s="574"/>
      <c r="DGS117" s="575"/>
      <c r="DGT117" s="583"/>
      <c r="DGU117" s="590"/>
      <c r="DGV117" s="589"/>
      <c r="DGW117" s="585"/>
      <c r="DGX117" s="577"/>
      <c r="DGY117" s="304"/>
      <c r="DGZ117" s="572"/>
      <c r="DHA117" s="573"/>
      <c r="DHB117" s="574"/>
      <c r="DHC117" s="575"/>
      <c r="DHD117" s="583"/>
      <c r="DHE117" s="590"/>
      <c r="DHF117" s="589"/>
      <c r="DHG117" s="585"/>
      <c r="DHH117" s="577"/>
      <c r="DHI117" s="304"/>
      <c r="DHJ117" s="572"/>
      <c r="DHK117" s="573"/>
      <c r="DHL117" s="574"/>
      <c r="DHM117" s="575"/>
      <c r="DHN117" s="583"/>
      <c r="DHO117" s="590"/>
      <c r="DHP117" s="589"/>
      <c r="DHQ117" s="585"/>
      <c r="DHR117" s="577"/>
      <c r="DHS117" s="304"/>
      <c r="DHT117" s="572"/>
      <c r="DHU117" s="573"/>
      <c r="DHV117" s="574"/>
      <c r="DHW117" s="575"/>
      <c r="DHX117" s="583"/>
      <c r="DHY117" s="590"/>
      <c r="DHZ117" s="589"/>
      <c r="DIA117" s="585"/>
      <c r="DIB117" s="577"/>
      <c r="DIC117" s="304"/>
      <c r="DID117" s="572"/>
      <c r="DIE117" s="573"/>
      <c r="DIF117" s="574"/>
      <c r="DIG117" s="575"/>
      <c r="DIH117" s="583"/>
      <c r="DII117" s="590"/>
      <c r="DIJ117" s="589"/>
      <c r="DIK117" s="585"/>
      <c r="DIL117" s="577"/>
      <c r="DIM117" s="304"/>
      <c r="DIN117" s="572"/>
      <c r="DIO117" s="573"/>
      <c r="DIP117" s="574"/>
      <c r="DIQ117" s="575"/>
      <c r="DIR117" s="583"/>
      <c r="DIS117" s="590"/>
      <c r="DIT117" s="589"/>
      <c r="DIU117" s="585"/>
      <c r="DIV117" s="577"/>
      <c r="DIW117" s="304"/>
      <c r="DIX117" s="572"/>
      <c r="DIY117" s="573"/>
      <c r="DIZ117" s="574"/>
      <c r="DJA117" s="575"/>
      <c r="DJB117" s="583"/>
      <c r="DJC117" s="590"/>
      <c r="DJD117" s="589"/>
      <c r="DJE117" s="585"/>
      <c r="DJF117" s="577"/>
      <c r="DJG117" s="304"/>
      <c r="DJH117" s="572"/>
      <c r="DJI117" s="573"/>
      <c r="DJJ117" s="574"/>
      <c r="DJK117" s="575"/>
      <c r="DJL117" s="583"/>
      <c r="DJM117" s="590"/>
      <c r="DJN117" s="589"/>
      <c r="DJO117" s="585"/>
      <c r="DJP117" s="577"/>
      <c r="DJQ117" s="304"/>
      <c r="DJR117" s="572"/>
      <c r="DJS117" s="573"/>
      <c r="DJT117" s="574"/>
      <c r="DJU117" s="575"/>
      <c r="DJV117" s="583"/>
      <c r="DJW117" s="590"/>
      <c r="DJX117" s="589"/>
      <c r="DJY117" s="585"/>
      <c r="DJZ117" s="577"/>
      <c r="DKA117" s="304"/>
      <c r="DKB117" s="572"/>
      <c r="DKC117" s="573"/>
      <c r="DKD117" s="574"/>
      <c r="DKE117" s="575"/>
      <c r="DKF117" s="583"/>
      <c r="DKG117" s="590"/>
      <c r="DKH117" s="589"/>
      <c r="DKI117" s="585"/>
      <c r="DKJ117" s="577"/>
      <c r="DKK117" s="304"/>
      <c r="DKL117" s="572"/>
      <c r="DKM117" s="573"/>
      <c r="DKN117" s="574"/>
      <c r="DKO117" s="575"/>
      <c r="DKP117" s="583"/>
      <c r="DKQ117" s="590"/>
      <c r="DKR117" s="589"/>
      <c r="DKS117" s="585"/>
      <c r="DKT117" s="577"/>
      <c r="DKU117" s="304"/>
      <c r="DKV117" s="572"/>
      <c r="DKW117" s="573"/>
      <c r="DKX117" s="574"/>
      <c r="DKY117" s="575"/>
      <c r="DKZ117" s="583"/>
      <c r="DLA117" s="590"/>
      <c r="DLB117" s="589"/>
      <c r="DLC117" s="585"/>
      <c r="DLD117" s="577"/>
      <c r="DLE117" s="304"/>
      <c r="DLF117" s="572"/>
      <c r="DLG117" s="573"/>
      <c r="DLH117" s="574"/>
      <c r="DLI117" s="575"/>
      <c r="DLJ117" s="583"/>
      <c r="DLK117" s="590"/>
      <c r="DLL117" s="589"/>
      <c r="DLM117" s="585"/>
      <c r="DLN117" s="577"/>
      <c r="DLO117" s="304"/>
      <c r="DLP117" s="572"/>
      <c r="DLQ117" s="573"/>
      <c r="DLR117" s="574"/>
      <c r="DLS117" s="575"/>
      <c r="DLT117" s="583"/>
      <c r="DLU117" s="590"/>
      <c r="DLV117" s="589"/>
      <c r="DLW117" s="585"/>
      <c r="DLX117" s="577"/>
      <c r="DLY117" s="304"/>
      <c r="DLZ117" s="572"/>
      <c r="DMA117" s="573"/>
      <c r="DMB117" s="574"/>
      <c r="DMC117" s="575"/>
      <c r="DMD117" s="583"/>
      <c r="DME117" s="590"/>
      <c r="DMF117" s="589"/>
      <c r="DMG117" s="585"/>
      <c r="DMH117" s="577"/>
      <c r="DMI117" s="304"/>
      <c r="DMJ117" s="572"/>
      <c r="DMK117" s="573"/>
      <c r="DML117" s="574"/>
      <c r="DMM117" s="575"/>
      <c r="DMN117" s="583"/>
      <c r="DMO117" s="590"/>
      <c r="DMP117" s="589"/>
      <c r="DMQ117" s="585"/>
      <c r="DMR117" s="577"/>
      <c r="DMS117" s="304"/>
      <c r="DMT117" s="572"/>
      <c r="DMU117" s="573"/>
      <c r="DMV117" s="574"/>
      <c r="DMW117" s="575"/>
      <c r="DMX117" s="583"/>
      <c r="DMY117" s="590"/>
      <c r="DMZ117" s="589"/>
      <c r="DNA117" s="585"/>
      <c r="DNB117" s="577"/>
      <c r="DNC117" s="304"/>
      <c r="DND117" s="572"/>
      <c r="DNE117" s="573"/>
      <c r="DNF117" s="574"/>
      <c r="DNG117" s="575"/>
      <c r="DNH117" s="583"/>
      <c r="DNI117" s="590"/>
      <c r="DNJ117" s="589"/>
      <c r="DNK117" s="585"/>
      <c r="DNL117" s="577"/>
      <c r="DNM117" s="304"/>
      <c r="DNN117" s="572"/>
      <c r="DNO117" s="573"/>
      <c r="DNP117" s="574"/>
      <c r="DNQ117" s="575"/>
      <c r="DNR117" s="583"/>
      <c r="DNS117" s="590"/>
      <c r="DNT117" s="589"/>
      <c r="DNU117" s="585"/>
      <c r="DNV117" s="577"/>
      <c r="DNW117" s="304"/>
      <c r="DNX117" s="572"/>
      <c r="DNY117" s="573"/>
      <c r="DNZ117" s="574"/>
      <c r="DOA117" s="575"/>
      <c r="DOB117" s="583"/>
      <c r="DOC117" s="590"/>
      <c r="DOD117" s="589"/>
      <c r="DOE117" s="585"/>
      <c r="DOF117" s="577"/>
      <c r="DOG117" s="304"/>
      <c r="DOH117" s="572"/>
      <c r="DOI117" s="573"/>
      <c r="DOJ117" s="574"/>
      <c r="DOK117" s="575"/>
      <c r="DOL117" s="583"/>
      <c r="DOM117" s="590"/>
      <c r="DON117" s="589"/>
      <c r="DOO117" s="585"/>
      <c r="DOP117" s="577"/>
      <c r="DOQ117" s="304"/>
      <c r="DOR117" s="572"/>
      <c r="DOS117" s="573"/>
      <c r="DOT117" s="574"/>
      <c r="DOU117" s="575"/>
      <c r="DOV117" s="583"/>
      <c r="DOW117" s="590"/>
      <c r="DOX117" s="589"/>
      <c r="DOY117" s="585"/>
      <c r="DOZ117" s="577"/>
      <c r="DPA117" s="304"/>
      <c r="DPB117" s="572"/>
      <c r="DPC117" s="573"/>
      <c r="DPD117" s="574"/>
      <c r="DPE117" s="575"/>
      <c r="DPF117" s="583"/>
      <c r="DPG117" s="590"/>
      <c r="DPH117" s="589"/>
      <c r="DPI117" s="585"/>
      <c r="DPJ117" s="577"/>
      <c r="DPK117" s="304"/>
      <c r="DPL117" s="572"/>
      <c r="DPM117" s="573"/>
      <c r="DPN117" s="574"/>
      <c r="DPO117" s="575"/>
      <c r="DPP117" s="583"/>
      <c r="DPQ117" s="590"/>
      <c r="DPR117" s="589"/>
      <c r="DPS117" s="585"/>
      <c r="DPT117" s="577"/>
      <c r="DPU117" s="304"/>
      <c r="DPV117" s="572"/>
      <c r="DPW117" s="573"/>
      <c r="DPX117" s="574"/>
      <c r="DPY117" s="575"/>
      <c r="DPZ117" s="583"/>
      <c r="DQA117" s="590"/>
      <c r="DQB117" s="589"/>
      <c r="DQC117" s="585"/>
      <c r="DQD117" s="577"/>
      <c r="DQE117" s="304"/>
      <c r="DQF117" s="572"/>
      <c r="DQG117" s="573"/>
      <c r="DQH117" s="574"/>
      <c r="DQI117" s="575"/>
      <c r="DQJ117" s="583"/>
      <c r="DQK117" s="590"/>
      <c r="DQL117" s="589"/>
      <c r="DQM117" s="585"/>
      <c r="DQN117" s="577"/>
      <c r="DQO117" s="304"/>
      <c r="DQP117" s="572"/>
      <c r="DQQ117" s="573"/>
      <c r="DQR117" s="574"/>
      <c r="DQS117" s="575"/>
      <c r="DQT117" s="583"/>
      <c r="DQU117" s="590"/>
      <c r="DQV117" s="589"/>
      <c r="DQW117" s="585"/>
      <c r="DQX117" s="577"/>
      <c r="DQY117" s="304"/>
      <c r="DQZ117" s="572"/>
      <c r="DRA117" s="573"/>
      <c r="DRB117" s="574"/>
      <c r="DRC117" s="575"/>
      <c r="DRD117" s="583"/>
      <c r="DRE117" s="590"/>
      <c r="DRF117" s="589"/>
      <c r="DRG117" s="585"/>
      <c r="DRH117" s="577"/>
      <c r="DRI117" s="304"/>
      <c r="DRJ117" s="572"/>
      <c r="DRK117" s="573"/>
      <c r="DRL117" s="574"/>
      <c r="DRM117" s="575"/>
      <c r="DRN117" s="583"/>
      <c r="DRO117" s="590"/>
      <c r="DRP117" s="589"/>
      <c r="DRQ117" s="585"/>
      <c r="DRR117" s="577"/>
      <c r="DRS117" s="304"/>
      <c r="DRT117" s="572"/>
      <c r="DRU117" s="573"/>
      <c r="DRV117" s="574"/>
      <c r="DRW117" s="575"/>
      <c r="DRX117" s="583"/>
      <c r="DRY117" s="590"/>
      <c r="DRZ117" s="589"/>
      <c r="DSA117" s="585"/>
      <c r="DSB117" s="577"/>
      <c r="DSC117" s="304"/>
      <c r="DSD117" s="572"/>
      <c r="DSE117" s="573"/>
      <c r="DSF117" s="574"/>
      <c r="DSG117" s="575"/>
      <c r="DSH117" s="583"/>
      <c r="DSI117" s="590"/>
      <c r="DSJ117" s="589"/>
      <c r="DSK117" s="585"/>
      <c r="DSL117" s="577"/>
      <c r="DSM117" s="304"/>
      <c r="DSN117" s="572"/>
      <c r="DSO117" s="573"/>
      <c r="DSP117" s="574"/>
      <c r="DSQ117" s="575"/>
      <c r="DSR117" s="583"/>
      <c r="DSS117" s="590"/>
      <c r="DST117" s="589"/>
      <c r="DSU117" s="585"/>
      <c r="DSV117" s="577"/>
      <c r="DSW117" s="304"/>
      <c r="DSX117" s="572"/>
      <c r="DSY117" s="573"/>
      <c r="DSZ117" s="574"/>
      <c r="DTA117" s="575"/>
      <c r="DTB117" s="583"/>
      <c r="DTC117" s="590"/>
      <c r="DTD117" s="589"/>
      <c r="DTE117" s="585"/>
      <c r="DTF117" s="577"/>
      <c r="DTG117" s="304"/>
      <c r="DTH117" s="572"/>
      <c r="DTI117" s="573"/>
      <c r="DTJ117" s="574"/>
      <c r="DTK117" s="575"/>
      <c r="DTL117" s="583"/>
      <c r="DTM117" s="590"/>
      <c r="DTN117" s="589"/>
      <c r="DTO117" s="585"/>
      <c r="DTP117" s="577"/>
      <c r="DTQ117" s="304"/>
      <c r="DTR117" s="572"/>
      <c r="DTS117" s="573"/>
      <c r="DTT117" s="574"/>
      <c r="DTU117" s="575"/>
      <c r="DTV117" s="583"/>
      <c r="DTW117" s="590"/>
      <c r="DTX117" s="589"/>
      <c r="DTY117" s="585"/>
      <c r="DTZ117" s="577"/>
      <c r="DUA117" s="304"/>
      <c r="DUB117" s="572"/>
      <c r="DUC117" s="573"/>
      <c r="DUD117" s="574"/>
      <c r="DUE117" s="575"/>
      <c r="DUF117" s="583"/>
      <c r="DUG117" s="590"/>
      <c r="DUH117" s="589"/>
      <c r="DUI117" s="585"/>
      <c r="DUJ117" s="577"/>
      <c r="DUK117" s="304"/>
      <c r="DUL117" s="572"/>
      <c r="DUM117" s="573"/>
      <c r="DUN117" s="574"/>
      <c r="DUO117" s="575"/>
      <c r="DUP117" s="583"/>
      <c r="DUQ117" s="590"/>
      <c r="DUR117" s="589"/>
      <c r="DUS117" s="585"/>
      <c r="DUT117" s="577"/>
      <c r="DUU117" s="304"/>
      <c r="DUV117" s="572"/>
      <c r="DUW117" s="573"/>
      <c r="DUX117" s="574"/>
      <c r="DUY117" s="575"/>
      <c r="DUZ117" s="583"/>
      <c r="DVA117" s="590"/>
      <c r="DVB117" s="589"/>
      <c r="DVC117" s="585"/>
      <c r="DVD117" s="577"/>
      <c r="DVE117" s="304"/>
      <c r="DVF117" s="572"/>
      <c r="DVG117" s="573"/>
      <c r="DVH117" s="574"/>
      <c r="DVI117" s="575"/>
      <c r="DVJ117" s="583"/>
      <c r="DVK117" s="590"/>
      <c r="DVL117" s="589"/>
      <c r="DVM117" s="585"/>
      <c r="DVN117" s="577"/>
      <c r="DVO117" s="304"/>
      <c r="DVP117" s="572"/>
      <c r="DVQ117" s="573"/>
      <c r="DVR117" s="574"/>
      <c r="DVS117" s="575"/>
      <c r="DVT117" s="583"/>
      <c r="DVU117" s="590"/>
      <c r="DVV117" s="589"/>
      <c r="DVW117" s="585"/>
      <c r="DVX117" s="577"/>
      <c r="DVY117" s="304"/>
      <c r="DVZ117" s="572"/>
      <c r="DWA117" s="573"/>
      <c r="DWB117" s="574"/>
      <c r="DWC117" s="575"/>
      <c r="DWD117" s="583"/>
      <c r="DWE117" s="590"/>
      <c r="DWF117" s="589"/>
      <c r="DWG117" s="585"/>
      <c r="DWH117" s="577"/>
      <c r="DWI117" s="304"/>
      <c r="DWJ117" s="572"/>
      <c r="DWK117" s="573"/>
      <c r="DWL117" s="574"/>
      <c r="DWM117" s="575"/>
      <c r="DWN117" s="583"/>
      <c r="DWO117" s="590"/>
      <c r="DWP117" s="589"/>
      <c r="DWQ117" s="585"/>
      <c r="DWR117" s="577"/>
      <c r="DWS117" s="304"/>
      <c r="DWT117" s="572"/>
      <c r="DWU117" s="573"/>
      <c r="DWV117" s="574"/>
      <c r="DWW117" s="575"/>
      <c r="DWX117" s="583"/>
      <c r="DWY117" s="590"/>
      <c r="DWZ117" s="589"/>
      <c r="DXA117" s="585"/>
      <c r="DXB117" s="577"/>
      <c r="DXC117" s="304"/>
      <c r="DXD117" s="572"/>
      <c r="DXE117" s="573"/>
      <c r="DXF117" s="574"/>
      <c r="DXG117" s="575"/>
      <c r="DXH117" s="583"/>
      <c r="DXI117" s="590"/>
      <c r="DXJ117" s="589"/>
      <c r="DXK117" s="585"/>
      <c r="DXL117" s="577"/>
      <c r="DXM117" s="304"/>
      <c r="DXN117" s="572"/>
      <c r="DXO117" s="573"/>
      <c r="DXP117" s="574"/>
      <c r="DXQ117" s="575"/>
      <c r="DXR117" s="583"/>
      <c r="DXS117" s="590"/>
      <c r="DXT117" s="589"/>
      <c r="DXU117" s="585"/>
      <c r="DXV117" s="577"/>
      <c r="DXW117" s="304"/>
      <c r="DXX117" s="572"/>
      <c r="DXY117" s="573"/>
      <c r="DXZ117" s="574"/>
      <c r="DYA117" s="575"/>
      <c r="DYB117" s="583"/>
      <c r="DYC117" s="590"/>
      <c r="DYD117" s="589"/>
      <c r="DYE117" s="585"/>
      <c r="DYF117" s="577"/>
      <c r="DYG117" s="304"/>
      <c r="DYH117" s="572"/>
      <c r="DYI117" s="573"/>
      <c r="DYJ117" s="574"/>
      <c r="DYK117" s="575"/>
      <c r="DYL117" s="583"/>
      <c r="DYM117" s="590"/>
      <c r="DYN117" s="589"/>
      <c r="DYO117" s="585"/>
      <c r="DYP117" s="577"/>
      <c r="DYQ117" s="304"/>
      <c r="DYR117" s="572"/>
      <c r="DYS117" s="573"/>
      <c r="DYT117" s="574"/>
      <c r="DYU117" s="575"/>
      <c r="DYV117" s="583"/>
      <c r="DYW117" s="590"/>
      <c r="DYX117" s="589"/>
      <c r="DYY117" s="585"/>
      <c r="DYZ117" s="577"/>
      <c r="DZA117" s="304"/>
      <c r="DZB117" s="572"/>
      <c r="DZC117" s="573"/>
      <c r="DZD117" s="574"/>
      <c r="DZE117" s="575"/>
      <c r="DZF117" s="583"/>
      <c r="DZG117" s="590"/>
      <c r="DZH117" s="589"/>
      <c r="DZI117" s="585"/>
      <c r="DZJ117" s="577"/>
      <c r="DZK117" s="304"/>
      <c r="DZL117" s="572"/>
      <c r="DZM117" s="573"/>
      <c r="DZN117" s="574"/>
      <c r="DZO117" s="575"/>
      <c r="DZP117" s="583"/>
      <c r="DZQ117" s="590"/>
      <c r="DZR117" s="589"/>
      <c r="DZS117" s="585"/>
      <c r="DZT117" s="577"/>
      <c r="DZU117" s="304"/>
      <c r="DZV117" s="572"/>
      <c r="DZW117" s="573"/>
      <c r="DZX117" s="574"/>
      <c r="DZY117" s="575"/>
      <c r="DZZ117" s="583"/>
      <c r="EAA117" s="590"/>
      <c r="EAB117" s="589"/>
      <c r="EAC117" s="585"/>
      <c r="EAD117" s="577"/>
      <c r="EAE117" s="304"/>
      <c r="EAF117" s="572"/>
      <c r="EAG117" s="573"/>
      <c r="EAH117" s="574"/>
      <c r="EAI117" s="575"/>
      <c r="EAJ117" s="583"/>
      <c r="EAK117" s="590"/>
      <c r="EAL117" s="589"/>
      <c r="EAM117" s="585"/>
      <c r="EAN117" s="577"/>
      <c r="EAO117" s="304"/>
      <c r="EAP117" s="572"/>
      <c r="EAQ117" s="573"/>
      <c r="EAR117" s="574"/>
      <c r="EAS117" s="575"/>
      <c r="EAT117" s="583"/>
      <c r="EAU117" s="590"/>
      <c r="EAV117" s="589"/>
      <c r="EAW117" s="585"/>
      <c r="EAX117" s="577"/>
      <c r="EAY117" s="304"/>
      <c r="EAZ117" s="572"/>
      <c r="EBA117" s="573"/>
      <c r="EBB117" s="574"/>
      <c r="EBC117" s="575"/>
      <c r="EBD117" s="583"/>
      <c r="EBE117" s="590"/>
      <c r="EBF117" s="589"/>
      <c r="EBG117" s="585"/>
      <c r="EBH117" s="577"/>
      <c r="EBI117" s="304"/>
      <c r="EBJ117" s="572"/>
      <c r="EBK117" s="573"/>
      <c r="EBL117" s="574"/>
      <c r="EBM117" s="575"/>
      <c r="EBN117" s="583"/>
      <c r="EBO117" s="590"/>
      <c r="EBP117" s="589"/>
      <c r="EBQ117" s="585"/>
      <c r="EBR117" s="577"/>
      <c r="EBS117" s="304"/>
      <c r="EBT117" s="572"/>
      <c r="EBU117" s="573"/>
      <c r="EBV117" s="574"/>
      <c r="EBW117" s="575"/>
      <c r="EBX117" s="583"/>
      <c r="EBY117" s="590"/>
      <c r="EBZ117" s="589"/>
      <c r="ECA117" s="585"/>
      <c r="ECB117" s="577"/>
      <c r="ECC117" s="304"/>
      <c r="ECD117" s="572"/>
      <c r="ECE117" s="573"/>
      <c r="ECF117" s="574"/>
      <c r="ECG117" s="575"/>
      <c r="ECH117" s="583"/>
      <c r="ECI117" s="590"/>
      <c r="ECJ117" s="589"/>
      <c r="ECK117" s="585"/>
      <c r="ECL117" s="577"/>
      <c r="ECM117" s="304"/>
      <c r="ECN117" s="572"/>
      <c r="ECO117" s="573"/>
      <c r="ECP117" s="574"/>
      <c r="ECQ117" s="575"/>
      <c r="ECR117" s="583"/>
      <c r="ECS117" s="590"/>
      <c r="ECT117" s="589"/>
      <c r="ECU117" s="585"/>
      <c r="ECV117" s="577"/>
      <c r="ECW117" s="304"/>
      <c r="ECX117" s="572"/>
      <c r="ECY117" s="573"/>
      <c r="ECZ117" s="574"/>
      <c r="EDA117" s="575"/>
      <c r="EDB117" s="583"/>
      <c r="EDC117" s="590"/>
      <c r="EDD117" s="589"/>
      <c r="EDE117" s="585"/>
      <c r="EDF117" s="577"/>
      <c r="EDG117" s="304"/>
      <c r="EDH117" s="572"/>
      <c r="EDI117" s="573"/>
      <c r="EDJ117" s="574"/>
      <c r="EDK117" s="575"/>
      <c r="EDL117" s="583"/>
      <c r="EDM117" s="590"/>
      <c r="EDN117" s="589"/>
      <c r="EDO117" s="585"/>
      <c r="EDP117" s="577"/>
      <c r="EDQ117" s="304"/>
      <c r="EDR117" s="572"/>
      <c r="EDS117" s="573"/>
      <c r="EDT117" s="574"/>
      <c r="EDU117" s="575"/>
      <c r="EDV117" s="583"/>
      <c r="EDW117" s="590"/>
      <c r="EDX117" s="589"/>
      <c r="EDY117" s="585"/>
      <c r="EDZ117" s="577"/>
      <c r="EEA117" s="304"/>
      <c r="EEB117" s="572"/>
      <c r="EEC117" s="573"/>
      <c r="EED117" s="574"/>
      <c r="EEE117" s="575"/>
      <c r="EEF117" s="583"/>
      <c r="EEG117" s="590"/>
      <c r="EEH117" s="589"/>
      <c r="EEI117" s="585"/>
      <c r="EEJ117" s="577"/>
      <c r="EEK117" s="304"/>
      <c r="EEL117" s="572"/>
      <c r="EEM117" s="573"/>
      <c r="EEN117" s="574"/>
      <c r="EEO117" s="575"/>
      <c r="EEP117" s="583"/>
      <c r="EEQ117" s="590"/>
      <c r="EER117" s="589"/>
      <c r="EES117" s="585"/>
      <c r="EET117" s="577"/>
      <c r="EEU117" s="304"/>
      <c r="EEV117" s="572"/>
      <c r="EEW117" s="573"/>
      <c r="EEX117" s="574"/>
      <c r="EEY117" s="575"/>
      <c r="EEZ117" s="583"/>
      <c r="EFA117" s="590"/>
      <c r="EFB117" s="589"/>
      <c r="EFC117" s="585"/>
      <c r="EFD117" s="577"/>
      <c r="EFE117" s="304"/>
      <c r="EFF117" s="572"/>
      <c r="EFG117" s="573"/>
      <c r="EFH117" s="574"/>
      <c r="EFI117" s="575"/>
      <c r="EFJ117" s="583"/>
      <c r="EFK117" s="590"/>
      <c r="EFL117" s="589"/>
      <c r="EFM117" s="585"/>
      <c r="EFN117" s="577"/>
      <c r="EFO117" s="304"/>
      <c r="EFP117" s="572"/>
      <c r="EFQ117" s="573"/>
      <c r="EFR117" s="574"/>
      <c r="EFS117" s="575"/>
      <c r="EFT117" s="583"/>
      <c r="EFU117" s="590"/>
      <c r="EFV117" s="589"/>
      <c r="EFW117" s="585"/>
      <c r="EFX117" s="577"/>
      <c r="EFY117" s="304"/>
      <c r="EFZ117" s="572"/>
      <c r="EGA117" s="573"/>
      <c r="EGB117" s="574"/>
      <c r="EGC117" s="575"/>
      <c r="EGD117" s="583"/>
      <c r="EGE117" s="590"/>
      <c r="EGF117" s="589"/>
      <c r="EGG117" s="585"/>
      <c r="EGH117" s="577"/>
      <c r="EGI117" s="304"/>
      <c r="EGJ117" s="572"/>
      <c r="EGK117" s="573"/>
      <c r="EGL117" s="574"/>
      <c r="EGM117" s="575"/>
      <c r="EGN117" s="583"/>
      <c r="EGO117" s="590"/>
      <c r="EGP117" s="589"/>
      <c r="EGQ117" s="585"/>
      <c r="EGR117" s="577"/>
      <c r="EGS117" s="304"/>
      <c r="EGT117" s="572"/>
      <c r="EGU117" s="573"/>
      <c r="EGV117" s="574"/>
      <c r="EGW117" s="575"/>
      <c r="EGX117" s="583"/>
      <c r="EGY117" s="590"/>
      <c r="EGZ117" s="589"/>
      <c r="EHA117" s="585"/>
      <c r="EHB117" s="577"/>
      <c r="EHC117" s="304"/>
      <c r="EHD117" s="572"/>
      <c r="EHE117" s="573"/>
      <c r="EHF117" s="574"/>
      <c r="EHG117" s="575"/>
      <c r="EHH117" s="583"/>
      <c r="EHI117" s="590"/>
      <c r="EHJ117" s="589"/>
      <c r="EHK117" s="585"/>
      <c r="EHL117" s="577"/>
      <c r="EHM117" s="304"/>
      <c r="EHN117" s="572"/>
      <c r="EHO117" s="573"/>
      <c r="EHP117" s="574"/>
      <c r="EHQ117" s="575"/>
      <c r="EHR117" s="583"/>
      <c r="EHS117" s="590"/>
      <c r="EHT117" s="589"/>
      <c r="EHU117" s="585"/>
      <c r="EHV117" s="577"/>
      <c r="EHW117" s="304"/>
      <c r="EHX117" s="572"/>
      <c r="EHY117" s="573"/>
      <c r="EHZ117" s="574"/>
      <c r="EIA117" s="575"/>
      <c r="EIB117" s="583"/>
      <c r="EIC117" s="590"/>
      <c r="EID117" s="589"/>
      <c r="EIE117" s="585"/>
      <c r="EIF117" s="577"/>
      <c r="EIG117" s="304"/>
      <c r="EIH117" s="572"/>
      <c r="EII117" s="573"/>
      <c r="EIJ117" s="574"/>
      <c r="EIK117" s="575"/>
      <c r="EIL117" s="583"/>
      <c r="EIM117" s="590"/>
      <c r="EIN117" s="589"/>
      <c r="EIO117" s="585"/>
      <c r="EIP117" s="577"/>
      <c r="EIQ117" s="304"/>
      <c r="EIR117" s="572"/>
      <c r="EIS117" s="573"/>
      <c r="EIT117" s="574"/>
      <c r="EIU117" s="575"/>
      <c r="EIV117" s="583"/>
      <c r="EIW117" s="590"/>
      <c r="EIX117" s="589"/>
      <c r="EIY117" s="585"/>
      <c r="EIZ117" s="577"/>
      <c r="EJA117" s="304"/>
      <c r="EJB117" s="572"/>
      <c r="EJC117" s="573"/>
      <c r="EJD117" s="574"/>
      <c r="EJE117" s="575"/>
      <c r="EJF117" s="583"/>
      <c r="EJG117" s="590"/>
      <c r="EJH117" s="589"/>
      <c r="EJI117" s="585"/>
      <c r="EJJ117" s="577"/>
      <c r="EJK117" s="304"/>
      <c r="EJL117" s="572"/>
      <c r="EJM117" s="573"/>
      <c r="EJN117" s="574"/>
      <c r="EJO117" s="575"/>
      <c r="EJP117" s="583"/>
      <c r="EJQ117" s="590"/>
      <c r="EJR117" s="589"/>
      <c r="EJS117" s="585"/>
      <c r="EJT117" s="577"/>
      <c r="EJU117" s="304"/>
      <c r="EJV117" s="572"/>
      <c r="EJW117" s="573"/>
      <c r="EJX117" s="574"/>
      <c r="EJY117" s="575"/>
      <c r="EJZ117" s="583"/>
      <c r="EKA117" s="590"/>
      <c r="EKB117" s="589"/>
      <c r="EKC117" s="585"/>
      <c r="EKD117" s="577"/>
      <c r="EKE117" s="304"/>
      <c r="EKF117" s="572"/>
      <c r="EKG117" s="573"/>
      <c r="EKH117" s="574"/>
      <c r="EKI117" s="575"/>
      <c r="EKJ117" s="583"/>
      <c r="EKK117" s="590"/>
      <c r="EKL117" s="589"/>
      <c r="EKM117" s="585"/>
      <c r="EKN117" s="577"/>
      <c r="EKO117" s="304"/>
      <c r="EKP117" s="572"/>
      <c r="EKQ117" s="573"/>
      <c r="EKR117" s="574"/>
      <c r="EKS117" s="575"/>
      <c r="EKT117" s="583"/>
      <c r="EKU117" s="590"/>
      <c r="EKV117" s="589"/>
      <c r="EKW117" s="585"/>
      <c r="EKX117" s="577"/>
      <c r="EKY117" s="304"/>
      <c r="EKZ117" s="572"/>
      <c r="ELA117" s="573"/>
      <c r="ELB117" s="574"/>
      <c r="ELC117" s="575"/>
      <c r="ELD117" s="583"/>
      <c r="ELE117" s="590"/>
      <c r="ELF117" s="589"/>
      <c r="ELG117" s="585"/>
      <c r="ELH117" s="577"/>
      <c r="ELI117" s="304"/>
      <c r="ELJ117" s="572"/>
      <c r="ELK117" s="573"/>
      <c r="ELL117" s="574"/>
      <c r="ELM117" s="575"/>
      <c r="ELN117" s="583"/>
      <c r="ELO117" s="590"/>
      <c r="ELP117" s="589"/>
      <c r="ELQ117" s="585"/>
      <c r="ELR117" s="577"/>
      <c r="ELS117" s="304"/>
      <c r="ELT117" s="572"/>
      <c r="ELU117" s="573"/>
      <c r="ELV117" s="574"/>
      <c r="ELW117" s="575"/>
      <c r="ELX117" s="583"/>
      <c r="ELY117" s="590"/>
      <c r="ELZ117" s="589"/>
      <c r="EMA117" s="585"/>
      <c r="EMB117" s="577"/>
      <c r="EMC117" s="304"/>
      <c r="EMD117" s="572"/>
      <c r="EME117" s="573"/>
      <c r="EMF117" s="574"/>
      <c r="EMG117" s="575"/>
      <c r="EMH117" s="583"/>
      <c r="EMI117" s="590"/>
      <c r="EMJ117" s="589"/>
      <c r="EMK117" s="585"/>
      <c r="EML117" s="577"/>
      <c r="EMM117" s="304"/>
      <c r="EMN117" s="572"/>
      <c r="EMO117" s="573"/>
      <c r="EMP117" s="574"/>
      <c r="EMQ117" s="575"/>
      <c r="EMR117" s="583"/>
      <c r="EMS117" s="590"/>
      <c r="EMT117" s="589"/>
      <c r="EMU117" s="585"/>
      <c r="EMV117" s="577"/>
      <c r="EMW117" s="304"/>
      <c r="EMX117" s="572"/>
      <c r="EMY117" s="573"/>
      <c r="EMZ117" s="574"/>
      <c r="ENA117" s="575"/>
      <c r="ENB117" s="583"/>
      <c r="ENC117" s="590"/>
      <c r="END117" s="589"/>
      <c r="ENE117" s="585"/>
      <c r="ENF117" s="577"/>
      <c r="ENG117" s="304"/>
      <c r="ENH117" s="572"/>
      <c r="ENI117" s="573"/>
      <c r="ENJ117" s="574"/>
      <c r="ENK117" s="575"/>
      <c r="ENL117" s="583"/>
      <c r="ENM117" s="590"/>
      <c r="ENN117" s="589"/>
      <c r="ENO117" s="585"/>
      <c r="ENP117" s="577"/>
      <c r="ENQ117" s="304"/>
      <c r="ENR117" s="572"/>
      <c r="ENS117" s="573"/>
      <c r="ENT117" s="574"/>
      <c r="ENU117" s="575"/>
      <c r="ENV117" s="583"/>
      <c r="ENW117" s="590"/>
      <c r="ENX117" s="589"/>
      <c r="ENY117" s="585"/>
      <c r="ENZ117" s="577"/>
      <c r="EOA117" s="304"/>
      <c r="EOB117" s="572"/>
      <c r="EOC117" s="573"/>
      <c r="EOD117" s="574"/>
      <c r="EOE117" s="575"/>
      <c r="EOF117" s="583"/>
      <c r="EOG117" s="590"/>
      <c r="EOH117" s="589"/>
      <c r="EOI117" s="585"/>
      <c r="EOJ117" s="577"/>
      <c r="EOK117" s="304"/>
      <c r="EOL117" s="572"/>
      <c r="EOM117" s="573"/>
      <c r="EON117" s="574"/>
      <c r="EOO117" s="575"/>
      <c r="EOP117" s="583"/>
      <c r="EOQ117" s="590"/>
      <c r="EOR117" s="589"/>
      <c r="EOS117" s="585"/>
      <c r="EOT117" s="577"/>
      <c r="EOU117" s="304"/>
      <c r="EOV117" s="572"/>
      <c r="EOW117" s="573"/>
      <c r="EOX117" s="574"/>
      <c r="EOY117" s="575"/>
      <c r="EOZ117" s="583"/>
      <c r="EPA117" s="590"/>
      <c r="EPB117" s="589"/>
      <c r="EPC117" s="585"/>
      <c r="EPD117" s="577"/>
      <c r="EPE117" s="304"/>
      <c r="EPF117" s="572"/>
      <c r="EPG117" s="573"/>
      <c r="EPH117" s="574"/>
      <c r="EPI117" s="575"/>
      <c r="EPJ117" s="583"/>
      <c r="EPK117" s="590"/>
      <c r="EPL117" s="589"/>
      <c r="EPM117" s="585"/>
      <c r="EPN117" s="577"/>
      <c r="EPO117" s="304"/>
      <c r="EPP117" s="572"/>
      <c r="EPQ117" s="573"/>
      <c r="EPR117" s="574"/>
      <c r="EPS117" s="575"/>
      <c r="EPT117" s="583"/>
      <c r="EPU117" s="590"/>
      <c r="EPV117" s="589"/>
      <c r="EPW117" s="585"/>
      <c r="EPX117" s="577"/>
      <c r="EPY117" s="304"/>
      <c r="EPZ117" s="572"/>
      <c r="EQA117" s="573"/>
      <c r="EQB117" s="574"/>
      <c r="EQC117" s="575"/>
      <c r="EQD117" s="583"/>
      <c r="EQE117" s="590"/>
      <c r="EQF117" s="589"/>
      <c r="EQG117" s="585"/>
      <c r="EQH117" s="577"/>
      <c r="EQI117" s="304"/>
      <c r="EQJ117" s="572"/>
      <c r="EQK117" s="573"/>
      <c r="EQL117" s="574"/>
      <c r="EQM117" s="575"/>
      <c r="EQN117" s="583"/>
      <c r="EQO117" s="590"/>
      <c r="EQP117" s="589"/>
      <c r="EQQ117" s="585"/>
      <c r="EQR117" s="577"/>
      <c r="EQS117" s="304"/>
      <c r="EQT117" s="572"/>
      <c r="EQU117" s="573"/>
      <c r="EQV117" s="574"/>
      <c r="EQW117" s="575"/>
      <c r="EQX117" s="583"/>
      <c r="EQY117" s="590"/>
      <c r="EQZ117" s="589"/>
      <c r="ERA117" s="585"/>
      <c r="ERB117" s="577"/>
      <c r="ERC117" s="304"/>
      <c r="ERD117" s="572"/>
      <c r="ERE117" s="573"/>
      <c r="ERF117" s="574"/>
      <c r="ERG117" s="575"/>
      <c r="ERH117" s="583"/>
      <c r="ERI117" s="590"/>
      <c r="ERJ117" s="589"/>
      <c r="ERK117" s="585"/>
      <c r="ERL117" s="577"/>
      <c r="ERM117" s="304"/>
      <c r="ERN117" s="572"/>
      <c r="ERO117" s="573"/>
      <c r="ERP117" s="574"/>
      <c r="ERQ117" s="575"/>
      <c r="ERR117" s="583"/>
      <c r="ERS117" s="590"/>
      <c r="ERT117" s="589"/>
      <c r="ERU117" s="585"/>
      <c r="ERV117" s="577"/>
      <c r="ERW117" s="304"/>
      <c r="ERX117" s="572"/>
      <c r="ERY117" s="573"/>
      <c r="ERZ117" s="574"/>
      <c r="ESA117" s="575"/>
      <c r="ESB117" s="583"/>
      <c r="ESC117" s="590"/>
      <c r="ESD117" s="589"/>
      <c r="ESE117" s="585"/>
      <c r="ESF117" s="577"/>
      <c r="ESG117" s="304"/>
      <c r="ESH117" s="572"/>
      <c r="ESI117" s="573"/>
      <c r="ESJ117" s="574"/>
      <c r="ESK117" s="575"/>
      <c r="ESL117" s="583"/>
      <c r="ESM117" s="590"/>
      <c r="ESN117" s="589"/>
      <c r="ESO117" s="585"/>
      <c r="ESP117" s="577"/>
      <c r="ESQ117" s="304"/>
      <c r="ESR117" s="572"/>
      <c r="ESS117" s="573"/>
      <c r="EST117" s="574"/>
      <c r="ESU117" s="575"/>
      <c r="ESV117" s="583"/>
      <c r="ESW117" s="590"/>
      <c r="ESX117" s="589"/>
      <c r="ESY117" s="585"/>
      <c r="ESZ117" s="577"/>
      <c r="ETA117" s="304"/>
      <c r="ETB117" s="572"/>
      <c r="ETC117" s="573"/>
      <c r="ETD117" s="574"/>
      <c r="ETE117" s="575"/>
      <c r="ETF117" s="583"/>
      <c r="ETG117" s="590"/>
      <c r="ETH117" s="589"/>
      <c r="ETI117" s="585"/>
      <c r="ETJ117" s="577"/>
      <c r="ETK117" s="304"/>
      <c r="ETL117" s="572"/>
      <c r="ETM117" s="573"/>
      <c r="ETN117" s="574"/>
      <c r="ETO117" s="575"/>
      <c r="ETP117" s="583"/>
      <c r="ETQ117" s="590"/>
      <c r="ETR117" s="589"/>
      <c r="ETS117" s="585"/>
      <c r="ETT117" s="577"/>
      <c r="ETU117" s="304"/>
      <c r="ETV117" s="572"/>
      <c r="ETW117" s="573"/>
      <c r="ETX117" s="574"/>
      <c r="ETY117" s="575"/>
      <c r="ETZ117" s="583"/>
      <c r="EUA117" s="590"/>
      <c r="EUB117" s="589"/>
      <c r="EUC117" s="585"/>
      <c r="EUD117" s="577"/>
      <c r="EUE117" s="304"/>
      <c r="EUF117" s="572"/>
      <c r="EUG117" s="573"/>
      <c r="EUH117" s="574"/>
      <c r="EUI117" s="575"/>
      <c r="EUJ117" s="583"/>
      <c r="EUK117" s="590"/>
      <c r="EUL117" s="589"/>
      <c r="EUM117" s="585"/>
      <c r="EUN117" s="577"/>
      <c r="EUO117" s="304"/>
      <c r="EUP117" s="572"/>
      <c r="EUQ117" s="573"/>
      <c r="EUR117" s="574"/>
      <c r="EUS117" s="575"/>
      <c r="EUT117" s="583"/>
      <c r="EUU117" s="590"/>
      <c r="EUV117" s="589"/>
      <c r="EUW117" s="585"/>
      <c r="EUX117" s="577"/>
      <c r="EUY117" s="304"/>
      <c r="EUZ117" s="572"/>
      <c r="EVA117" s="573"/>
      <c r="EVB117" s="574"/>
      <c r="EVC117" s="575"/>
      <c r="EVD117" s="583"/>
      <c r="EVE117" s="590"/>
      <c r="EVF117" s="589"/>
      <c r="EVG117" s="585"/>
      <c r="EVH117" s="577"/>
      <c r="EVI117" s="304"/>
      <c r="EVJ117" s="572"/>
      <c r="EVK117" s="573"/>
      <c r="EVL117" s="574"/>
      <c r="EVM117" s="575"/>
      <c r="EVN117" s="583"/>
      <c r="EVO117" s="590"/>
      <c r="EVP117" s="589"/>
      <c r="EVQ117" s="585"/>
      <c r="EVR117" s="577"/>
      <c r="EVS117" s="304"/>
      <c r="EVT117" s="572"/>
      <c r="EVU117" s="573"/>
      <c r="EVV117" s="574"/>
      <c r="EVW117" s="575"/>
      <c r="EVX117" s="583"/>
      <c r="EVY117" s="590"/>
      <c r="EVZ117" s="589"/>
      <c r="EWA117" s="585"/>
      <c r="EWB117" s="577"/>
      <c r="EWC117" s="304"/>
      <c r="EWD117" s="572"/>
      <c r="EWE117" s="573"/>
      <c r="EWF117" s="574"/>
      <c r="EWG117" s="575"/>
      <c r="EWH117" s="583"/>
      <c r="EWI117" s="590"/>
      <c r="EWJ117" s="589"/>
      <c r="EWK117" s="585"/>
      <c r="EWL117" s="577"/>
      <c r="EWM117" s="304"/>
      <c r="EWN117" s="572"/>
      <c r="EWO117" s="573"/>
      <c r="EWP117" s="574"/>
      <c r="EWQ117" s="575"/>
      <c r="EWR117" s="583"/>
      <c r="EWS117" s="590"/>
      <c r="EWT117" s="589"/>
      <c r="EWU117" s="585"/>
      <c r="EWV117" s="577"/>
      <c r="EWW117" s="304"/>
      <c r="EWX117" s="572"/>
      <c r="EWY117" s="573"/>
      <c r="EWZ117" s="574"/>
      <c r="EXA117" s="575"/>
      <c r="EXB117" s="583"/>
      <c r="EXC117" s="590"/>
      <c r="EXD117" s="589"/>
      <c r="EXE117" s="585"/>
      <c r="EXF117" s="577"/>
      <c r="EXG117" s="304"/>
      <c r="EXH117" s="572"/>
      <c r="EXI117" s="573"/>
      <c r="EXJ117" s="574"/>
      <c r="EXK117" s="575"/>
      <c r="EXL117" s="583"/>
      <c r="EXM117" s="590"/>
      <c r="EXN117" s="589"/>
      <c r="EXO117" s="585"/>
      <c r="EXP117" s="577"/>
      <c r="EXQ117" s="304"/>
      <c r="EXR117" s="572"/>
      <c r="EXS117" s="573"/>
      <c r="EXT117" s="574"/>
      <c r="EXU117" s="575"/>
      <c r="EXV117" s="583"/>
      <c r="EXW117" s="590"/>
      <c r="EXX117" s="589"/>
      <c r="EXY117" s="585"/>
      <c r="EXZ117" s="577"/>
      <c r="EYA117" s="304"/>
      <c r="EYB117" s="572"/>
      <c r="EYC117" s="573"/>
      <c r="EYD117" s="574"/>
      <c r="EYE117" s="575"/>
      <c r="EYF117" s="583"/>
      <c r="EYG117" s="590"/>
      <c r="EYH117" s="589"/>
      <c r="EYI117" s="585"/>
      <c r="EYJ117" s="577"/>
      <c r="EYK117" s="304"/>
      <c r="EYL117" s="572"/>
      <c r="EYM117" s="573"/>
      <c r="EYN117" s="574"/>
      <c r="EYO117" s="575"/>
      <c r="EYP117" s="583"/>
      <c r="EYQ117" s="590"/>
      <c r="EYR117" s="589"/>
      <c r="EYS117" s="585"/>
      <c r="EYT117" s="577"/>
      <c r="EYU117" s="304"/>
      <c r="EYV117" s="572"/>
      <c r="EYW117" s="573"/>
      <c r="EYX117" s="574"/>
      <c r="EYY117" s="575"/>
      <c r="EYZ117" s="583"/>
      <c r="EZA117" s="590"/>
      <c r="EZB117" s="589"/>
      <c r="EZC117" s="585"/>
      <c r="EZD117" s="577"/>
      <c r="EZE117" s="304"/>
      <c r="EZF117" s="572"/>
      <c r="EZG117" s="573"/>
      <c r="EZH117" s="574"/>
      <c r="EZI117" s="575"/>
      <c r="EZJ117" s="583"/>
      <c r="EZK117" s="590"/>
      <c r="EZL117" s="589"/>
      <c r="EZM117" s="585"/>
      <c r="EZN117" s="577"/>
      <c r="EZO117" s="304"/>
      <c r="EZP117" s="572"/>
      <c r="EZQ117" s="573"/>
      <c r="EZR117" s="574"/>
      <c r="EZS117" s="575"/>
      <c r="EZT117" s="583"/>
      <c r="EZU117" s="590"/>
      <c r="EZV117" s="589"/>
      <c r="EZW117" s="585"/>
      <c r="EZX117" s="577"/>
      <c r="EZY117" s="304"/>
      <c r="EZZ117" s="572"/>
      <c r="FAA117" s="573"/>
      <c r="FAB117" s="574"/>
      <c r="FAC117" s="575"/>
      <c r="FAD117" s="583"/>
      <c r="FAE117" s="590"/>
      <c r="FAF117" s="589"/>
      <c r="FAG117" s="585"/>
      <c r="FAH117" s="577"/>
      <c r="FAI117" s="304"/>
      <c r="FAJ117" s="572"/>
      <c r="FAK117" s="573"/>
      <c r="FAL117" s="574"/>
      <c r="FAM117" s="575"/>
      <c r="FAN117" s="583"/>
      <c r="FAO117" s="590"/>
      <c r="FAP117" s="589"/>
      <c r="FAQ117" s="585"/>
      <c r="FAR117" s="577"/>
      <c r="FAS117" s="304"/>
      <c r="FAT117" s="572"/>
      <c r="FAU117" s="573"/>
      <c r="FAV117" s="574"/>
      <c r="FAW117" s="575"/>
      <c r="FAX117" s="583"/>
      <c r="FAY117" s="590"/>
      <c r="FAZ117" s="589"/>
      <c r="FBA117" s="585"/>
      <c r="FBB117" s="577"/>
      <c r="FBC117" s="304"/>
      <c r="FBD117" s="572"/>
      <c r="FBE117" s="573"/>
      <c r="FBF117" s="574"/>
      <c r="FBG117" s="575"/>
      <c r="FBH117" s="583"/>
      <c r="FBI117" s="590"/>
      <c r="FBJ117" s="589"/>
      <c r="FBK117" s="585"/>
      <c r="FBL117" s="577"/>
      <c r="FBM117" s="304"/>
      <c r="FBN117" s="572"/>
      <c r="FBO117" s="573"/>
      <c r="FBP117" s="574"/>
      <c r="FBQ117" s="575"/>
      <c r="FBR117" s="583"/>
      <c r="FBS117" s="590"/>
      <c r="FBT117" s="589"/>
      <c r="FBU117" s="585"/>
      <c r="FBV117" s="577"/>
      <c r="FBW117" s="304"/>
      <c r="FBX117" s="572"/>
      <c r="FBY117" s="573"/>
      <c r="FBZ117" s="574"/>
      <c r="FCA117" s="575"/>
      <c r="FCB117" s="583"/>
      <c r="FCC117" s="590"/>
      <c r="FCD117" s="589"/>
      <c r="FCE117" s="585"/>
      <c r="FCF117" s="577"/>
      <c r="FCG117" s="304"/>
      <c r="FCH117" s="572"/>
      <c r="FCI117" s="573"/>
      <c r="FCJ117" s="574"/>
      <c r="FCK117" s="575"/>
      <c r="FCL117" s="583"/>
      <c r="FCM117" s="590"/>
      <c r="FCN117" s="589"/>
      <c r="FCO117" s="585"/>
      <c r="FCP117" s="577"/>
      <c r="FCQ117" s="304"/>
      <c r="FCR117" s="572"/>
      <c r="FCS117" s="573"/>
      <c r="FCT117" s="574"/>
      <c r="FCU117" s="575"/>
      <c r="FCV117" s="583"/>
      <c r="FCW117" s="590"/>
      <c r="FCX117" s="589"/>
      <c r="FCY117" s="585"/>
      <c r="FCZ117" s="577"/>
      <c r="FDA117" s="304"/>
      <c r="FDB117" s="572"/>
      <c r="FDC117" s="573"/>
      <c r="FDD117" s="574"/>
      <c r="FDE117" s="575"/>
      <c r="FDF117" s="583"/>
      <c r="FDG117" s="590"/>
      <c r="FDH117" s="589"/>
      <c r="FDI117" s="585"/>
      <c r="FDJ117" s="577"/>
      <c r="FDK117" s="304"/>
      <c r="FDL117" s="572"/>
      <c r="FDM117" s="573"/>
      <c r="FDN117" s="574"/>
      <c r="FDO117" s="575"/>
      <c r="FDP117" s="583"/>
      <c r="FDQ117" s="590"/>
      <c r="FDR117" s="589"/>
      <c r="FDS117" s="585"/>
      <c r="FDT117" s="577"/>
      <c r="FDU117" s="304"/>
      <c r="FDV117" s="572"/>
      <c r="FDW117" s="573"/>
      <c r="FDX117" s="574"/>
      <c r="FDY117" s="575"/>
      <c r="FDZ117" s="583"/>
      <c r="FEA117" s="590"/>
      <c r="FEB117" s="589"/>
      <c r="FEC117" s="585"/>
      <c r="FED117" s="577"/>
      <c r="FEE117" s="304"/>
      <c r="FEF117" s="572"/>
      <c r="FEG117" s="573"/>
      <c r="FEH117" s="574"/>
      <c r="FEI117" s="575"/>
      <c r="FEJ117" s="583"/>
      <c r="FEK117" s="590"/>
      <c r="FEL117" s="589"/>
      <c r="FEM117" s="585"/>
      <c r="FEN117" s="577"/>
      <c r="FEO117" s="304"/>
      <c r="FEP117" s="572"/>
      <c r="FEQ117" s="573"/>
      <c r="FER117" s="574"/>
      <c r="FES117" s="575"/>
      <c r="FET117" s="583"/>
      <c r="FEU117" s="590"/>
      <c r="FEV117" s="589"/>
      <c r="FEW117" s="585"/>
      <c r="FEX117" s="577"/>
      <c r="FEY117" s="304"/>
      <c r="FEZ117" s="572"/>
      <c r="FFA117" s="573"/>
      <c r="FFB117" s="574"/>
      <c r="FFC117" s="575"/>
      <c r="FFD117" s="583"/>
      <c r="FFE117" s="590"/>
      <c r="FFF117" s="589"/>
      <c r="FFG117" s="585"/>
      <c r="FFH117" s="577"/>
      <c r="FFI117" s="304"/>
      <c r="FFJ117" s="572"/>
      <c r="FFK117" s="573"/>
      <c r="FFL117" s="574"/>
      <c r="FFM117" s="575"/>
      <c r="FFN117" s="583"/>
      <c r="FFO117" s="590"/>
      <c r="FFP117" s="589"/>
      <c r="FFQ117" s="585"/>
      <c r="FFR117" s="577"/>
      <c r="FFS117" s="304"/>
      <c r="FFT117" s="572"/>
      <c r="FFU117" s="573"/>
      <c r="FFV117" s="574"/>
      <c r="FFW117" s="575"/>
      <c r="FFX117" s="583"/>
      <c r="FFY117" s="590"/>
      <c r="FFZ117" s="589"/>
      <c r="FGA117" s="585"/>
      <c r="FGB117" s="577"/>
      <c r="FGC117" s="304"/>
      <c r="FGD117" s="572"/>
      <c r="FGE117" s="573"/>
      <c r="FGF117" s="574"/>
      <c r="FGG117" s="575"/>
      <c r="FGH117" s="583"/>
      <c r="FGI117" s="590"/>
      <c r="FGJ117" s="589"/>
      <c r="FGK117" s="585"/>
      <c r="FGL117" s="577"/>
      <c r="FGM117" s="304"/>
      <c r="FGN117" s="572"/>
      <c r="FGO117" s="573"/>
      <c r="FGP117" s="574"/>
      <c r="FGQ117" s="575"/>
      <c r="FGR117" s="583"/>
      <c r="FGS117" s="590"/>
      <c r="FGT117" s="589"/>
      <c r="FGU117" s="585"/>
      <c r="FGV117" s="577"/>
      <c r="FGW117" s="304"/>
      <c r="FGX117" s="572"/>
      <c r="FGY117" s="573"/>
      <c r="FGZ117" s="574"/>
      <c r="FHA117" s="575"/>
      <c r="FHB117" s="583"/>
      <c r="FHC117" s="590"/>
      <c r="FHD117" s="589"/>
      <c r="FHE117" s="585"/>
      <c r="FHF117" s="577"/>
      <c r="FHG117" s="304"/>
      <c r="FHH117" s="572"/>
      <c r="FHI117" s="573"/>
      <c r="FHJ117" s="574"/>
      <c r="FHK117" s="575"/>
      <c r="FHL117" s="583"/>
      <c r="FHM117" s="590"/>
      <c r="FHN117" s="589"/>
      <c r="FHO117" s="585"/>
      <c r="FHP117" s="577"/>
      <c r="FHQ117" s="304"/>
      <c r="FHR117" s="572"/>
      <c r="FHS117" s="573"/>
      <c r="FHT117" s="574"/>
      <c r="FHU117" s="575"/>
      <c r="FHV117" s="583"/>
      <c r="FHW117" s="590"/>
      <c r="FHX117" s="589"/>
      <c r="FHY117" s="585"/>
      <c r="FHZ117" s="577"/>
      <c r="FIA117" s="304"/>
      <c r="FIB117" s="572"/>
      <c r="FIC117" s="573"/>
      <c r="FID117" s="574"/>
      <c r="FIE117" s="575"/>
      <c r="FIF117" s="583"/>
      <c r="FIG117" s="590"/>
      <c r="FIH117" s="589"/>
      <c r="FII117" s="585"/>
      <c r="FIJ117" s="577"/>
      <c r="FIK117" s="304"/>
      <c r="FIL117" s="572"/>
      <c r="FIM117" s="573"/>
      <c r="FIN117" s="574"/>
      <c r="FIO117" s="575"/>
      <c r="FIP117" s="583"/>
      <c r="FIQ117" s="590"/>
      <c r="FIR117" s="589"/>
      <c r="FIS117" s="585"/>
      <c r="FIT117" s="577"/>
      <c r="FIU117" s="304"/>
      <c r="FIV117" s="572"/>
      <c r="FIW117" s="573"/>
      <c r="FIX117" s="574"/>
      <c r="FIY117" s="575"/>
      <c r="FIZ117" s="583"/>
      <c r="FJA117" s="590"/>
      <c r="FJB117" s="589"/>
      <c r="FJC117" s="585"/>
      <c r="FJD117" s="577"/>
      <c r="FJE117" s="304"/>
      <c r="FJF117" s="572"/>
      <c r="FJG117" s="573"/>
      <c r="FJH117" s="574"/>
      <c r="FJI117" s="575"/>
      <c r="FJJ117" s="583"/>
      <c r="FJK117" s="590"/>
      <c r="FJL117" s="589"/>
      <c r="FJM117" s="585"/>
      <c r="FJN117" s="577"/>
      <c r="FJO117" s="304"/>
      <c r="FJP117" s="572"/>
      <c r="FJQ117" s="573"/>
      <c r="FJR117" s="574"/>
      <c r="FJS117" s="575"/>
      <c r="FJT117" s="583"/>
      <c r="FJU117" s="590"/>
      <c r="FJV117" s="589"/>
      <c r="FJW117" s="585"/>
      <c r="FJX117" s="577"/>
      <c r="FJY117" s="304"/>
      <c r="FJZ117" s="572"/>
      <c r="FKA117" s="573"/>
      <c r="FKB117" s="574"/>
      <c r="FKC117" s="575"/>
      <c r="FKD117" s="583"/>
      <c r="FKE117" s="590"/>
      <c r="FKF117" s="589"/>
      <c r="FKG117" s="585"/>
      <c r="FKH117" s="577"/>
      <c r="FKI117" s="304"/>
      <c r="FKJ117" s="572"/>
      <c r="FKK117" s="573"/>
      <c r="FKL117" s="574"/>
      <c r="FKM117" s="575"/>
      <c r="FKN117" s="583"/>
      <c r="FKO117" s="590"/>
      <c r="FKP117" s="589"/>
      <c r="FKQ117" s="585"/>
      <c r="FKR117" s="577"/>
      <c r="FKS117" s="304"/>
      <c r="FKT117" s="572"/>
      <c r="FKU117" s="573"/>
      <c r="FKV117" s="574"/>
      <c r="FKW117" s="575"/>
      <c r="FKX117" s="583"/>
      <c r="FKY117" s="590"/>
      <c r="FKZ117" s="589"/>
      <c r="FLA117" s="585"/>
      <c r="FLB117" s="577"/>
      <c r="FLC117" s="304"/>
      <c r="FLD117" s="572"/>
      <c r="FLE117" s="573"/>
      <c r="FLF117" s="574"/>
      <c r="FLG117" s="575"/>
      <c r="FLH117" s="583"/>
      <c r="FLI117" s="590"/>
      <c r="FLJ117" s="589"/>
      <c r="FLK117" s="585"/>
      <c r="FLL117" s="577"/>
      <c r="FLM117" s="304"/>
      <c r="FLN117" s="572"/>
      <c r="FLO117" s="573"/>
      <c r="FLP117" s="574"/>
      <c r="FLQ117" s="575"/>
      <c r="FLR117" s="583"/>
      <c r="FLS117" s="590"/>
      <c r="FLT117" s="589"/>
      <c r="FLU117" s="585"/>
      <c r="FLV117" s="577"/>
      <c r="FLW117" s="304"/>
      <c r="FLX117" s="572"/>
      <c r="FLY117" s="573"/>
      <c r="FLZ117" s="574"/>
      <c r="FMA117" s="575"/>
      <c r="FMB117" s="583"/>
      <c r="FMC117" s="590"/>
      <c r="FMD117" s="589"/>
      <c r="FME117" s="585"/>
      <c r="FMF117" s="577"/>
      <c r="FMG117" s="304"/>
      <c r="FMH117" s="572"/>
      <c r="FMI117" s="573"/>
      <c r="FMJ117" s="574"/>
      <c r="FMK117" s="575"/>
      <c r="FML117" s="583"/>
      <c r="FMM117" s="590"/>
      <c r="FMN117" s="589"/>
      <c r="FMO117" s="585"/>
      <c r="FMP117" s="577"/>
      <c r="FMQ117" s="304"/>
      <c r="FMR117" s="572"/>
      <c r="FMS117" s="573"/>
      <c r="FMT117" s="574"/>
      <c r="FMU117" s="575"/>
      <c r="FMV117" s="583"/>
      <c r="FMW117" s="590"/>
      <c r="FMX117" s="589"/>
      <c r="FMY117" s="585"/>
      <c r="FMZ117" s="577"/>
      <c r="FNA117" s="304"/>
      <c r="FNB117" s="572"/>
      <c r="FNC117" s="573"/>
      <c r="FND117" s="574"/>
      <c r="FNE117" s="575"/>
      <c r="FNF117" s="583"/>
      <c r="FNG117" s="590"/>
      <c r="FNH117" s="589"/>
      <c r="FNI117" s="585"/>
      <c r="FNJ117" s="577"/>
      <c r="FNK117" s="304"/>
      <c r="FNL117" s="572"/>
      <c r="FNM117" s="573"/>
      <c r="FNN117" s="574"/>
      <c r="FNO117" s="575"/>
      <c r="FNP117" s="583"/>
      <c r="FNQ117" s="590"/>
      <c r="FNR117" s="589"/>
      <c r="FNS117" s="585"/>
      <c r="FNT117" s="577"/>
      <c r="FNU117" s="304"/>
      <c r="FNV117" s="572"/>
      <c r="FNW117" s="573"/>
      <c r="FNX117" s="574"/>
      <c r="FNY117" s="575"/>
      <c r="FNZ117" s="583"/>
      <c r="FOA117" s="590"/>
      <c r="FOB117" s="589"/>
      <c r="FOC117" s="585"/>
      <c r="FOD117" s="577"/>
      <c r="FOE117" s="304"/>
      <c r="FOF117" s="572"/>
      <c r="FOG117" s="573"/>
      <c r="FOH117" s="574"/>
      <c r="FOI117" s="575"/>
      <c r="FOJ117" s="583"/>
      <c r="FOK117" s="590"/>
      <c r="FOL117" s="589"/>
      <c r="FOM117" s="585"/>
      <c r="FON117" s="577"/>
      <c r="FOO117" s="304"/>
      <c r="FOP117" s="572"/>
      <c r="FOQ117" s="573"/>
      <c r="FOR117" s="574"/>
      <c r="FOS117" s="575"/>
      <c r="FOT117" s="583"/>
      <c r="FOU117" s="590"/>
      <c r="FOV117" s="589"/>
      <c r="FOW117" s="585"/>
      <c r="FOX117" s="577"/>
      <c r="FOY117" s="304"/>
      <c r="FOZ117" s="572"/>
      <c r="FPA117" s="573"/>
      <c r="FPB117" s="574"/>
      <c r="FPC117" s="575"/>
      <c r="FPD117" s="583"/>
      <c r="FPE117" s="590"/>
      <c r="FPF117" s="589"/>
      <c r="FPG117" s="585"/>
      <c r="FPH117" s="577"/>
      <c r="FPI117" s="304"/>
      <c r="FPJ117" s="572"/>
      <c r="FPK117" s="573"/>
      <c r="FPL117" s="574"/>
      <c r="FPM117" s="575"/>
      <c r="FPN117" s="583"/>
      <c r="FPO117" s="590"/>
      <c r="FPP117" s="589"/>
      <c r="FPQ117" s="585"/>
      <c r="FPR117" s="577"/>
      <c r="FPS117" s="304"/>
      <c r="FPT117" s="572"/>
      <c r="FPU117" s="573"/>
      <c r="FPV117" s="574"/>
      <c r="FPW117" s="575"/>
      <c r="FPX117" s="583"/>
      <c r="FPY117" s="590"/>
      <c r="FPZ117" s="589"/>
      <c r="FQA117" s="585"/>
      <c r="FQB117" s="577"/>
      <c r="FQC117" s="304"/>
      <c r="FQD117" s="572"/>
      <c r="FQE117" s="573"/>
      <c r="FQF117" s="574"/>
      <c r="FQG117" s="575"/>
      <c r="FQH117" s="583"/>
      <c r="FQI117" s="590"/>
      <c r="FQJ117" s="589"/>
      <c r="FQK117" s="585"/>
      <c r="FQL117" s="577"/>
      <c r="FQM117" s="304"/>
      <c r="FQN117" s="572"/>
      <c r="FQO117" s="573"/>
      <c r="FQP117" s="574"/>
      <c r="FQQ117" s="575"/>
      <c r="FQR117" s="583"/>
      <c r="FQS117" s="590"/>
      <c r="FQT117" s="589"/>
      <c r="FQU117" s="585"/>
      <c r="FQV117" s="577"/>
      <c r="FQW117" s="304"/>
      <c r="FQX117" s="572"/>
      <c r="FQY117" s="573"/>
      <c r="FQZ117" s="574"/>
      <c r="FRA117" s="575"/>
      <c r="FRB117" s="583"/>
      <c r="FRC117" s="590"/>
      <c r="FRD117" s="589"/>
      <c r="FRE117" s="585"/>
      <c r="FRF117" s="577"/>
      <c r="FRG117" s="304"/>
      <c r="FRH117" s="572"/>
      <c r="FRI117" s="573"/>
      <c r="FRJ117" s="574"/>
      <c r="FRK117" s="575"/>
      <c r="FRL117" s="583"/>
      <c r="FRM117" s="590"/>
      <c r="FRN117" s="589"/>
      <c r="FRO117" s="585"/>
      <c r="FRP117" s="577"/>
      <c r="FRQ117" s="304"/>
      <c r="FRR117" s="572"/>
      <c r="FRS117" s="573"/>
      <c r="FRT117" s="574"/>
      <c r="FRU117" s="575"/>
      <c r="FRV117" s="583"/>
      <c r="FRW117" s="590"/>
      <c r="FRX117" s="589"/>
      <c r="FRY117" s="585"/>
      <c r="FRZ117" s="577"/>
      <c r="FSA117" s="304"/>
      <c r="FSB117" s="572"/>
      <c r="FSC117" s="573"/>
      <c r="FSD117" s="574"/>
      <c r="FSE117" s="575"/>
      <c r="FSF117" s="583"/>
      <c r="FSG117" s="590"/>
      <c r="FSH117" s="589"/>
      <c r="FSI117" s="585"/>
      <c r="FSJ117" s="577"/>
      <c r="FSK117" s="304"/>
      <c r="FSL117" s="572"/>
      <c r="FSM117" s="573"/>
      <c r="FSN117" s="574"/>
      <c r="FSO117" s="575"/>
      <c r="FSP117" s="583"/>
      <c r="FSQ117" s="590"/>
      <c r="FSR117" s="589"/>
      <c r="FSS117" s="585"/>
      <c r="FST117" s="577"/>
      <c r="FSU117" s="304"/>
      <c r="FSV117" s="572"/>
      <c r="FSW117" s="573"/>
      <c r="FSX117" s="574"/>
      <c r="FSY117" s="575"/>
      <c r="FSZ117" s="583"/>
      <c r="FTA117" s="590"/>
      <c r="FTB117" s="589"/>
      <c r="FTC117" s="585"/>
      <c r="FTD117" s="577"/>
      <c r="FTE117" s="304"/>
      <c r="FTF117" s="572"/>
      <c r="FTG117" s="573"/>
      <c r="FTH117" s="574"/>
      <c r="FTI117" s="575"/>
      <c r="FTJ117" s="583"/>
      <c r="FTK117" s="590"/>
      <c r="FTL117" s="589"/>
      <c r="FTM117" s="585"/>
      <c r="FTN117" s="577"/>
      <c r="FTO117" s="304"/>
      <c r="FTP117" s="572"/>
      <c r="FTQ117" s="573"/>
      <c r="FTR117" s="574"/>
      <c r="FTS117" s="575"/>
      <c r="FTT117" s="583"/>
      <c r="FTU117" s="590"/>
      <c r="FTV117" s="589"/>
      <c r="FTW117" s="585"/>
      <c r="FTX117" s="577"/>
      <c r="FTY117" s="304"/>
      <c r="FTZ117" s="572"/>
      <c r="FUA117" s="573"/>
      <c r="FUB117" s="574"/>
      <c r="FUC117" s="575"/>
      <c r="FUD117" s="583"/>
      <c r="FUE117" s="590"/>
      <c r="FUF117" s="589"/>
      <c r="FUG117" s="585"/>
      <c r="FUH117" s="577"/>
      <c r="FUI117" s="304"/>
      <c r="FUJ117" s="572"/>
      <c r="FUK117" s="573"/>
      <c r="FUL117" s="574"/>
      <c r="FUM117" s="575"/>
      <c r="FUN117" s="583"/>
      <c r="FUO117" s="590"/>
      <c r="FUP117" s="589"/>
      <c r="FUQ117" s="585"/>
      <c r="FUR117" s="577"/>
      <c r="FUS117" s="304"/>
      <c r="FUT117" s="572"/>
      <c r="FUU117" s="573"/>
      <c r="FUV117" s="574"/>
      <c r="FUW117" s="575"/>
      <c r="FUX117" s="583"/>
      <c r="FUY117" s="590"/>
      <c r="FUZ117" s="589"/>
      <c r="FVA117" s="585"/>
      <c r="FVB117" s="577"/>
      <c r="FVC117" s="304"/>
      <c r="FVD117" s="572"/>
      <c r="FVE117" s="573"/>
      <c r="FVF117" s="574"/>
      <c r="FVG117" s="575"/>
      <c r="FVH117" s="583"/>
      <c r="FVI117" s="590"/>
      <c r="FVJ117" s="589"/>
      <c r="FVK117" s="585"/>
      <c r="FVL117" s="577"/>
      <c r="FVM117" s="304"/>
      <c r="FVN117" s="572"/>
      <c r="FVO117" s="573"/>
      <c r="FVP117" s="574"/>
      <c r="FVQ117" s="575"/>
      <c r="FVR117" s="583"/>
      <c r="FVS117" s="590"/>
      <c r="FVT117" s="589"/>
      <c r="FVU117" s="585"/>
      <c r="FVV117" s="577"/>
      <c r="FVW117" s="304"/>
      <c r="FVX117" s="572"/>
      <c r="FVY117" s="573"/>
      <c r="FVZ117" s="574"/>
      <c r="FWA117" s="575"/>
      <c r="FWB117" s="583"/>
      <c r="FWC117" s="590"/>
      <c r="FWD117" s="589"/>
      <c r="FWE117" s="585"/>
      <c r="FWF117" s="577"/>
      <c r="FWG117" s="304"/>
      <c r="FWH117" s="572"/>
      <c r="FWI117" s="573"/>
      <c r="FWJ117" s="574"/>
      <c r="FWK117" s="575"/>
      <c r="FWL117" s="583"/>
      <c r="FWM117" s="590"/>
      <c r="FWN117" s="589"/>
      <c r="FWO117" s="585"/>
      <c r="FWP117" s="577"/>
      <c r="FWQ117" s="304"/>
      <c r="FWR117" s="572"/>
      <c r="FWS117" s="573"/>
      <c r="FWT117" s="574"/>
      <c r="FWU117" s="575"/>
      <c r="FWV117" s="583"/>
      <c r="FWW117" s="590"/>
      <c r="FWX117" s="589"/>
      <c r="FWY117" s="585"/>
      <c r="FWZ117" s="577"/>
      <c r="FXA117" s="304"/>
      <c r="FXB117" s="572"/>
      <c r="FXC117" s="573"/>
      <c r="FXD117" s="574"/>
      <c r="FXE117" s="575"/>
      <c r="FXF117" s="583"/>
      <c r="FXG117" s="590"/>
      <c r="FXH117" s="589"/>
      <c r="FXI117" s="585"/>
      <c r="FXJ117" s="577"/>
      <c r="FXK117" s="304"/>
      <c r="FXL117" s="572"/>
      <c r="FXM117" s="573"/>
      <c r="FXN117" s="574"/>
      <c r="FXO117" s="575"/>
      <c r="FXP117" s="583"/>
      <c r="FXQ117" s="590"/>
      <c r="FXR117" s="589"/>
      <c r="FXS117" s="585"/>
      <c r="FXT117" s="577"/>
      <c r="FXU117" s="304"/>
      <c r="FXV117" s="572"/>
      <c r="FXW117" s="573"/>
      <c r="FXX117" s="574"/>
      <c r="FXY117" s="575"/>
      <c r="FXZ117" s="583"/>
      <c r="FYA117" s="590"/>
      <c r="FYB117" s="589"/>
      <c r="FYC117" s="585"/>
      <c r="FYD117" s="577"/>
      <c r="FYE117" s="304"/>
      <c r="FYF117" s="572"/>
      <c r="FYG117" s="573"/>
      <c r="FYH117" s="574"/>
      <c r="FYI117" s="575"/>
      <c r="FYJ117" s="583"/>
      <c r="FYK117" s="590"/>
      <c r="FYL117" s="589"/>
      <c r="FYM117" s="585"/>
      <c r="FYN117" s="577"/>
      <c r="FYO117" s="304"/>
      <c r="FYP117" s="572"/>
      <c r="FYQ117" s="573"/>
      <c r="FYR117" s="574"/>
      <c r="FYS117" s="575"/>
      <c r="FYT117" s="583"/>
      <c r="FYU117" s="590"/>
      <c r="FYV117" s="589"/>
      <c r="FYW117" s="585"/>
      <c r="FYX117" s="577"/>
      <c r="FYY117" s="304"/>
      <c r="FYZ117" s="572"/>
      <c r="FZA117" s="573"/>
      <c r="FZB117" s="574"/>
      <c r="FZC117" s="575"/>
      <c r="FZD117" s="583"/>
      <c r="FZE117" s="590"/>
      <c r="FZF117" s="589"/>
      <c r="FZG117" s="585"/>
      <c r="FZH117" s="577"/>
      <c r="FZI117" s="304"/>
      <c r="FZJ117" s="572"/>
      <c r="FZK117" s="573"/>
      <c r="FZL117" s="574"/>
      <c r="FZM117" s="575"/>
      <c r="FZN117" s="583"/>
      <c r="FZO117" s="590"/>
      <c r="FZP117" s="589"/>
      <c r="FZQ117" s="585"/>
      <c r="FZR117" s="577"/>
      <c r="FZS117" s="304"/>
      <c r="FZT117" s="572"/>
      <c r="FZU117" s="573"/>
      <c r="FZV117" s="574"/>
      <c r="FZW117" s="575"/>
      <c r="FZX117" s="583"/>
      <c r="FZY117" s="590"/>
      <c r="FZZ117" s="589"/>
      <c r="GAA117" s="585"/>
      <c r="GAB117" s="577"/>
      <c r="GAC117" s="304"/>
      <c r="GAD117" s="572"/>
      <c r="GAE117" s="573"/>
      <c r="GAF117" s="574"/>
      <c r="GAG117" s="575"/>
      <c r="GAH117" s="583"/>
      <c r="GAI117" s="590"/>
      <c r="GAJ117" s="589"/>
      <c r="GAK117" s="585"/>
      <c r="GAL117" s="577"/>
      <c r="GAM117" s="304"/>
      <c r="GAN117" s="572"/>
      <c r="GAO117" s="573"/>
      <c r="GAP117" s="574"/>
      <c r="GAQ117" s="575"/>
      <c r="GAR117" s="583"/>
      <c r="GAS117" s="590"/>
      <c r="GAT117" s="589"/>
      <c r="GAU117" s="585"/>
      <c r="GAV117" s="577"/>
      <c r="GAW117" s="304"/>
      <c r="GAX117" s="572"/>
      <c r="GAY117" s="573"/>
      <c r="GAZ117" s="574"/>
      <c r="GBA117" s="575"/>
      <c r="GBB117" s="583"/>
      <c r="GBC117" s="590"/>
      <c r="GBD117" s="589"/>
      <c r="GBE117" s="585"/>
      <c r="GBF117" s="577"/>
      <c r="GBG117" s="304"/>
      <c r="GBH117" s="572"/>
      <c r="GBI117" s="573"/>
      <c r="GBJ117" s="574"/>
      <c r="GBK117" s="575"/>
      <c r="GBL117" s="583"/>
      <c r="GBM117" s="590"/>
      <c r="GBN117" s="589"/>
      <c r="GBO117" s="585"/>
      <c r="GBP117" s="577"/>
      <c r="GBQ117" s="304"/>
      <c r="GBR117" s="572"/>
      <c r="GBS117" s="573"/>
      <c r="GBT117" s="574"/>
      <c r="GBU117" s="575"/>
      <c r="GBV117" s="583"/>
      <c r="GBW117" s="590"/>
      <c r="GBX117" s="589"/>
      <c r="GBY117" s="585"/>
      <c r="GBZ117" s="577"/>
      <c r="GCA117" s="304"/>
      <c r="GCB117" s="572"/>
      <c r="GCC117" s="573"/>
      <c r="GCD117" s="574"/>
      <c r="GCE117" s="575"/>
      <c r="GCF117" s="583"/>
      <c r="GCG117" s="590"/>
      <c r="GCH117" s="589"/>
      <c r="GCI117" s="585"/>
      <c r="GCJ117" s="577"/>
      <c r="GCK117" s="304"/>
      <c r="GCL117" s="572"/>
      <c r="GCM117" s="573"/>
      <c r="GCN117" s="574"/>
      <c r="GCO117" s="575"/>
      <c r="GCP117" s="583"/>
      <c r="GCQ117" s="590"/>
      <c r="GCR117" s="589"/>
      <c r="GCS117" s="585"/>
      <c r="GCT117" s="577"/>
      <c r="GCU117" s="304"/>
      <c r="GCV117" s="572"/>
      <c r="GCW117" s="573"/>
      <c r="GCX117" s="574"/>
      <c r="GCY117" s="575"/>
      <c r="GCZ117" s="583"/>
      <c r="GDA117" s="590"/>
      <c r="GDB117" s="589"/>
      <c r="GDC117" s="585"/>
      <c r="GDD117" s="577"/>
      <c r="GDE117" s="304"/>
      <c r="GDF117" s="572"/>
      <c r="GDG117" s="573"/>
      <c r="GDH117" s="574"/>
      <c r="GDI117" s="575"/>
      <c r="GDJ117" s="583"/>
      <c r="GDK117" s="590"/>
      <c r="GDL117" s="589"/>
      <c r="GDM117" s="585"/>
      <c r="GDN117" s="577"/>
      <c r="GDO117" s="304"/>
      <c r="GDP117" s="572"/>
      <c r="GDQ117" s="573"/>
      <c r="GDR117" s="574"/>
      <c r="GDS117" s="575"/>
      <c r="GDT117" s="583"/>
      <c r="GDU117" s="590"/>
      <c r="GDV117" s="589"/>
      <c r="GDW117" s="585"/>
      <c r="GDX117" s="577"/>
      <c r="GDY117" s="304"/>
      <c r="GDZ117" s="572"/>
      <c r="GEA117" s="573"/>
      <c r="GEB117" s="574"/>
      <c r="GEC117" s="575"/>
      <c r="GED117" s="583"/>
      <c r="GEE117" s="590"/>
      <c r="GEF117" s="589"/>
      <c r="GEG117" s="585"/>
      <c r="GEH117" s="577"/>
      <c r="GEI117" s="304"/>
      <c r="GEJ117" s="572"/>
      <c r="GEK117" s="573"/>
      <c r="GEL117" s="574"/>
      <c r="GEM117" s="575"/>
      <c r="GEN117" s="583"/>
      <c r="GEO117" s="590"/>
      <c r="GEP117" s="589"/>
      <c r="GEQ117" s="585"/>
      <c r="GER117" s="577"/>
      <c r="GES117" s="304"/>
      <c r="GET117" s="572"/>
      <c r="GEU117" s="573"/>
      <c r="GEV117" s="574"/>
      <c r="GEW117" s="575"/>
      <c r="GEX117" s="583"/>
      <c r="GEY117" s="590"/>
      <c r="GEZ117" s="589"/>
      <c r="GFA117" s="585"/>
      <c r="GFB117" s="577"/>
      <c r="GFC117" s="304"/>
      <c r="GFD117" s="572"/>
      <c r="GFE117" s="573"/>
      <c r="GFF117" s="574"/>
      <c r="GFG117" s="575"/>
      <c r="GFH117" s="583"/>
      <c r="GFI117" s="590"/>
      <c r="GFJ117" s="589"/>
      <c r="GFK117" s="585"/>
      <c r="GFL117" s="577"/>
      <c r="GFM117" s="304"/>
      <c r="GFN117" s="572"/>
      <c r="GFO117" s="573"/>
      <c r="GFP117" s="574"/>
      <c r="GFQ117" s="575"/>
      <c r="GFR117" s="583"/>
      <c r="GFS117" s="590"/>
      <c r="GFT117" s="589"/>
      <c r="GFU117" s="585"/>
      <c r="GFV117" s="577"/>
      <c r="GFW117" s="304"/>
      <c r="GFX117" s="572"/>
      <c r="GFY117" s="573"/>
      <c r="GFZ117" s="574"/>
      <c r="GGA117" s="575"/>
      <c r="GGB117" s="583"/>
      <c r="GGC117" s="590"/>
      <c r="GGD117" s="589"/>
      <c r="GGE117" s="585"/>
      <c r="GGF117" s="577"/>
      <c r="GGG117" s="304"/>
      <c r="GGH117" s="572"/>
      <c r="GGI117" s="573"/>
      <c r="GGJ117" s="574"/>
      <c r="GGK117" s="575"/>
      <c r="GGL117" s="583"/>
      <c r="GGM117" s="590"/>
      <c r="GGN117" s="589"/>
      <c r="GGO117" s="585"/>
      <c r="GGP117" s="577"/>
      <c r="GGQ117" s="304"/>
      <c r="GGR117" s="572"/>
      <c r="GGS117" s="573"/>
      <c r="GGT117" s="574"/>
      <c r="GGU117" s="575"/>
      <c r="GGV117" s="583"/>
      <c r="GGW117" s="590"/>
      <c r="GGX117" s="589"/>
      <c r="GGY117" s="585"/>
      <c r="GGZ117" s="577"/>
      <c r="GHA117" s="304"/>
      <c r="GHB117" s="572"/>
      <c r="GHC117" s="573"/>
      <c r="GHD117" s="574"/>
      <c r="GHE117" s="575"/>
      <c r="GHF117" s="583"/>
      <c r="GHG117" s="590"/>
      <c r="GHH117" s="589"/>
      <c r="GHI117" s="585"/>
      <c r="GHJ117" s="577"/>
      <c r="GHK117" s="304"/>
      <c r="GHL117" s="572"/>
      <c r="GHM117" s="573"/>
      <c r="GHN117" s="574"/>
      <c r="GHO117" s="575"/>
      <c r="GHP117" s="583"/>
      <c r="GHQ117" s="590"/>
      <c r="GHR117" s="589"/>
      <c r="GHS117" s="585"/>
      <c r="GHT117" s="577"/>
      <c r="GHU117" s="304"/>
      <c r="GHV117" s="572"/>
      <c r="GHW117" s="573"/>
      <c r="GHX117" s="574"/>
      <c r="GHY117" s="575"/>
      <c r="GHZ117" s="583"/>
      <c r="GIA117" s="590"/>
      <c r="GIB117" s="589"/>
      <c r="GIC117" s="585"/>
      <c r="GID117" s="577"/>
      <c r="GIE117" s="304"/>
      <c r="GIF117" s="572"/>
      <c r="GIG117" s="573"/>
      <c r="GIH117" s="574"/>
      <c r="GII117" s="575"/>
      <c r="GIJ117" s="583"/>
      <c r="GIK117" s="590"/>
      <c r="GIL117" s="589"/>
      <c r="GIM117" s="585"/>
      <c r="GIN117" s="577"/>
      <c r="GIO117" s="304"/>
      <c r="GIP117" s="572"/>
      <c r="GIQ117" s="573"/>
      <c r="GIR117" s="574"/>
      <c r="GIS117" s="575"/>
      <c r="GIT117" s="583"/>
      <c r="GIU117" s="590"/>
      <c r="GIV117" s="589"/>
      <c r="GIW117" s="585"/>
      <c r="GIX117" s="577"/>
      <c r="GIY117" s="304"/>
      <c r="GIZ117" s="572"/>
      <c r="GJA117" s="573"/>
      <c r="GJB117" s="574"/>
      <c r="GJC117" s="575"/>
      <c r="GJD117" s="583"/>
      <c r="GJE117" s="590"/>
      <c r="GJF117" s="589"/>
      <c r="GJG117" s="585"/>
      <c r="GJH117" s="577"/>
      <c r="GJI117" s="304"/>
      <c r="GJJ117" s="572"/>
      <c r="GJK117" s="573"/>
      <c r="GJL117" s="574"/>
      <c r="GJM117" s="575"/>
      <c r="GJN117" s="583"/>
      <c r="GJO117" s="590"/>
      <c r="GJP117" s="589"/>
      <c r="GJQ117" s="585"/>
      <c r="GJR117" s="577"/>
      <c r="GJS117" s="304"/>
      <c r="GJT117" s="572"/>
      <c r="GJU117" s="573"/>
      <c r="GJV117" s="574"/>
      <c r="GJW117" s="575"/>
      <c r="GJX117" s="583"/>
      <c r="GJY117" s="590"/>
      <c r="GJZ117" s="589"/>
      <c r="GKA117" s="585"/>
      <c r="GKB117" s="577"/>
      <c r="GKC117" s="304"/>
      <c r="GKD117" s="572"/>
      <c r="GKE117" s="573"/>
      <c r="GKF117" s="574"/>
      <c r="GKG117" s="575"/>
      <c r="GKH117" s="583"/>
      <c r="GKI117" s="590"/>
      <c r="GKJ117" s="589"/>
      <c r="GKK117" s="585"/>
      <c r="GKL117" s="577"/>
      <c r="GKM117" s="304"/>
      <c r="GKN117" s="572"/>
      <c r="GKO117" s="573"/>
      <c r="GKP117" s="574"/>
      <c r="GKQ117" s="575"/>
      <c r="GKR117" s="583"/>
      <c r="GKS117" s="590"/>
      <c r="GKT117" s="589"/>
      <c r="GKU117" s="585"/>
      <c r="GKV117" s="577"/>
      <c r="GKW117" s="304"/>
      <c r="GKX117" s="572"/>
      <c r="GKY117" s="573"/>
      <c r="GKZ117" s="574"/>
      <c r="GLA117" s="575"/>
      <c r="GLB117" s="583"/>
      <c r="GLC117" s="590"/>
      <c r="GLD117" s="589"/>
      <c r="GLE117" s="585"/>
      <c r="GLF117" s="577"/>
      <c r="GLG117" s="304"/>
      <c r="GLH117" s="572"/>
      <c r="GLI117" s="573"/>
      <c r="GLJ117" s="574"/>
      <c r="GLK117" s="575"/>
      <c r="GLL117" s="583"/>
      <c r="GLM117" s="590"/>
      <c r="GLN117" s="589"/>
      <c r="GLO117" s="585"/>
      <c r="GLP117" s="577"/>
      <c r="GLQ117" s="304"/>
      <c r="GLR117" s="572"/>
      <c r="GLS117" s="573"/>
      <c r="GLT117" s="574"/>
      <c r="GLU117" s="575"/>
      <c r="GLV117" s="583"/>
      <c r="GLW117" s="590"/>
      <c r="GLX117" s="589"/>
      <c r="GLY117" s="585"/>
      <c r="GLZ117" s="577"/>
      <c r="GMA117" s="304"/>
      <c r="GMB117" s="572"/>
      <c r="GMC117" s="573"/>
      <c r="GMD117" s="574"/>
      <c r="GME117" s="575"/>
      <c r="GMF117" s="583"/>
      <c r="GMG117" s="590"/>
      <c r="GMH117" s="589"/>
      <c r="GMI117" s="585"/>
      <c r="GMJ117" s="577"/>
      <c r="GMK117" s="304"/>
      <c r="GML117" s="572"/>
      <c r="GMM117" s="573"/>
      <c r="GMN117" s="574"/>
      <c r="GMO117" s="575"/>
      <c r="GMP117" s="583"/>
      <c r="GMQ117" s="590"/>
      <c r="GMR117" s="589"/>
      <c r="GMS117" s="585"/>
      <c r="GMT117" s="577"/>
      <c r="GMU117" s="304"/>
      <c r="GMV117" s="572"/>
      <c r="GMW117" s="573"/>
      <c r="GMX117" s="574"/>
      <c r="GMY117" s="575"/>
      <c r="GMZ117" s="583"/>
      <c r="GNA117" s="590"/>
      <c r="GNB117" s="589"/>
      <c r="GNC117" s="585"/>
      <c r="GND117" s="577"/>
      <c r="GNE117" s="304"/>
      <c r="GNF117" s="572"/>
      <c r="GNG117" s="573"/>
      <c r="GNH117" s="574"/>
      <c r="GNI117" s="575"/>
      <c r="GNJ117" s="583"/>
      <c r="GNK117" s="590"/>
      <c r="GNL117" s="589"/>
      <c r="GNM117" s="585"/>
      <c r="GNN117" s="577"/>
      <c r="GNO117" s="304"/>
      <c r="GNP117" s="572"/>
      <c r="GNQ117" s="573"/>
      <c r="GNR117" s="574"/>
      <c r="GNS117" s="575"/>
      <c r="GNT117" s="583"/>
      <c r="GNU117" s="590"/>
      <c r="GNV117" s="589"/>
      <c r="GNW117" s="585"/>
      <c r="GNX117" s="577"/>
      <c r="GNY117" s="304"/>
      <c r="GNZ117" s="572"/>
      <c r="GOA117" s="573"/>
      <c r="GOB117" s="574"/>
      <c r="GOC117" s="575"/>
      <c r="GOD117" s="583"/>
      <c r="GOE117" s="590"/>
      <c r="GOF117" s="589"/>
      <c r="GOG117" s="585"/>
      <c r="GOH117" s="577"/>
      <c r="GOI117" s="304"/>
      <c r="GOJ117" s="572"/>
      <c r="GOK117" s="573"/>
      <c r="GOL117" s="574"/>
      <c r="GOM117" s="575"/>
      <c r="GON117" s="583"/>
      <c r="GOO117" s="590"/>
      <c r="GOP117" s="589"/>
      <c r="GOQ117" s="585"/>
      <c r="GOR117" s="577"/>
      <c r="GOS117" s="304"/>
      <c r="GOT117" s="572"/>
      <c r="GOU117" s="573"/>
      <c r="GOV117" s="574"/>
      <c r="GOW117" s="575"/>
      <c r="GOX117" s="583"/>
      <c r="GOY117" s="590"/>
      <c r="GOZ117" s="589"/>
      <c r="GPA117" s="585"/>
      <c r="GPB117" s="577"/>
      <c r="GPC117" s="304"/>
      <c r="GPD117" s="572"/>
      <c r="GPE117" s="573"/>
      <c r="GPF117" s="574"/>
      <c r="GPG117" s="575"/>
      <c r="GPH117" s="583"/>
      <c r="GPI117" s="590"/>
      <c r="GPJ117" s="589"/>
      <c r="GPK117" s="585"/>
      <c r="GPL117" s="577"/>
      <c r="GPM117" s="304"/>
      <c r="GPN117" s="572"/>
      <c r="GPO117" s="573"/>
      <c r="GPP117" s="574"/>
      <c r="GPQ117" s="575"/>
      <c r="GPR117" s="583"/>
      <c r="GPS117" s="590"/>
      <c r="GPT117" s="589"/>
      <c r="GPU117" s="585"/>
      <c r="GPV117" s="577"/>
      <c r="GPW117" s="304"/>
      <c r="GPX117" s="572"/>
      <c r="GPY117" s="573"/>
      <c r="GPZ117" s="574"/>
      <c r="GQA117" s="575"/>
      <c r="GQB117" s="583"/>
      <c r="GQC117" s="590"/>
      <c r="GQD117" s="589"/>
      <c r="GQE117" s="585"/>
      <c r="GQF117" s="577"/>
      <c r="GQG117" s="304"/>
      <c r="GQH117" s="572"/>
      <c r="GQI117" s="573"/>
      <c r="GQJ117" s="574"/>
      <c r="GQK117" s="575"/>
      <c r="GQL117" s="583"/>
      <c r="GQM117" s="590"/>
      <c r="GQN117" s="589"/>
      <c r="GQO117" s="585"/>
      <c r="GQP117" s="577"/>
      <c r="GQQ117" s="304"/>
      <c r="GQR117" s="572"/>
      <c r="GQS117" s="573"/>
      <c r="GQT117" s="574"/>
      <c r="GQU117" s="575"/>
      <c r="GQV117" s="583"/>
      <c r="GQW117" s="590"/>
      <c r="GQX117" s="589"/>
      <c r="GQY117" s="585"/>
      <c r="GQZ117" s="577"/>
      <c r="GRA117" s="304"/>
      <c r="GRB117" s="572"/>
      <c r="GRC117" s="573"/>
      <c r="GRD117" s="574"/>
      <c r="GRE117" s="575"/>
      <c r="GRF117" s="583"/>
      <c r="GRG117" s="590"/>
      <c r="GRH117" s="589"/>
      <c r="GRI117" s="585"/>
      <c r="GRJ117" s="577"/>
      <c r="GRK117" s="304"/>
      <c r="GRL117" s="572"/>
      <c r="GRM117" s="573"/>
      <c r="GRN117" s="574"/>
      <c r="GRO117" s="575"/>
      <c r="GRP117" s="583"/>
      <c r="GRQ117" s="590"/>
      <c r="GRR117" s="589"/>
      <c r="GRS117" s="585"/>
      <c r="GRT117" s="577"/>
      <c r="GRU117" s="304"/>
      <c r="GRV117" s="572"/>
      <c r="GRW117" s="573"/>
      <c r="GRX117" s="574"/>
      <c r="GRY117" s="575"/>
      <c r="GRZ117" s="583"/>
      <c r="GSA117" s="590"/>
      <c r="GSB117" s="589"/>
      <c r="GSC117" s="585"/>
      <c r="GSD117" s="577"/>
      <c r="GSE117" s="304"/>
      <c r="GSF117" s="572"/>
      <c r="GSG117" s="573"/>
      <c r="GSH117" s="574"/>
      <c r="GSI117" s="575"/>
      <c r="GSJ117" s="583"/>
      <c r="GSK117" s="590"/>
      <c r="GSL117" s="589"/>
      <c r="GSM117" s="585"/>
      <c r="GSN117" s="577"/>
      <c r="GSO117" s="304"/>
      <c r="GSP117" s="572"/>
      <c r="GSQ117" s="573"/>
      <c r="GSR117" s="574"/>
      <c r="GSS117" s="575"/>
      <c r="GST117" s="583"/>
      <c r="GSU117" s="590"/>
      <c r="GSV117" s="589"/>
      <c r="GSW117" s="585"/>
      <c r="GSX117" s="577"/>
      <c r="GSY117" s="304"/>
      <c r="GSZ117" s="572"/>
      <c r="GTA117" s="573"/>
      <c r="GTB117" s="574"/>
      <c r="GTC117" s="575"/>
      <c r="GTD117" s="583"/>
      <c r="GTE117" s="590"/>
      <c r="GTF117" s="589"/>
      <c r="GTG117" s="585"/>
      <c r="GTH117" s="577"/>
      <c r="GTI117" s="304"/>
      <c r="GTJ117" s="572"/>
      <c r="GTK117" s="573"/>
      <c r="GTL117" s="574"/>
      <c r="GTM117" s="575"/>
      <c r="GTN117" s="583"/>
      <c r="GTO117" s="590"/>
      <c r="GTP117" s="589"/>
      <c r="GTQ117" s="585"/>
      <c r="GTR117" s="577"/>
      <c r="GTS117" s="304"/>
      <c r="GTT117" s="572"/>
      <c r="GTU117" s="573"/>
      <c r="GTV117" s="574"/>
      <c r="GTW117" s="575"/>
      <c r="GTX117" s="583"/>
      <c r="GTY117" s="590"/>
      <c r="GTZ117" s="589"/>
      <c r="GUA117" s="585"/>
      <c r="GUB117" s="577"/>
      <c r="GUC117" s="304"/>
      <c r="GUD117" s="572"/>
      <c r="GUE117" s="573"/>
      <c r="GUF117" s="574"/>
      <c r="GUG117" s="575"/>
      <c r="GUH117" s="583"/>
      <c r="GUI117" s="590"/>
      <c r="GUJ117" s="589"/>
      <c r="GUK117" s="585"/>
      <c r="GUL117" s="577"/>
      <c r="GUM117" s="304"/>
      <c r="GUN117" s="572"/>
      <c r="GUO117" s="573"/>
      <c r="GUP117" s="574"/>
      <c r="GUQ117" s="575"/>
      <c r="GUR117" s="583"/>
      <c r="GUS117" s="590"/>
      <c r="GUT117" s="589"/>
      <c r="GUU117" s="585"/>
      <c r="GUV117" s="577"/>
      <c r="GUW117" s="304"/>
      <c r="GUX117" s="572"/>
      <c r="GUY117" s="573"/>
      <c r="GUZ117" s="574"/>
      <c r="GVA117" s="575"/>
      <c r="GVB117" s="583"/>
      <c r="GVC117" s="590"/>
      <c r="GVD117" s="589"/>
      <c r="GVE117" s="585"/>
      <c r="GVF117" s="577"/>
      <c r="GVG117" s="304"/>
      <c r="GVH117" s="572"/>
      <c r="GVI117" s="573"/>
      <c r="GVJ117" s="574"/>
      <c r="GVK117" s="575"/>
      <c r="GVL117" s="583"/>
      <c r="GVM117" s="590"/>
      <c r="GVN117" s="589"/>
      <c r="GVO117" s="585"/>
      <c r="GVP117" s="577"/>
      <c r="GVQ117" s="304"/>
      <c r="GVR117" s="572"/>
      <c r="GVS117" s="573"/>
      <c r="GVT117" s="574"/>
      <c r="GVU117" s="575"/>
      <c r="GVV117" s="583"/>
      <c r="GVW117" s="590"/>
      <c r="GVX117" s="589"/>
      <c r="GVY117" s="585"/>
      <c r="GVZ117" s="577"/>
      <c r="GWA117" s="304"/>
      <c r="GWB117" s="572"/>
      <c r="GWC117" s="573"/>
      <c r="GWD117" s="574"/>
      <c r="GWE117" s="575"/>
      <c r="GWF117" s="583"/>
      <c r="GWG117" s="590"/>
      <c r="GWH117" s="589"/>
      <c r="GWI117" s="585"/>
      <c r="GWJ117" s="577"/>
      <c r="GWK117" s="304"/>
      <c r="GWL117" s="572"/>
      <c r="GWM117" s="573"/>
      <c r="GWN117" s="574"/>
      <c r="GWO117" s="575"/>
      <c r="GWP117" s="583"/>
      <c r="GWQ117" s="590"/>
      <c r="GWR117" s="589"/>
      <c r="GWS117" s="585"/>
      <c r="GWT117" s="577"/>
      <c r="GWU117" s="304"/>
      <c r="GWV117" s="572"/>
      <c r="GWW117" s="573"/>
      <c r="GWX117" s="574"/>
      <c r="GWY117" s="575"/>
      <c r="GWZ117" s="583"/>
      <c r="GXA117" s="590"/>
      <c r="GXB117" s="589"/>
      <c r="GXC117" s="585"/>
      <c r="GXD117" s="577"/>
      <c r="GXE117" s="304"/>
      <c r="GXF117" s="572"/>
      <c r="GXG117" s="573"/>
      <c r="GXH117" s="574"/>
      <c r="GXI117" s="575"/>
      <c r="GXJ117" s="583"/>
      <c r="GXK117" s="590"/>
      <c r="GXL117" s="589"/>
      <c r="GXM117" s="585"/>
      <c r="GXN117" s="577"/>
      <c r="GXO117" s="304"/>
      <c r="GXP117" s="572"/>
      <c r="GXQ117" s="573"/>
      <c r="GXR117" s="574"/>
      <c r="GXS117" s="575"/>
      <c r="GXT117" s="583"/>
      <c r="GXU117" s="590"/>
      <c r="GXV117" s="589"/>
      <c r="GXW117" s="585"/>
      <c r="GXX117" s="577"/>
      <c r="GXY117" s="304"/>
      <c r="GXZ117" s="572"/>
      <c r="GYA117" s="573"/>
      <c r="GYB117" s="574"/>
      <c r="GYC117" s="575"/>
      <c r="GYD117" s="583"/>
      <c r="GYE117" s="590"/>
      <c r="GYF117" s="589"/>
      <c r="GYG117" s="585"/>
      <c r="GYH117" s="577"/>
      <c r="GYI117" s="304"/>
      <c r="GYJ117" s="572"/>
      <c r="GYK117" s="573"/>
      <c r="GYL117" s="574"/>
      <c r="GYM117" s="575"/>
      <c r="GYN117" s="583"/>
      <c r="GYO117" s="590"/>
      <c r="GYP117" s="589"/>
      <c r="GYQ117" s="585"/>
      <c r="GYR117" s="577"/>
      <c r="GYS117" s="304"/>
      <c r="GYT117" s="572"/>
      <c r="GYU117" s="573"/>
      <c r="GYV117" s="574"/>
      <c r="GYW117" s="575"/>
      <c r="GYX117" s="583"/>
      <c r="GYY117" s="590"/>
      <c r="GYZ117" s="589"/>
      <c r="GZA117" s="585"/>
      <c r="GZB117" s="577"/>
      <c r="GZC117" s="304"/>
      <c r="GZD117" s="572"/>
      <c r="GZE117" s="573"/>
      <c r="GZF117" s="574"/>
      <c r="GZG117" s="575"/>
      <c r="GZH117" s="583"/>
      <c r="GZI117" s="590"/>
      <c r="GZJ117" s="589"/>
      <c r="GZK117" s="585"/>
      <c r="GZL117" s="577"/>
      <c r="GZM117" s="304"/>
      <c r="GZN117" s="572"/>
      <c r="GZO117" s="573"/>
      <c r="GZP117" s="574"/>
      <c r="GZQ117" s="575"/>
      <c r="GZR117" s="583"/>
      <c r="GZS117" s="590"/>
      <c r="GZT117" s="589"/>
      <c r="GZU117" s="585"/>
      <c r="GZV117" s="577"/>
      <c r="GZW117" s="304"/>
      <c r="GZX117" s="572"/>
      <c r="GZY117" s="573"/>
      <c r="GZZ117" s="574"/>
      <c r="HAA117" s="575"/>
      <c r="HAB117" s="583"/>
      <c r="HAC117" s="590"/>
      <c r="HAD117" s="589"/>
      <c r="HAE117" s="585"/>
      <c r="HAF117" s="577"/>
      <c r="HAG117" s="304"/>
      <c r="HAH117" s="572"/>
      <c r="HAI117" s="573"/>
      <c r="HAJ117" s="574"/>
      <c r="HAK117" s="575"/>
      <c r="HAL117" s="583"/>
      <c r="HAM117" s="590"/>
      <c r="HAN117" s="589"/>
      <c r="HAO117" s="585"/>
      <c r="HAP117" s="577"/>
      <c r="HAQ117" s="304"/>
      <c r="HAR117" s="572"/>
      <c r="HAS117" s="573"/>
      <c r="HAT117" s="574"/>
      <c r="HAU117" s="575"/>
      <c r="HAV117" s="583"/>
      <c r="HAW117" s="590"/>
      <c r="HAX117" s="589"/>
      <c r="HAY117" s="585"/>
      <c r="HAZ117" s="577"/>
      <c r="HBA117" s="304"/>
      <c r="HBB117" s="572"/>
      <c r="HBC117" s="573"/>
      <c r="HBD117" s="574"/>
      <c r="HBE117" s="575"/>
      <c r="HBF117" s="583"/>
      <c r="HBG117" s="590"/>
      <c r="HBH117" s="589"/>
      <c r="HBI117" s="585"/>
      <c r="HBJ117" s="577"/>
      <c r="HBK117" s="304"/>
      <c r="HBL117" s="572"/>
      <c r="HBM117" s="573"/>
      <c r="HBN117" s="574"/>
      <c r="HBO117" s="575"/>
      <c r="HBP117" s="583"/>
      <c r="HBQ117" s="590"/>
      <c r="HBR117" s="589"/>
      <c r="HBS117" s="585"/>
      <c r="HBT117" s="577"/>
      <c r="HBU117" s="304"/>
      <c r="HBV117" s="572"/>
      <c r="HBW117" s="573"/>
      <c r="HBX117" s="574"/>
      <c r="HBY117" s="575"/>
      <c r="HBZ117" s="583"/>
      <c r="HCA117" s="590"/>
      <c r="HCB117" s="589"/>
      <c r="HCC117" s="585"/>
      <c r="HCD117" s="577"/>
      <c r="HCE117" s="304"/>
      <c r="HCF117" s="572"/>
      <c r="HCG117" s="573"/>
      <c r="HCH117" s="574"/>
      <c r="HCI117" s="575"/>
      <c r="HCJ117" s="583"/>
      <c r="HCK117" s="590"/>
      <c r="HCL117" s="589"/>
      <c r="HCM117" s="585"/>
      <c r="HCN117" s="577"/>
      <c r="HCO117" s="304"/>
      <c r="HCP117" s="572"/>
      <c r="HCQ117" s="573"/>
      <c r="HCR117" s="574"/>
      <c r="HCS117" s="575"/>
      <c r="HCT117" s="583"/>
      <c r="HCU117" s="590"/>
      <c r="HCV117" s="589"/>
      <c r="HCW117" s="585"/>
      <c r="HCX117" s="577"/>
      <c r="HCY117" s="304"/>
      <c r="HCZ117" s="572"/>
      <c r="HDA117" s="573"/>
      <c r="HDB117" s="574"/>
      <c r="HDC117" s="575"/>
      <c r="HDD117" s="583"/>
      <c r="HDE117" s="590"/>
      <c r="HDF117" s="589"/>
      <c r="HDG117" s="585"/>
      <c r="HDH117" s="577"/>
      <c r="HDI117" s="304"/>
      <c r="HDJ117" s="572"/>
      <c r="HDK117" s="573"/>
      <c r="HDL117" s="574"/>
      <c r="HDM117" s="575"/>
      <c r="HDN117" s="583"/>
      <c r="HDO117" s="590"/>
      <c r="HDP117" s="589"/>
      <c r="HDQ117" s="585"/>
      <c r="HDR117" s="577"/>
      <c r="HDS117" s="304"/>
      <c r="HDT117" s="572"/>
      <c r="HDU117" s="573"/>
      <c r="HDV117" s="574"/>
      <c r="HDW117" s="575"/>
      <c r="HDX117" s="583"/>
      <c r="HDY117" s="590"/>
      <c r="HDZ117" s="589"/>
      <c r="HEA117" s="585"/>
      <c r="HEB117" s="577"/>
      <c r="HEC117" s="304"/>
      <c r="HED117" s="572"/>
      <c r="HEE117" s="573"/>
      <c r="HEF117" s="574"/>
      <c r="HEG117" s="575"/>
      <c r="HEH117" s="583"/>
      <c r="HEI117" s="590"/>
      <c r="HEJ117" s="589"/>
      <c r="HEK117" s="585"/>
      <c r="HEL117" s="577"/>
      <c r="HEM117" s="304"/>
      <c r="HEN117" s="572"/>
      <c r="HEO117" s="573"/>
      <c r="HEP117" s="574"/>
      <c r="HEQ117" s="575"/>
      <c r="HER117" s="583"/>
      <c r="HES117" s="590"/>
      <c r="HET117" s="589"/>
      <c r="HEU117" s="585"/>
      <c r="HEV117" s="577"/>
      <c r="HEW117" s="304"/>
      <c r="HEX117" s="572"/>
      <c r="HEY117" s="573"/>
      <c r="HEZ117" s="574"/>
      <c r="HFA117" s="575"/>
      <c r="HFB117" s="583"/>
      <c r="HFC117" s="590"/>
      <c r="HFD117" s="589"/>
      <c r="HFE117" s="585"/>
      <c r="HFF117" s="577"/>
      <c r="HFG117" s="304"/>
      <c r="HFH117" s="572"/>
      <c r="HFI117" s="573"/>
      <c r="HFJ117" s="574"/>
      <c r="HFK117" s="575"/>
      <c r="HFL117" s="583"/>
      <c r="HFM117" s="590"/>
      <c r="HFN117" s="589"/>
      <c r="HFO117" s="585"/>
      <c r="HFP117" s="577"/>
      <c r="HFQ117" s="304"/>
      <c r="HFR117" s="572"/>
      <c r="HFS117" s="573"/>
      <c r="HFT117" s="574"/>
      <c r="HFU117" s="575"/>
      <c r="HFV117" s="583"/>
      <c r="HFW117" s="590"/>
      <c r="HFX117" s="589"/>
      <c r="HFY117" s="585"/>
      <c r="HFZ117" s="577"/>
      <c r="HGA117" s="304"/>
      <c r="HGB117" s="572"/>
      <c r="HGC117" s="573"/>
      <c r="HGD117" s="574"/>
      <c r="HGE117" s="575"/>
      <c r="HGF117" s="583"/>
      <c r="HGG117" s="590"/>
      <c r="HGH117" s="589"/>
      <c r="HGI117" s="585"/>
      <c r="HGJ117" s="577"/>
      <c r="HGK117" s="304"/>
      <c r="HGL117" s="572"/>
      <c r="HGM117" s="573"/>
      <c r="HGN117" s="574"/>
      <c r="HGO117" s="575"/>
      <c r="HGP117" s="583"/>
      <c r="HGQ117" s="590"/>
      <c r="HGR117" s="589"/>
      <c r="HGS117" s="585"/>
      <c r="HGT117" s="577"/>
      <c r="HGU117" s="304"/>
      <c r="HGV117" s="572"/>
      <c r="HGW117" s="573"/>
      <c r="HGX117" s="574"/>
      <c r="HGY117" s="575"/>
      <c r="HGZ117" s="583"/>
      <c r="HHA117" s="590"/>
      <c r="HHB117" s="589"/>
      <c r="HHC117" s="585"/>
      <c r="HHD117" s="577"/>
      <c r="HHE117" s="304"/>
      <c r="HHF117" s="572"/>
      <c r="HHG117" s="573"/>
      <c r="HHH117" s="574"/>
      <c r="HHI117" s="575"/>
      <c r="HHJ117" s="583"/>
      <c r="HHK117" s="590"/>
      <c r="HHL117" s="589"/>
      <c r="HHM117" s="585"/>
      <c r="HHN117" s="577"/>
      <c r="HHO117" s="304"/>
      <c r="HHP117" s="572"/>
      <c r="HHQ117" s="573"/>
      <c r="HHR117" s="574"/>
      <c r="HHS117" s="575"/>
      <c r="HHT117" s="583"/>
      <c r="HHU117" s="590"/>
      <c r="HHV117" s="589"/>
      <c r="HHW117" s="585"/>
      <c r="HHX117" s="577"/>
      <c r="HHY117" s="304"/>
      <c r="HHZ117" s="572"/>
      <c r="HIA117" s="573"/>
      <c r="HIB117" s="574"/>
      <c r="HIC117" s="575"/>
      <c r="HID117" s="583"/>
      <c r="HIE117" s="590"/>
      <c r="HIF117" s="589"/>
      <c r="HIG117" s="585"/>
      <c r="HIH117" s="577"/>
      <c r="HII117" s="304"/>
      <c r="HIJ117" s="572"/>
      <c r="HIK117" s="573"/>
      <c r="HIL117" s="574"/>
      <c r="HIM117" s="575"/>
      <c r="HIN117" s="583"/>
      <c r="HIO117" s="590"/>
      <c r="HIP117" s="589"/>
      <c r="HIQ117" s="585"/>
      <c r="HIR117" s="577"/>
      <c r="HIS117" s="304"/>
      <c r="HIT117" s="572"/>
      <c r="HIU117" s="573"/>
      <c r="HIV117" s="574"/>
      <c r="HIW117" s="575"/>
      <c r="HIX117" s="583"/>
      <c r="HIY117" s="590"/>
      <c r="HIZ117" s="589"/>
      <c r="HJA117" s="585"/>
      <c r="HJB117" s="577"/>
      <c r="HJC117" s="304"/>
      <c r="HJD117" s="572"/>
      <c r="HJE117" s="573"/>
      <c r="HJF117" s="574"/>
      <c r="HJG117" s="575"/>
      <c r="HJH117" s="583"/>
      <c r="HJI117" s="590"/>
      <c r="HJJ117" s="589"/>
      <c r="HJK117" s="585"/>
      <c r="HJL117" s="577"/>
      <c r="HJM117" s="304"/>
      <c r="HJN117" s="572"/>
      <c r="HJO117" s="573"/>
      <c r="HJP117" s="574"/>
      <c r="HJQ117" s="575"/>
      <c r="HJR117" s="583"/>
      <c r="HJS117" s="590"/>
      <c r="HJT117" s="589"/>
      <c r="HJU117" s="585"/>
      <c r="HJV117" s="577"/>
      <c r="HJW117" s="304"/>
      <c r="HJX117" s="572"/>
      <c r="HJY117" s="573"/>
      <c r="HJZ117" s="574"/>
      <c r="HKA117" s="575"/>
      <c r="HKB117" s="583"/>
      <c r="HKC117" s="590"/>
      <c r="HKD117" s="589"/>
      <c r="HKE117" s="585"/>
      <c r="HKF117" s="577"/>
      <c r="HKG117" s="304"/>
      <c r="HKH117" s="572"/>
      <c r="HKI117" s="573"/>
      <c r="HKJ117" s="574"/>
      <c r="HKK117" s="575"/>
      <c r="HKL117" s="583"/>
      <c r="HKM117" s="590"/>
      <c r="HKN117" s="589"/>
      <c r="HKO117" s="585"/>
      <c r="HKP117" s="577"/>
      <c r="HKQ117" s="304"/>
      <c r="HKR117" s="572"/>
      <c r="HKS117" s="573"/>
      <c r="HKT117" s="574"/>
      <c r="HKU117" s="575"/>
      <c r="HKV117" s="583"/>
      <c r="HKW117" s="590"/>
      <c r="HKX117" s="589"/>
      <c r="HKY117" s="585"/>
      <c r="HKZ117" s="577"/>
      <c r="HLA117" s="304"/>
      <c r="HLB117" s="572"/>
      <c r="HLC117" s="573"/>
      <c r="HLD117" s="574"/>
      <c r="HLE117" s="575"/>
      <c r="HLF117" s="583"/>
      <c r="HLG117" s="590"/>
      <c r="HLH117" s="589"/>
      <c r="HLI117" s="585"/>
      <c r="HLJ117" s="577"/>
      <c r="HLK117" s="304"/>
      <c r="HLL117" s="572"/>
      <c r="HLM117" s="573"/>
      <c r="HLN117" s="574"/>
      <c r="HLO117" s="575"/>
      <c r="HLP117" s="583"/>
      <c r="HLQ117" s="590"/>
      <c r="HLR117" s="589"/>
      <c r="HLS117" s="585"/>
      <c r="HLT117" s="577"/>
      <c r="HLU117" s="304"/>
      <c r="HLV117" s="572"/>
      <c r="HLW117" s="573"/>
      <c r="HLX117" s="574"/>
      <c r="HLY117" s="575"/>
      <c r="HLZ117" s="583"/>
      <c r="HMA117" s="590"/>
      <c r="HMB117" s="589"/>
      <c r="HMC117" s="585"/>
      <c r="HMD117" s="577"/>
      <c r="HME117" s="304"/>
      <c r="HMF117" s="572"/>
      <c r="HMG117" s="573"/>
      <c r="HMH117" s="574"/>
      <c r="HMI117" s="575"/>
      <c r="HMJ117" s="583"/>
      <c r="HMK117" s="590"/>
      <c r="HML117" s="589"/>
      <c r="HMM117" s="585"/>
      <c r="HMN117" s="577"/>
      <c r="HMO117" s="304"/>
      <c r="HMP117" s="572"/>
      <c r="HMQ117" s="573"/>
      <c r="HMR117" s="574"/>
      <c r="HMS117" s="575"/>
      <c r="HMT117" s="583"/>
      <c r="HMU117" s="590"/>
      <c r="HMV117" s="589"/>
      <c r="HMW117" s="585"/>
      <c r="HMX117" s="577"/>
      <c r="HMY117" s="304"/>
      <c r="HMZ117" s="572"/>
      <c r="HNA117" s="573"/>
      <c r="HNB117" s="574"/>
      <c r="HNC117" s="575"/>
      <c r="HND117" s="583"/>
      <c r="HNE117" s="590"/>
      <c r="HNF117" s="589"/>
      <c r="HNG117" s="585"/>
      <c r="HNH117" s="577"/>
      <c r="HNI117" s="304"/>
      <c r="HNJ117" s="572"/>
      <c r="HNK117" s="573"/>
      <c r="HNL117" s="574"/>
      <c r="HNM117" s="575"/>
      <c r="HNN117" s="583"/>
      <c r="HNO117" s="590"/>
      <c r="HNP117" s="589"/>
      <c r="HNQ117" s="585"/>
      <c r="HNR117" s="577"/>
      <c r="HNS117" s="304"/>
      <c r="HNT117" s="572"/>
      <c r="HNU117" s="573"/>
      <c r="HNV117" s="574"/>
      <c r="HNW117" s="575"/>
      <c r="HNX117" s="583"/>
      <c r="HNY117" s="590"/>
      <c r="HNZ117" s="589"/>
      <c r="HOA117" s="585"/>
      <c r="HOB117" s="577"/>
      <c r="HOC117" s="304"/>
      <c r="HOD117" s="572"/>
      <c r="HOE117" s="573"/>
      <c r="HOF117" s="574"/>
      <c r="HOG117" s="575"/>
      <c r="HOH117" s="583"/>
      <c r="HOI117" s="590"/>
      <c r="HOJ117" s="589"/>
      <c r="HOK117" s="585"/>
      <c r="HOL117" s="577"/>
      <c r="HOM117" s="304"/>
      <c r="HON117" s="572"/>
      <c r="HOO117" s="573"/>
      <c r="HOP117" s="574"/>
      <c r="HOQ117" s="575"/>
      <c r="HOR117" s="583"/>
      <c r="HOS117" s="590"/>
      <c r="HOT117" s="589"/>
      <c r="HOU117" s="585"/>
      <c r="HOV117" s="577"/>
      <c r="HOW117" s="304"/>
      <c r="HOX117" s="572"/>
      <c r="HOY117" s="573"/>
      <c r="HOZ117" s="574"/>
      <c r="HPA117" s="575"/>
      <c r="HPB117" s="583"/>
      <c r="HPC117" s="590"/>
      <c r="HPD117" s="589"/>
      <c r="HPE117" s="585"/>
      <c r="HPF117" s="577"/>
      <c r="HPG117" s="304"/>
      <c r="HPH117" s="572"/>
      <c r="HPI117" s="573"/>
      <c r="HPJ117" s="574"/>
      <c r="HPK117" s="575"/>
      <c r="HPL117" s="583"/>
      <c r="HPM117" s="590"/>
      <c r="HPN117" s="589"/>
      <c r="HPO117" s="585"/>
      <c r="HPP117" s="577"/>
      <c r="HPQ117" s="304"/>
      <c r="HPR117" s="572"/>
      <c r="HPS117" s="573"/>
      <c r="HPT117" s="574"/>
      <c r="HPU117" s="575"/>
      <c r="HPV117" s="583"/>
      <c r="HPW117" s="590"/>
      <c r="HPX117" s="589"/>
      <c r="HPY117" s="585"/>
      <c r="HPZ117" s="577"/>
      <c r="HQA117" s="304"/>
      <c r="HQB117" s="572"/>
      <c r="HQC117" s="573"/>
      <c r="HQD117" s="574"/>
      <c r="HQE117" s="575"/>
      <c r="HQF117" s="583"/>
      <c r="HQG117" s="590"/>
      <c r="HQH117" s="589"/>
      <c r="HQI117" s="585"/>
      <c r="HQJ117" s="577"/>
      <c r="HQK117" s="304"/>
      <c r="HQL117" s="572"/>
      <c r="HQM117" s="573"/>
      <c r="HQN117" s="574"/>
      <c r="HQO117" s="575"/>
      <c r="HQP117" s="583"/>
      <c r="HQQ117" s="590"/>
      <c r="HQR117" s="589"/>
      <c r="HQS117" s="585"/>
      <c r="HQT117" s="577"/>
      <c r="HQU117" s="304"/>
      <c r="HQV117" s="572"/>
      <c r="HQW117" s="573"/>
      <c r="HQX117" s="574"/>
      <c r="HQY117" s="575"/>
      <c r="HQZ117" s="583"/>
      <c r="HRA117" s="590"/>
      <c r="HRB117" s="589"/>
      <c r="HRC117" s="585"/>
      <c r="HRD117" s="577"/>
      <c r="HRE117" s="304"/>
      <c r="HRF117" s="572"/>
      <c r="HRG117" s="573"/>
      <c r="HRH117" s="574"/>
      <c r="HRI117" s="575"/>
      <c r="HRJ117" s="583"/>
      <c r="HRK117" s="590"/>
      <c r="HRL117" s="589"/>
      <c r="HRM117" s="585"/>
      <c r="HRN117" s="577"/>
      <c r="HRO117" s="304"/>
      <c r="HRP117" s="572"/>
      <c r="HRQ117" s="573"/>
      <c r="HRR117" s="574"/>
      <c r="HRS117" s="575"/>
      <c r="HRT117" s="583"/>
      <c r="HRU117" s="590"/>
      <c r="HRV117" s="589"/>
      <c r="HRW117" s="585"/>
      <c r="HRX117" s="577"/>
      <c r="HRY117" s="304"/>
      <c r="HRZ117" s="572"/>
      <c r="HSA117" s="573"/>
      <c r="HSB117" s="574"/>
      <c r="HSC117" s="575"/>
      <c r="HSD117" s="583"/>
      <c r="HSE117" s="590"/>
      <c r="HSF117" s="589"/>
      <c r="HSG117" s="585"/>
      <c r="HSH117" s="577"/>
      <c r="HSI117" s="304"/>
      <c r="HSJ117" s="572"/>
      <c r="HSK117" s="573"/>
      <c r="HSL117" s="574"/>
      <c r="HSM117" s="575"/>
      <c r="HSN117" s="583"/>
      <c r="HSO117" s="590"/>
      <c r="HSP117" s="589"/>
      <c r="HSQ117" s="585"/>
      <c r="HSR117" s="577"/>
      <c r="HSS117" s="304"/>
      <c r="HST117" s="572"/>
      <c r="HSU117" s="573"/>
      <c r="HSV117" s="574"/>
      <c r="HSW117" s="575"/>
      <c r="HSX117" s="583"/>
      <c r="HSY117" s="590"/>
      <c r="HSZ117" s="589"/>
      <c r="HTA117" s="585"/>
      <c r="HTB117" s="577"/>
      <c r="HTC117" s="304"/>
      <c r="HTD117" s="572"/>
      <c r="HTE117" s="573"/>
      <c r="HTF117" s="574"/>
      <c r="HTG117" s="575"/>
      <c r="HTH117" s="583"/>
      <c r="HTI117" s="590"/>
      <c r="HTJ117" s="589"/>
      <c r="HTK117" s="585"/>
      <c r="HTL117" s="577"/>
      <c r="HTM117" s="304"/>
      <c r="HTN117" s="572"/>
      <c r="HTO117" s="573"/>
      <c r="HTP117" s="574"/>
      <c r="HTQ117" s="575"/>
      <c r="HTR117" s="583"/>
      <c r="HTS117" s="590"/>
      <c r="HTT117" s="589"/>
      <c r="HTU117" s="585"/>
      <c r="HTV117" s="577"/>
      <c r="HTW117" s="304"/>
      <c r="HTX117" s="572"/>
      <c r="HTY117" s="573"/>
      <c r="HTZ117" s="574"/>
      <c r="HUA117" s="575"/>
      <c r="HUB117" s="583"/>
      <c r="HUC117" s="590"/>
      <c r="HUD117" s="589"/>
      <c r="HUE117" s="585"/>
      <c r="HUF117" s="577"/>
      <c r="HUG117" s="304"/>
      <c r="HUH117" s="572"/>
      <c r="HUI117" s="573"/>
      <c r="HUJ117" s="574"/>
      <c r="HUK117" s="575"/>
      <c r="HUL117" s="583"/>
      <c r="HUM117" s="590"/>
      <c r="HUN117" s="589"/>
      <c r="HUO117" s="585"/>
      <c r="HUP117" s="577"/>
      <c r="HUQ117" s="304"/>
      <c r="HUR117" s="572"/>
      <c r="HUS117" s="573"/>
      <c r="HUT117" s="574"/>
      <c r="HUU117" s="575"/>
      <c r="HUV117" s="583"/>
      <c r="HUW117" s="590"/>
      <c r="HUX117" s="589"/>
      <c r="HUY117" s="585"/>
      <c r="HUZ117" s="577"/>
      <c r="HVA117" s="304"/>
      <c r="HVB117" s="572"/>
      <c r="HVC117" s="573"/>
      <c r="HVD117" s="574"/>
      <c r="HVE117" s="575"/>
      <c r="HVF117" s="583"/>
      <c r="HVG117" s="590"/>
      <c r="HVH117" s="589"/>
      <c r="HVI117" s="585"/>
      <c r="HVJ117" s="577"/>
      <c r="HVK117" s="304"/>
      <c r="HVL117" s="572"/>
      <c r="HVM117" s="573"/>
      <c r="HVN117" s="574"/>
      <c r="HVO117" s="575"/>
      <c r="HVP117" s="583"/>
      <c r="HVQ117" s="590"/>
      <c r="HVR117" s="589"/>
      <c r="HVS117" s="585"/>
      <c r="HVT117" s="577"/>
      <c r="HVU117" s="304"/>
      <c r="HVV117" s="572"/>
      <c r="HVW117" s="573"/>
      <c r="HVX117" s="574"/>
      <c r="HVY117" s="575"/>
      <c r="HVZ117" s="583"/>
      <c r="HWA117" s="590"/>
      <c r="HWB117" s="589"/>
      <c r="HWC117" s="585"/>
      <c r="HWD117" s="577"/>
      <c r="HWE117" s="304"/>
      <c r="HWF117" s="572"/>
      <c r="HWG117" s="573"/>
      <c r="HWH117" s="574"/>
      <c r="HWI117" s="575"/>
      <c r="HWJ117" s="583"/>
      <c r="HWK117" s="590"/>
      <c r="HWL117" s="589"/>
      <c r="HWM117" s="585"/>
      <c r="HWN117" s="577"/>
      <c r="HWO117" s="304"/>
      <c r="HWP117" s="572"/>
      <c r="HWQ117" s="573"/>
      <c r="HWR117" s="574"/>
      <c r="HWS117" s="575"/>
      <c r="HWT117" s="583"/>
      <c r="HWU117" s="590"/>
      <c r="HWV117" s="589"/>
      <c r="HWW117" s="585"/>
      <c r="HWX117" s="577"/>
      <c r="HWY117" s="304"/>
      <c r="HWZ117" s="572"/>
      <c r="HXA117" s="573"/>
      <c r="HXB117" s="574"/>
      <c r="HXC117" s="575"/>
      <c r="HXD117" s="583"/>
      <c r="HXE117" s="590"/>
      <c r="HXF117" s="589"/>
      <c r="HXG117" s="585"/>
      <c r="HXH117" s="577"/>
      <c r="HXI117" s="304"/>
      <c r="HXJ117" s="572"/>
      <c r="HXK117" s="573"/>
      <c r="HXL117" s="574"/>
      <c r="HXM117" s="575"/>
      <c r="HXN117" s="583"/>
      <c r="HXO117" s="590"/>
      <c r="HXP117" s="589"/>
      <c r="HXQ117" s="585"/>
      <c r="HXR117" s="577"/>
      <c r="HXS117" s="304"/>
      <c r="HXT117" s="572"/>
      <c r="HXU117" s="573"/>
      <c r="HXV117" s="574"/>
      <c r="HXW117" s="575"/>
      <c r="HXX117" s="583"/>
      <c r="HXY117" s="590"/>
      <c r="HXZ117" s="589"/>
      <c r="HYA117" s="585"/>
      <c r="HYB117" s="577"/>
      <c r="HYC117" s="304"/>
      <c r="HYD117" s="572"/>
      <c r="HYE117" s="573"/>
      <c r="HYF117" s="574"/>
      <c r="HYG117" s="575"/>
      <c r="HYH117" s="583"/>
      <c r="HYI117" s="590"/>
      <c r="HYJ117" s="589"/>
      <c r="HYK117" s="585"/>
      <c r="HYL117" s="577"/>
      <c r="HYM117" s="304"/>
      <c r="HYN117" s="572"/>
      <c r="HYO117" s="573"/>
      <c r="HYP117" s="574"/>
      <c r="HYQ117" s="575"/>
      <c r="HYR117" s="583"/>
      <c r="HYS117" s="590"/>
      <c r="HYT117" s="589"/>
      <c r="HYU117" s="585"/>
      <c r="HYV117" s="577"/>
      <c r="HYW117" s="304"/>
      <c r="HYX117" s="572"/>
      <c r="HYY117" s="573"/>
      <c r="HYZ117" s="574"/>
      <c r="HZA117" s="575"/>
      <c r="HZB117" s="583"/>
      <c r="HZC117" s="590"/>
      <c r="HZD117" s="589"/>
      <c r="HZE117" s="585"/>
      <c r="HZF117" s="577"/>
      <c r="HZG117" s="304"/>
      <c r="HZH117" s="572"/>
      <c r="HZI117" s="573"/>
      <c r="HZJ117" s="574"/>
      <c r="HZK117" s="575"/>
      <c r="HZL117" s="583"/>
      <c r="HZM117" s="590"/>
      <c r="HZN117" s="589"/>
      <c r="HZO117" s="585"/>
      <c r="HZP117" s="577"/>
      <c r="HZQ117" s="304"/>
      <c r="HZR117" s="572"/>
      <c r="HZS117" s="573"/>
      <c r="HZT117" s="574"/>
      <c r="HZU117" s="575"/>
      <c r="HZV117" s="583"/>
      <c r="HZW117" s="590"/>
      <c r="HZX117" s="589"/>
      <c r="HZY117" s="585"/>
      <c r="HZZ117" s="577"/>
      <c r="IAA117" s="304"/>
      <c r="IAB117" s="572"/>
      <c r="IAC117" s="573"/>
      <c r="IAD117" s="574"/>
      <c r="IAE117" s="575"/>
      <c r="IAF117" s="583"/>
      <c r="IAG117" s="590"/>
      <c r="IAH117" s="589"/>
      <c r="IAI117" s="585"/>
      <c r="IAJ117" s="577"/>
      <c r="IAK117" s="304"/>
      <c r="IAL117" s="572"/>
      <c r="IAM117" s="573"/>
      <c r="IAN117" s="574"/>
      <c r="IAO117" s="575"/>
      <c r="IAP117" s="583"/>
      <c r="IAQ117" s="590"/>
      <c r="IAR117" s="589"/>
      <c r="IAS117" s="585"/>
      <c r="IAT117" s="577"/>
      <c r="IAU117" s="304"/>
      <c r="IAV117" s="572"/>
      <c r="IAW117" s="573"/>
      <c r="IAX117" s="574"/>
      <c r="IAY117" s="575"/>
      <c r="IAZ117" s="583"/>
      <c r="IBA117" s="590"/>
      <c r="IBB117" s="589"/>
      <c r="IBC117" s="585"/>
      <c r="IBD117" s="577"/>
      <c r="IBE117" s="304"/>
      <c r="IBF117" s="572"/>
      <c r="IBG117" s="573"/>
      <c r="IBH117" s="574"/>
      <c r="IBI117" s="575"/>
      <c r="IBJ117" s="583"/>
      <c r="IBK117" s="590"/>
      <c r="IBL117" s="589"/>
      <c r="IBM117" s="585"/>
      <c r="IBN117" s="577"/>
      <c r="IBO117" s="304"/>
      <c r="IBP117" s="572"/>
      <c r="IBQ117" s="573"/>
      <c r="IBR117" s="574"/>
      <c r="IBS117" s="575"/>
      <c r="IBT117" s="583"/>
      <c r="IBU117" s="590"/>
      <c r="IBV117" s="589"/>
      <c r="IBW117" s="585"/>
      <c r="IBX117" s="577"/>
      <c r="IBY117" s="304"/>
      <c r="IBZ117" s="572"/>
      <c r="ICA117" s="573"/>
      <c r="ICB117" s="574"/>
      <c r="ICC117" s="575"/>
      <c r="ICD117" s="583"/>
      <c r="ICE117" s="590"/>
      <c r="ICF117" s="589"/>
      <c r="ICG117" s="585"/>
      <c r="ICH117" s="577"/>
      <c r="ICI117" s="304"/>
      <c r="ICJ117" s="572"/>
      <c r="ICK117" s="573"/>
      <c r="ICL117" s="574"/>
      <c r="ICM117" s="575"/>
      <c r="ICN117" s="583"/>
      <c r="ICO117" s="590"/>
      <c r="ICP117" s="589"/>
      <c r="ICQ117" s="585"/>
      <c r="ICR117" s="577"/>
      <c r="ICS117" s="304"/>
      <c r="ICT117" s="572"/>
      <c r="ICU117" s="573"/>
      <c r="ICV117" s="574"/>
      <c r="ICW117" s="575"/>
      <c r="ICX117" s="583"/>
      <c r="ICY117" s="590"/>
      <c r="ICZ117" s="589"/>
      <c r="IDA117" s="585"/>
      <c r="IDB117" s="577"/>
      <c r="IDC117" s="304"/>
      <c r="IDD117" s="572"/>
      <c r="IDE117" s="573"/>
      <c r="IDF117" s="574"/>
      <c r="IDG117" s="575"/>
      <c r="IDH117" s="583"/>
      <c r="IDI117" s="590"/>
      <c r="IDJ117" s="589"/>
      <c r="IDK117" s="585"/>
      <c r="IDL117" s="577"/>
      <c r="IDM117" s="304"/>
      <c r="IDN117" s="572"/>
      <c r="IDO117" s="573"/>
      <c r="IDP117" s="574"/>
      <c r="IDQ117" s="575"/>
      <c r="IDR117" s="583"/>
      <c r="IDS117" s="590"/>
      <c r="IDT117" s="589"/>
      <c r="IDU117" s="585"/>
      <c r="IDV117" s="577"/>
      <c r="IDW117" s="304"/>
      <c r="IDX117" s="572"/>
      <c r="IDY117" s="573"/>
      <c r="IDZ117" s="574"/>
      <c r="IEA117" s="575"/>
      <c r="IEB117" s="583"/>
      <c r="IEC117" s="590"/>
      <c r="IED117" s="589"/>
      <c r="IEE117" s="585"/>
      <c r="IEF117" s="577"/>
      <c r="IEG117" s="304"/>
      <c r="IEH117" s="572"/>
      <c r="IEI117" s="573"/>
      <c r="IEJ117" s="574"/>
      <c r="IEK117" s="575"/>
      <c r="IEL117" s="583"/>
      <c r="IEM117" s="590"/>
      <c r="IEN117" s="589"/>
      <c r="IEO117" s="585"/>
      <c r="IEP117" s="577"/>
      <c r="IEQ117" s="304"/>
      <c r="IER117" s="572"/>
      <c r="IES117" s="573"/>
      <c r="IET117" s="574"/>
      <c r="IEU117" s="575"/>
      <c r="IEV117" s="583"/>
      <c r="IEW117" s="590"/>
      <c r="IEX117" s="589"/>
      <c r="IEY117" s="585"/>
      <c r="IEZ117" s="577"/>
      <c r="IFA117" s="304"/>
      <c r="IFB117" s="572"/>
      <c r="IFC117" s="573"/>
      <c r="IFD117" s="574"/>
      <c r="IFE117" s="575"/>
      <c r="IFF117" s="583"/>
      <c r="IFG117" s="590"/>
      <c r="IFH117" s="589"/>
      <c r="IFI117" s="585"/>
      <c r="IFJ117" s="577"/>
      <c r="IFK117" s="304"/>
      <c r="IFL117" s="572"/>
      <c r="IFM117" s="573"/>
      <c r="IFN117" s="574"/>
      <c r="IFO117" s="575"/>
      <c r="IFP117" s="583"/>
      <c r="IFQ117" s="590"/>
      <c r="IFR117" s="589"/>
      <c r="IFS117" s="585"/>
      <c r="IFT117" s="577"/>
      <c r="IFU117" s="304"/>
      <c r="IFV117" s="572"/>
      <c r="IFW117" s="573"/>
      <c r="IFX117" s="574"/>
      <c r="IFY117" s="575"/>
      <c r="IFZ117" s="583"/>
      <c r="IGA117" s="590"/>
      <c r="IGB117" s="589"/>
      <c r="IGC117" s="585"/>
      <c r="IGD117" s="577"/>
      <c r="IGE117" s="304"/>
      <c r="IGF117" s="572"/>
      <c r="IGG117" s="573"/>
      <c r="IGH117" s="574"/>
      <c r="IGI117" s="575"/>
      <c r="IGJ117" s="583"/>
      <c r="IGK117" s="590"/>
      <c r="IGL117" s="589"/>
      <c r="IGM117" s="585"/>
      <c r="IGN117" s="577"/>
      <c r="IGO117" s="304"/>
      <c r="IGP117" s="572"/>
      <c r="IGQ117" s="573"/>
      <c r="IGR117" s="574"/>
      <c r="IGS117" s="575"/>
      <c r="IGT117" s="583"/>
      <c r="IGU117" s="590"/>
      <c r="IGV117" s="589"/>
      <c r="IGW117" s="585"/>
      <c r="IGX117" s="577"/>
      <c r="IGY117" s="304"/>
      <c r="IGZ117" s="572"/>
      <c r="IHA117" s="573"/>
      <c r="IHB117" s="574"/>
      <c r="IHC117" s="575"/>
      <c r="IHD117" s="583"/>
      <c r="IHE117" s="590"/>
      <c r="IHF117" s="589"/>
      <c r="IHG117" s="585"/>
      <c r="IHH117" s="577"/>
      <c r="IHI117" s="304"/>
      <c r="IHJ117" s="572"/>
      <c r="IHK117" s="573"/>
      <c r="IHL117" s="574"/>
      <c r="IHM117" s="575"/>
      <c r="IHN117" s="583"/>
      <c r="IHO117" s="590"/>
      <c r="IHP117" s="589"/>
      <c r="IHQ117" s="585"/>
      <c r="IHR117" s="577"/>
      <c r="IHS117" s="304"/>
      <c r="IHT117" s="572"/>
      <c r="IHU117" s="573"/>
      <c r="IHV117" s="574"/>
      <c r="IHW117" s="575"/>
      <c r="IHX117" s="583"/>
      <c r="IHY117" s="590"/>
      <c r="IHZ117" s="589"/>
      <c r="IIA117" s="585"/>
      <c r="IIB117" s="577"/>
      <c r="IIC117" s="304"/>
      <c r="IID117" s="572"/>
      <c r="IIE117" s="573"/>
      <c r="IIF117" s="574"/>
      <c r="IIG117" s="575"/>
      <c r="IIH117" s="583"/>
      <c r="III117" s="590"/>
      <c r="IIJ117" s="589"/>
      <c r="IIK117" s="585"/>
      <c r="IIL117" s="577"/>
      <c r="IIM117" s="304"/>
      <c r="IIN117" s="572"/>
      <c r="IIO117" s="573"/>
      <c r="IIP117" s="574"/>
      <c r="IIQ117" s="575"/>
      <c r="IIR117" s="583"/>
      <c r="IIS117" s="590"/>
      <c r="IIT117" s="589"/>
      <c r="IIU117" s="585"/>
      <c r="IIV117" s="577"/>
      <c r="IIW117" s="304"/>
      <c r="IIX117" s="572"/>
      <c r="IIY117" s="573"/>
      <c r="IIZ117" s="574"/>
      <c r="IJA117" s="575"/>
      <c r="IJB117" s="583"/>
      <c r="IJC117" s="590"/>
      <c r="IJD117" s="589"/>
      <c r="IJE117" s="585"/>
      <c r="IJF117" s="577"/>
      <c r="IJG117" s="304"/>
      <c r="IJH117" s="572"/>
      <c r="IJI117" s="573"/>
      <c r="IJJ117" s="574"/>
      <c r="IJK117" s="575"/>
      <c r="IJL117" s="583"/>
      <c r="IJM117" s="590"/>
      <c r="IJN117" s="589"/>
      <c r="IJO117" s="585"/>
      <c r="IJP117" s="577"/>
      <c r="IJQ117" s="304"/>
      <c r="IJR117" s="572"/>
      <c r="IJS117" s="573"/>
      <c r="IJT117" s="574"/>
      <c r="IJU117" s="575"/>
      <c r="IJV117" s="583"/>
      <c r="IJW117" s="590"/>
      <c r="IJX117" s="589"/>
      <c r="IJY117" s="585"/>
      <c r="IJZ117" s="577"/>
      <c r="IKA117" s="304"/>
      <c r="IKB117" s="572"/>
      <c r="IKC117" s="573"/>
      <c r="IKD117" s="574"/>
      <c r="IKE117" s="575"/>
      <c r="IKF117" s="583"/>
      <c r="IKG117" s="590"/>
      <c r="IKH117" s="589"/>
      <c r="IKI117" s="585"/>
      <c r="IKJ117" s="577"/>
      <c r="IKK117" s="304"/>
      <c r="IKL117" s="572"/>
      <c r="IKM117" s="573"/>
      <c r="IKN117" s="574"/>
      <c r="IKO117" s="575"/>
      <c r="IKP117" s="583"/>
      <c r="IKQ117" s="590"/>
      <c r="IKR117" s="589"/>
      <c r="IKS117" s="585"/>
      <c r="IKT117" s="577"/>
      <c r="IKU117" s="304"/>
      <c r="IKV117" s="572"/>
      <c r="IKW117" s="573"/>
      <c r="IKX117" s="574"/>
      <c r="IKY117" s="575"/>
      <c r="IKZ117" s="583"/>
      <c r="ILA117" s="590"/>
      <c r="ILB117" s="589"/>
      <c r="ILC117" s="585"/>
      <c r="ILD117" s="577"/>
      <c r="ILE117" s="304"/>
      <c r="ILF117" s="572"/>
      <c r="ILG117" s="573"/>
      <c r="ILH117" s="574"/>
      <c r="ILI117" s="575"/>
      <c r="ILJ117" s="583"/>
      <c r="ILK117" s="590"/>
      <c r="ILL117" s="589"/>
      <c r="ILM117" s="585"/>
      <c r="ILN117" s="577"/>
      <c r="ILO117" s="304"/>
      <c r="ILP117" s="572"/>
      <c r="ILQ117" s="573"/>
      <c r="ILR117" s="574"/>
      <c r="ILS117" s="575"/>
      <c r="ILT117" s="583"/>
      <c r="ILU117" s="590"/>
      <c r="ILV117" s="589"/>
      <c r="ILW117" s="585"/>
      <c r="ILX117" s="577"/>
      <c r="ILY117" s="304"/>
      <c r="ILZ117" s="572"/>
      <c r="IMA117" s="573"/>
      <c r="IMB117" s="574"/>
      <c r="IMC117" s="575"/>
      <c r="IMD117" s="583"/>
      <c r="IME117" s="590"/>
      <c r="IMF117" s="589"/>
      <c r="IMG117" s="585"/>
      <c r="IMH117" s="577"/>
      <c r="IMI117" s="304"/>
      <c r="IMJ117" s="572"/>
      <c r="IMK117" s="573"/>
      <c r="IML117" s="574"/>
      <c r="IMM117" s="575"/>
      <c r="IMN117" s="583"/>
      <c r="IMO117" s="590"/>
      <c r="IMP117" s="589"/>
      <c r="IMQ117" s="585"/>
      <c r="IMR117" s="577"/>
      <c r="IMS117" s="304"/>
      <c r="IMT117" s="572"/>
      <c r="IMU117" s="573"/>
      <c r="IMV117" s="574"/>
      <c r="IMW117" s="575"/>
      <c r="IMX117" s="583"/>
      <c r="IMY117" s="590"/>
      <c r="IMZ117" s="589"/>
      <c r="INA117" s="585"/>
      <c r="INB117" s="577"/>
      <c r="INC117" s="304"/>
      <c r="IND117" s="572"/>
      <c r="INE117" s="573"/>
      <c r="INF117" s="574"/>
      <c r="ING117" s="575"/>
      <c r="INH117" s="583"/>
      <c r="INI117" s="590"/>
      <c r="INJ117" s="589"/>
      <c r="INK117" s="585"/>
      <c r="INL117" s="577"/>
      <c r="INM117" s="304"/>
      <c r="INN117" s="572"/>
      <c r="INO117" s="573"/>
      <c r="INP117" s="574"/>
      <c r="INQ117" s="575"/>
      <c r="INR117" s="583"/>
      <c r="INS117" s="590"/>
      <c r="INT117" s="589"/>
      <c r="INU117" s="585"/>
      <c r="INV117" s="577"/>
      <c r="INW117" s="304"/>
      <c r="INX117" s="572"/>
      <c r="INY117" s="573"/>
      <c r="INZ117" s="574"/>
      <c r="IOA117" s="575"/>
      <c r="IOB117" s="583"/>
      <c r="IOC117" s="590"/>
      <c r="IOD117" s="589"/>
      <c r="IOE117" s="585"/>
      <c r="IOF117" s="577"/>
      <c r="IOG117" s="304"/>
      <c r="IOH117" s="572"/>
      <c r="IOI117" s="573"/>
      <c r="IOJ117" s="574"/>
      <c r="IOK117" s="575"/>
      <c r="IOL117" s="583"/>
      <c r="IOM117" s="590"/>
      <c r="ION117" s="589"/>
      <c r="IOO117" s="585"/>
      <c r="IOP117" s="577"/>
      <c r="IOQ117" s="304"/>
      <c r="IOR117" s="572"/>
      <c r="IOS117" s="573"/>
      <c r="IOT117" s="574"/>
      <c r="IOU117" s="575"/>
      <c r="IOV117" s="583"/>
      <c r="IOW117" s="590"/>
      <c r="IOX117" s="589"/>
      <c r="IOY117" s="585"/>
      <c r="IOZ117" s="577"/>
      <c r="IPA117" s="304"/>
      <c r="IPB117" s="572"/>
      <c r="IPC117" s="573"/>
      <c r="IPD117" s="574"/>
      <c r="IPE117" s="575"/>
      <c r="IPF117" s="583"/>
      <c r="IPG117" s="590"/>
      <c r="IPH117" s="589"/>
      <c r="IPI117" s="585"/>
      <c r="IPJ117" s="577"/>
      <c r="IPK117" s="304"/>
      <c r="IPL117" s="572"/>
      <c r="IPM117" s="573"/>
      <c r="IPN117" s="574"/>
      <c r="IPO117" s="575"/>
      <c r="IPP117" s="583"/>
      <c r="IPQ117" s="590"/>
      <c r="IPR117" s="589"/>
      <c r="IPS117" s="585"/>
      <c r="IPT117" s="577"/>
      <c r="IPU117" s="304"/>
      <c r="IPV117" s="572"/>
      <c r="IPW117" s="573"/>
      <c r="IPX117" s="574"/>
      <c r="IPY117" s="575"/>
      <c r="IPZ117" s="583"/>
      <c r="IQA117" s="590"/>
      <c r="IQB117" s="589"/>
      <c r="IQC117" s="585"/>
      <c r="IQD117" s="577"/>
      <c r="IQE117" s="304"/>
      <c r="IQF117" s="572"/>
      <c r="IQG117" s="573"/>
      <c r="IQH117" s="574"/>
      <c r="IQI117" s="575"/>
      <c r="IQJ117" s="583"/>
      <c r="IQK117" s="590"/>
      <c r="IQL117" s="589"/>
      <c r="IQM117" s="585"/>
      <c r="IQN117" s="577"/>
      <c r="IQO117" s="304"/>
      <c r="IQP117" s="572"/>
      <c r="IQQ117" s="573"/>
      <c r="IQR117" s="574"/>
      <c r="IQS117" s="575"/>
      <c r="IQT117" s="583"/>
      <c r="IQU117" s="590"/>
      <c r="IQV117" s="589"/>
      <c r="IQW117" s="585"/>
      <c r="IQX117" s="577"/>
      <c r="IQY117" s="304"/>
      <c r="IQZ117" s="572"/>
      <c r="IRA117" s="573"/>
      <c r="IRB117" s="574"/>
      <c r="IRC117" s="575"/>
      <c r="IRD117" s="583"/>
      <c r="IRE117" s="590"/>
      <c r="IRF117" s="589"/>
      <c r="IRG117" s="585"/>
      <c r="IRH117" s="577"/>
      <c r="IRI117" s="304"/>
      <c r="IRJ117" s="572"/>
      <c r="IRK117" s="573"/>
      <c r="IRL117" s="574"/>
      <c r="IRM117" s="575"/>
      <c r="IRN117" s="583"/>
      <c r="IRO117" s="590"/>
      <c r="IRP117" s="589"/>
      <c r="IRQ117" s="585"/>
      <c r="IRR117" s="577"/>
      <c r="IRS117" s="304"/>
      <c r="IRT117" s="572"/>
      <c r="IRU117" s="573"/>
      <c r="IRV117" s="574"/>
      <c r="IRW117" s="575"/>
      <c r="IRX117" s="583"/>
      <c r="IRY117" s="590"/>
      <c r="IRZ117" s="589"/>
      <c r="ISA117" s="585"/>
      <c r="ISB117" s="577"/>
      <c r="ISC117" s="304"/>
      <c r="ISD117" s="572"/>
      <c r="ISE117" s="573"/>
      <c r="ISF117" s="574"/>
      <c r="ISG117" s="575"/>
      <c r="ISH117" s="583"/>
      <c r="ISI117" s="590"/>
      <c r="ISJ117" s="589"/>
      <c r="ISK117" s="585"/>
      <c r="ISL117" s="577"/>
      <c r="ISM117" s="304"/>
      <c r="ISN117" s="572"/>
      <c r="ISO117" s="573"/>
      <c r="ISP117" s="574"/>
      <c r="ISQ117" s="575"/>
      <c r="ISR117" s="583"/>
      <c r="ISS117" s="590"/>
      <c r="IST117" s="589"/>
      <c r="ISU117" s="585"/>
      <c r="ISV117" s="577"/>
      <c r="ISW117" s="304"/>
      <c r="ISX117" s="572"/>
      <c r="ISY117" s="573"/>
      <c r="ISZ117" s="574"/>
      <c r="ITA117" s="575"/>
      <c r="ITB117" s="583"/>
      <c r="ITC117" s="590"/>
      <c r="ITD117" s="589"/>
      <c r="ITE117" s="585"/>
      <c r="ITF117" s="577"/>
      <c r="ITG117" s="304"/>
      <c r="ITH117" s="572"/>
      <c r="ITI117" s="573"/>
      <c r="ITJ117" s="574"/>
      <c r="ITK117" s="575"/>
      <c r="ITL117" s="583"/>
      <c r="ITM117" s="590"/>
      <c r="ITN117" s="589"/>
      <c r="ITO117" s="585"/>
      <c r="ITP117" s="577"/>
      <c r="ITQ117" s="304"/>
      <c r="ITR117" s="572"/>
      <c r="ITS117" s="573"/>
      <c r="ITT117" s="574"/>
      <c r="ITU117" s="575"/>
      <c r="ITV117" s="583"/>
      <c r="ITW117" s="590"/>
      <c r="ITX117" s="589"/>
      <c r="ITY117" s="585"/>
      <c r="ITZ117" s="577"/>
      <c r="IUA117" s="304"/>
      <c r="IUB117" s="572"/>
      <c r="IUC117" s="573"/>
      <c r="IUD117" s="574"/>
      <c r="IUE117" s="575"/>
      <c r="IUF117" s="583"/>
      <c r="IUG117" s="590"/>
      <c r="IUH117" s="589"/>
      <c r="IUI117" s="585"/>
      <c r="IUJ117" s="577"/>
      <c r="IUK117" s="304"/>
      <c r="IUL117" s="572"/>
      <c r="IUM117" s="573"/>
      <c r="IUN117" s="574"/>
      <c r="IUO117" s="575"/>
      <c r="IUP117" s="583"/>
      <c r="IUQ117" s="590"/>
      <c r="IUR117" s="589"/>
      <c r="IUS117" s="585"/>
      <c r="IUT117" s="577"/>
      <c r="IUU117" s="304"/>
      <c r="IUV117" s="572"/>
      <c r="IUW117" s="573"/>
      <c r="IUX117" s="574"/>
      <c r="IUY117" s="575"/>
      <c r="IUZ117" s="583"/>
      <c r="IVA117" s="590"/>
      <c r="IVB117" s="589"/>
      <c r="IVC117" s="585"/>
      <c r="IVD117" s="577"/>
      <c r="IVE117" s="304"/>
      <c r="IVF117" s="572"/>
      <c r="IVG117" s="573"/>
      <c r="IVH117" s="574"/>
      <c r="IVI117" s="575"/>
      <c r="IVJ117" s="583"/>
      <c r="IVK117" s="590"/>
      <c r="IVL117" s="589"/>
      <c r="IVM117" s="585"/>
      <c r="IVN117" s="577"/>
      <c r="IVO117" s="304"/>
      <c r="IVP117" s="572"/>
      <c r="IVQ117" s="573"/>
      <c r="IVR117" s="574"/>
      <c r="IVS117" s="575"/>
      <c r="IVT117" s="583"/>
      <c r="IVU117" s="590"/>
      <c r="IVV117" s="589"/>
      <c r="IVW117" s="585"/>
      <c r="IVX117" s="577"/>
      <c r="IVY117" s="304"/>
      <c r="IVZ117" s="572"/>
      <c r="IWA117" s="573"/>
      <c r="IWB117" s="574"/>
      <c r="IWC117" s="575"/>
      <c r="IWD117" s="583"/>
      <c r="IWE117" s="590"/>
      <c r="IWF117" s="589"/>
      <c r="IWG117" s="585"/>
      <c r="IWH117" s="577"/>
      <c r="IWI117" s="304"/>
      <c r="IWJ117" s="572"/>
      <c r="IWK117" s="573"/>
      <c r="IWL117" s="574"/>
      <c r="IWM117" s="575"/>
      <c r="IWN117" s="583"/>
      <c r="IWO117" s="590"/>
      <c r="IWP117" s="589"/>
      <c r="IWQ117" s="585"/>
      <c r="IWR117" s="577"/>
      <c r="IWS117" s="304"/>
      <c r="IWT117" s="572"/>
      <c r="IWU117" s="573"/>
      <c r="IWV117" s="574"/>
      <c r="IWW117" s="575"/>
      <c r="IWX117" s="583"/>
      <c r="IWY117" s="590"/>
      <c r="IWZ117" s="589"/>
      <c r="IXA117" s="585"/>
      <c r="IXB117" s="577"/>
      <c r="IXC117" s="304"/>
      <c r="IXD117" s="572"/>
      <c r="IXE117" s="573"/>
      <c r="IXF117" s="574"/>
      <c r="IXG117" s="575"/>
      <c r="IXH117" s="583"/>
      <c r="IXI117" s="590"/>
      <c r="IXJ117" s="589"/>
      <c r="IXK117" s="585"/>
      <c r="IXL117" s="577"/>
      <c r="IXM117" s="304"/>
      <c r="IXN117" s="572"/>
      <c r="IXO117" s="573"/>
      <c r="IXP117" s="574"/>
      <c r="IXQ117" s="575"/>
      <c r="IXR117" s="583"/>
      <c r="IXS117" s="590"/>
      <c r="IXT117" s="589"/>
      <c r="IXU117" s="585"/>
      <c r="IXV117" s="577"/>
      <c r="IXW117" s="304"/>
      <c r="IXX117" s="572"/>
      <c r="IXY117" s="573"/>
      <c r="IXZ117" s="574"/>
      <c r="IYA117" s="575"/>
      <c r="IYB117" s="583"/>
      <c r="IYC117" s="590"/>
      <c r="IYD117" s="589"/>
      <c r="IYE117" s="585"/>
      <c r="IYF117" s="577"/>
      <c r="IYG117" s="304"/>
      <c r="IYH117" s="572"/>
      <c r="IYI117" s="573"/>
      <c r="IYJ117" s="574"/>
      <c r="IYK117" s="575"/>
      <c r="IYL117" s="583"/>
      <c r="IYM117" s="590"/>
      <c r="IYN117" s="589"/>
      <c r="IYO117" s="585"/>
      <c r="IYP117" s="577"/>
      <c r="IYQ117" s="304"/>
      <c r="IYR117" s="572"/>
      <c r="IYS117" s="573"/>
      <c r="IYT117" s="574"/>
      <c r="IYU117" s="575"/>
      <c r="IYV117" s="583"/>
      <c r="IYW117" s="590"/>
      <c r="IYX117" s="589"/>
      <c r="IYY117" s="585"/>
      <c r="IYZ117" s="577"/>
      <c r="IZA117" s="304"/>
      <c r="IZB117" s="572"/>
      <c r="IZC117" s="573"/>
      <c r="IZD117" s="574"/>
      <c r="IZE117" s="575"/>
      <c r="IZF117" s="583"/>
      <c r="IZG117" s="590"/>
      <c r="IZH117" s="589"/>
      <c r="IZI117" s="585"/>
      <c r="IZJ117" s="577"/>
      <c r="IZK117" s="304"/>
      <c r="IZL117" s="572"/>
      <c r="IZM117" s="573"/>
      <c r="IZN117" s="574"/>
      <c r="IZO117" s="575"/>
      <c r="IZP117" s="583"/>
      <c r="IZQ117" s="590"/>
      <c r="IZR117" s="589"/>
      <c r="IZS117" s="585"/>
      <c r="IZT117" s="577"/>
      <c r="IZU117" s="304"/>
      <c r="IZV117" s="572"/>
      <c r="IZW117" s="573"/>
      <c r="IZX117" s="574"/>
      <c r="IZY117" s="575"/>
      <c r="IZZ117" s="583"/>
      <c r="JAA117" s="590"/>
      <c r="JAB117" s="589"/>
      <c r="JAC117" s="585"/>
      <c r="JAD117" s="577"/>
      <c r="JAE117" s="304"/>
      <c r="JAF117" s="572"/>
      <c r="JAG117" s="573"/>
      <c r="JAH117" s="574"/>
      <c r="JAI117" s="575"/>
      <c r="JAJ117" s="583"/>
      <c r="JAK117" s="590"/>
      <c r="JAL117" s="589"/>
      <c r="JAM117" s="585"/>
      <c r="JAN117" s="577"/>
      <c r="JAO117" s="304"/>
      <c r="JAP117" s="572"/>
      <c r="JAQ117" s="573"/>
      <c r="JAR117" s="574"/>
      <c r="JAS117" s="575"/>
      <c r="JAT117" s="583"/>
      <c r="JAU117" s="590"/>
      <c r="JAV117" s="589"/>
      <c r="JAW117" s="585"/>
      <c r="JAX117" s="577"/>
      <c r="JAY117" s="304"/>
      <c r="JAZ117" s="572"/>
      <c r="JBA117" s="573"/>
      <c r="JBB117" s="574"/>
      <c r="JBC117" s="575"/>
      <c r="JBD117" s="583"/>
      <c r="JBE117" s="590"/>
      <c r="JBF117" s="589"/>
      <c r="JBG117" s="585"/>
      <c r="JBH117" s="577"/>
      <c r="JBI117" s="304"/>
      <c r="JBJ117" s="572"/>
      <c r="JBK117" s="573"/>
      <c r="JBL117" s="574"/>
      <c r="JBM117" s="575"/>
      <c r="JBN117" s="583"/>
      <c r="JBO117" s="590"/>
      <c r="JBP117" s="589"/>
      <c r="JBQ117" s="585"/>
      <c r="JBR117" s="577"/>
      <c r="JBS117" s="304"/>
      <c r="JBT117" s="572"/>
      <c r="JBU117" s="573"/>
      <c r="JBV117" s="574"/>
      <c r="JBW117" s="575"/>
      <c r="JBX117" s="583"/>
      <c r="JBY117" s="590"/>
      <c r="JBZ117" s="589"/>
      <c r="JCA117" s="585"/>
      <c r="JCB117" s="577"/>
      <c r="JCC117" s="304"/>
      <c r="JCD117" s="572"/>
      <c r="JCE117" s="573"/>
      <c r="JCF117" s="574"/>
      <c r="JCG117" s="575"/>
      <c r="JCH117" s="583"/>
      <c r="JCI117" s="590"/>
      <c r="JCJ117" s="589"/>
      <c r="JCK117" s="585"/>
      <c r="JCL117" s="577"/>
      <c r="JCM117" s="304"/>
      <c r="JCN117" s="572"/>
      <c r="JCO117" s="573"/>
      <c r="JCP117" s="574"/>
      <c r="JCQ117" s="575"/>
      <c r="JCR117" s="583"/>
      <c r="JCS117" s="590"/>
      <c r="JCT117" s="589"/>
      <c r="JCU117" s="585"/>
      <c r="JCV117" s="577"/>
      <c r="JCW117" s="304"/>
      <c r="JCX117" s="572"/>
      <c r="JCY117" s="573"/>
      <c r="JCZ117" s="574"/>
      <c r="JDA117" s="575"/>
      <c r="JDB117" s="583"/>
      <c r="JDC117" s="590"/>
      <c r="JDD117" s="589"/>
      <c r="JDE117" s="585"/>
      <c r="JDF117" s="577"/>
      <c r="JDG117" s="304"/>
      <c r="JDH117" s="572"/>
      <c r="JDI117" s="573"/>
      <c r="JDJ117" s="574"/>
      <c r="JDK117" s="575"/>
      <c r="JDL117" s="583"/>
      <c r="JDM117" s="590"/>
      <c r="JDN117" s="589"/>
      <c r="JDO117" s="585"/>
      <c r="JDP117" s="577"/>
      <c r="JDQ117" s="304"/>
      <c r="JDR117" s="572"/>
      <c r="JDS117" s="573"/>
      <c r="JDT117" s="574"/>
      <c r="JDU117" s="575"/>
      <c r="JDV117" s="583"/>
      <c r="JDW117" s="590"/>
      <c r="JDX117" s="589"/>
      <c r="JDY117" s="585"/>
      <c r="JDZ117" s="577"/>
      <c r="JEA117" s="304"/>
      <c r="JEB117" s="572"/>
      <c r="JEC117" s="573"/>
      <c r="JED117" s="574"/>
      <c r="JEE117" s="575"/>
      <c r="JEF117" s="583"/>
      <c r="JEG117" s="590"/>
      <c r="JEH117" s="589"/>
      <c r="JEI117" s="585"/>
      <c r="JEJ117" s="577"/>
      <c r="JEK117" s="304"/>
      <c r="JEL117" s="572"/>
      <c r="JEM117" s="573"/>
      <c r="JEN117" s="574"/>
      <c r="JEO117" s="575"/>
      <c r="JEP117" s="583"/>
      <c r="JEQ117" s="590"/>
      <c r="JER117" s="589"/>
      <c r="JES117" s="585"/>
      <c r="JET117" s="577"/>
      <c r="JEU117" s="304"/>
      <c r="JEV117" s="572"/>
      <c r="JEW117" s="573"/>
      <c r="JEX117" s="574"/>
      <c r="JEY117" s="575"/>
      <c r="JEZ117" s="583"/>
      <c r="JFA117" s="590"/>
      <c r="JFB117" s="589"/>
      <c r="JFC117" s="585"/>
      <c r="JFD117" s="577"/>
      <c r="JFE117" s="304"/>
      <c r="JFF117" s="572"/>
      <c r="JFG117" s="573"/>
      <c r="JFH117" s="574"/>
      <c r="JFI117" s="575"/>
      <c r="JFJ117" s="583"/>
      <c r="JFK117" s="590"/>
      <c r="JFL117" s="589"/>
      <c r="JFM117" s="585"/>
      <c r="JFN117" s="577"/>
      <c r="JFO117" s="304"/>
      <c r="JFP117" s="572"/>
      <c r="JFQ117" s="573"/>
      <c r="JFR117" s="574"/>
      <c r="JFS117" s="575"/>
      <c r="JFT117" s="583"/>
      <c r="JFU117" s="590"/>
      <c r="JFV117" s="589"/>
      <c r="JFW117" s="585"/>
      <c r="JFX117" s="577"/>
      <c r="JFY117" s="304"/>
      <c r="JFZ117" s="572"/>
      <c r="JGA117" s="573"/>
      <c r="JGB117" s="574"/>
      <c r="JGC117" s="575"/>
      <c r="JGD117" s="583"/>
      <c r="JGE117" s="590"/>
      <c r="JGF117" s="589"/>
      <c r="JGG117" s="585"/>
      <c r="JGH117" s="577"/>
      <c r="JGI117" s="304"/>
      <c r="JGJ117" s="572"/>
      <c r="JGK117" s="573"/>
      <c r="JGL117" s="574"/>
      <c r="JGM117" s="575"/>
      <c r="JGN117" s="583"/>
      <c r="JGO117" s="590"/>
      <c r="JGP117" s="589"/>
      <c r="JGQ117" s="585"/>
      <c r="JGR117" s="577"/>
      <c r="JGS117" s="304"/>
      <c r="JGT117" s="572"/>
      <c r="JGU117" s="573"/>
      <c r="JGV117" s="574"/>
      <c r="JGW117" s="575"/>
      <c r="JGX117" s="583"/>
      <c r="JGY117" s="590"/>
      <c r="JGZ117" s="589"/>
      <c r="JHA117" s="585"/>
      <c r="JHB117" s="577"/>
      <c r="JHC117" s="304"/>
      <c r="JHD117" s="572"/>
      <c r="JHE117" s="573"/>
      <c r="JHF117" s="574"/>
      <c r="JHG117" s="575"/>
      <c r="JHH117" s="583"/>
      <c r="JHI117" s="590"/>
      <c r="JHJ117" s="589"/>
      <c r="JHK117" s="585"/>
      <c r="JHL117" s="577"/>
      <c r="JHM117" s="304"/>
      <c r="JHN117" s="572"/>
      <c r="JHO117" s="573"/>
      <c r="JHP117" s="574"/>
      <c r="JHQ117" s="575"/>
      <c r="JHR117" s="583"/>
      <c r="JHS117" s="590"/>
      <c r="JHT117" s="589"/>
      <c r="JHU117" s="585"/>
      <c r="JHV117" s="577"/>
      <c r="JHW117" s="304"/>
      <c r="JHX117" s="572"/>
      <c r="JHY117" s="573"/>
      <c r="JHZ117" s="574"/>
      <c r="JIA117" s="575"/>
      <c r="JIB117" s="583"/>
      <c r="JIC117" s="590"/>
      <c r="JID117" s="589"/>
      <c r="JIE117" s="585"/>
      <c r="JIF117" s="577"/>
      <c r="JIG117" s="304"/>
      <c r="JIH117" s="572"/>
      <c r="JII117" s="573"/>
      <c r="JIJ117" s="574"/>
      <c r="JIK117" s="575"/>
      <c r="JIL117" s="583"/>
      <c r="JIM117" s="590"/>
      <c r="JIN117" s="589"/>
      <c r="JIO117" s="585"/>
      <c r="JIP117" s="577"/>
      <c r="JIQ117" s="304"/>
      <c r="JIR117" s="572"/>
      <c r="JIS117" s="573"/>
      <c r="JIT117" s="574"/>
      <c r="JIU117" s="575"/>
      <c r="JIV117" s="583"/>
      <c r="JIW117" s="590"/>
      <c r="JIX117" s="589"/>
      <c r="JIY117" s="585"/>
      <c r="JIZ117" s="577"/>
      <c r="JJA117" s="304"/>
      <c r="JJB117" s="572"/>
      <c r="JJC117" s="573"/>
      <c r="JJD117" s="574"/>
      <c r="JJE117" s="575"/>
      <c r="JJF117" s="583"/>
      <c r="JJG117" s="590"/>
      <c r="JJH117" s="589"/>
      <c r="JJI117" s="585"/>
      <c r="JJJ117" s="577"/>
      <c r="JJK117" s="304"/>
      <c r="JJL117" s="572"/>
      <c r="JJM117" s="573"/>
      <c r="JJN117" s="574"/>
      <c r="JJO117" s="575"/>
      <c r="JJP117" s="583"/>
      <c r="JJQ117" s="590"/>
      <c r="JJR117" s="589"/>
      <c r="JJS117" s="585"/>
      <c r="JJT117" s="577"/>
      <c r="JJU117" s="304"/>
      <c r="JJV117" s="572"/>
      <c r="JJW117" s="573"/>
      <c r="JJX117" s="574"/>
      <c r="JJY117" s="575"/>
      <c r="JJZ117" s="583"/>
      <c r="JKA117" s="590"/>
      <c r="JKB117" s="589"/>
      <c r="JKC117" s="585"/>
      <c r="JKD117" s="577"/>
      <c r="JKE117" s="304"/>
      <c r="JKF117" s="572"/>
      <c r="JKG117" s="573"/>
      <c r="JKH117" s="574"/>
      <c r="JKI117" s="575"/>
      <c r="JKJ117" s="583"/>
      <c r="JKK117" s="590"/>
      <c r="JKL117" s="589"/>
      <c r="JKM117" s="585"/>
      <c r="JKN117" s="577"/>
      <c r="JKO117" s="304"/>
      <c r="JKP117" s="572"/>
      <c r="JKQ117" s="573"/>
      <c r="JKR117" s="574"/>
      <c r="JKS117" s="575"/>
      <c r="JKT117" s="583"/>
      <c r="JKU117" s="590"/>
      <c r="JKV117" s="589"/>
      <c r="JKW117" s="585"/>
      <c r="JKX117" s="577"/>
      <c r="JKY117" s="304"/>
      <c r="JKZ117" s="572"/>
      <c r="JLA117" s="573"/>
      <c r="JLB117" s="574"/>
      <c r="JLC117" s="575"/>
      <c r="JLD117" s="583"/>
      <c r="JLE117" s="590"/>
      <c r="JLF117" s="589"/>
      <c r="JLG117" s="585"/>
      <c r="JLH117" s="577"/>
      <c r="JLI117" s="304"/>
      <c r="JLJ117" s="572"/>
      <c r="JLK117" s="573"/>
      <c r="JLL117" s="574"/>
      <c r="JLM117" s="575"/>
      <c r="JLN117" s="583"/>
      <c r="JLO117" s="590"/>
      <c r="JLP117" s="589"/>
      <c r="JLQ117" s="585"/>
      <c r="JLR117" s="577"/>
      <c r="JLS117" s="304"/>
      <c r="JLT117" s="572"/>
      <c r="JLU117" s="573"/>
      <c r="JLV117" s="574"/>
      <c r="JLW117" s="575"/>
      <c r="JLX117" s="583"/>
      <c r="JLY117" s="590"/>
      <c r="JLZ117" s="589"/>
      <c r="JMA117" s="585"/>
      <c r="JMB117" s="577"/>
      <c r="JMC117" s="304"/>
      <c r="JMD117" s="572"/>
      <c r="JME117" s="573"/>
      <c r="JMF117" s="574"/>
      <c r="JMG117" s="575"/>
      <c r="JMH117" s="583"/>
      <c r="JMI117" s="590"/>
      <c r="JMJ117" s="589"/>
      <c r="JMK117" s="585"/>
      <c r="JML117" s="577"/>
      <c r="JMM117" s="304"/>
      <c r="JMN117" s="572"/>
      <c r="JMO117" s="573"/>
      <c r="JMP117" s="574"/>
      <c r="JMQ117" s="575"/>
      <c r="JMR117" s="583"/>
      <c r="JMS117" s="590"/>
      <c r="JMT117" s="589"/>
      <c r="JMU117" s="585"/>
      <c r="JMV117" s="577"/>
      <c r="JMW117" s="304"/>
      <c r="JMX117" s="572"/>
      <c r="JMY117" s="573"/>
      <c r="JMZ117" s="574"/>
      <c r="JNA117" s="575"/>
      <c r="JNB117" s="583"/>
      <c r="JNC117" s="590"/>
      <c r="JND117" s="589"/>
      <c r="JNE117" s="585"/>
      <c r="JNF117" s="577"/>
      <c r="JNG117" s="304"/>
      <c r="JNH117" s="572"/>
      <c r="JNI117" s="573"/>
      <c r="JNJ117" s="574"/>
      <c r="JNK117" s="575"/>
      <c r="JNL117" s="583"/>
      <c r="JNM117" s="590"/>
      <c r="JNN117" s="589"/>
      <c r="JNO117" s="585"/>
      <c r="JNP117" s="577"/>
      <c r="JNQ117" s="304"/>
      <c r="JNR117" s="572"/>
      <c r="JNS117" s="573"/>
      <c r="JNT117" s="574"/>
      <c r="JNU117" s="575"/>
      <c r="JNV117" s="583"/>
      <c r="JNW117" s="590"/>
      <c r="JNX117" s="589"/>
      <c r="JNY117" s="585"/>
      <c r="JNZ117" s="577"/>
      <c r="JOA117" s="304"/>
      <c r="JOB117" s="572"/>
      <c r="JOC117" s="573"/>
      <c r="JOD117" s="574"/>
      <c r="JOE117" s="575"/>
      <c r="JOF117" s="583"/>
      <c r="JOG117" s="590"/>
      <c r="JOH117" s="589"/>
      <c r="JOI117" s="585"/>
      <c r="JOJ117" s="577"/>
      <c r="JOK117" s="304"/>
      <c r="JOL117" s="572"/>
      <c r="JOM117" s="573"/>
      <c r="JON117" s="574"/>
      <c r="JOO117" s="575"/>
      <c r="JOP117" s="583"/>
      <c r="JOQ117" s="590"/>
      <c r="JOR117" s="589"/>
      <c r="JOS117" s="585"/>
      <c r="JOT117" s="577"/>
      <c r="JOU117" s="304"/>
      <c r="JOV117" s="572"/>
      <c r="JOW117" s="573"/>
      <c r="JOX117" s="574"/>
      <c r="JOY117" s="575"/>
      <c r="JOZ117" s="583"/>
      <c r="JPA117" s="590"/>
      <c r="JPB117" s="589"/>
      <c r="JPC117" s="585"/>
      <c r="JPD117" s="577"/>
      <c r="JPE117" s="304"/>
      <c r="JPF117" s="572"/>
      <c r="JPG117" s="573"/>
      <c r="JPH117" s="574"/>
      <c r="JPI117" s="575"/>
      <c r="JPJ117" s="583"/>
      <c r="JPK117" s="590"/>
      <c r="JPL117" s="589"/>
      <c r="JPM117" s="585"/>
      <c r="JPN117" s="577"/>
      <c r="JPO117" s="304"/>
      <c r="JPP117" s="572"/>
      <c r="JPQ117" s="573"/>
      <c r="JPR117" s="574"/>
      <c r="JPS117" s="575"/>
      <c r="JPT117" s="583"/>
      <c r="JPU117" s="590"/>
      <c r="JPV117" s="589"/>
      <c r="JPW117" s="585"/>
      <c r="JPX117" s="577"/>
      <c r="JPY117" s="304"/>
      <c r="JPZ117" s="572"/>
      <c r="JQA117" s="573"/>
      <c r="JQB117" s="574"/>
      <c r="JQC117" s="575"/>
      <c r="JQD117" s="583"/>
      <c r="JQE117" s="590"/>
      <c r="JQF117" s="589"/>
      <c r="JQG117" s="585"/>
      <c r="JQH117" s="577"/>
      <c r="JQI117" s="304"/>
      <c r="JQJ117" s="572"/>
      <c r="JQK117" s="573"/>
      <c r="JQL117" s="574"/>
      <c r="JQM117" s="575"/>
      <c r="JQN117" s="583"/>
      <c r="JQO117" s="590"/>
      <c r="JQP117" s="589"/>
      <c r="JQQ117" s="585"/>
      <c r="JQR117" s="577"/>
      <c r="JQS117" s="304"/>
      <c r="JQT117" s="572"/>
      <c r="JQU117" s="573"/>
      <c r="JQV117" s="574"/>
      <c r="JQW117" s="575"/>
      <c r="JQX117" s="583"/>
      <c r="JQY117" s="590"/>
      <c r="JQZ117" s="589"/>
      <c r="JRA117" s="585"/>
      <c r="JRB117" s="577"/>
      <c r="JRC117" s="304"/>
      <c r="JRD117" s="572"/>
      <c r="JRE117" s="573"/>
      <c r="JRF117" s="574"/>
      <c r="JRG117" s="575"/>
      <c r="JRH117" s="583"/>
      <c r="JRI117" s="590"/>
      <c r="JRJ117" s="589"/>
      <c r="JRK117" s="585"/>
      <c r="JRL117" s="577"/>
      <c r="JRM117" s="304"/>
      <c r="JRN117" s="572"/>
      <c r="JRO117" s="573"/>
      <c r="JRP117" s="574"/>
      <c r="JRQ117" s="575"/>
      <c r="JRR117" s="583"/>
      <c r="JRS117" s="590"/>
      <c r="JRT117" s="589"/>
      <c r="JRU117" s="585"/>
      <c r="JRV117" s="577"/>
      <c r="JRW117" s="304"/>
      <c r="JRX117" s="572"/>
      <c r="JRY117" s="573"/>
      <c r="JRZ117" s="574"/>
      <c r="JSA117" s="575"/>
      <c r="JSB117" s="583"/>
      <c r="JSC117" s="590"/>
      <c r="JSD117" s="589"/>
      <c r="JSE117" s="585"/>
      <c r="JSF117" s="577"/>
      <c r="JSG117" s="304"/>
      <c r="JSH117" s="572"/>
      <c r="JSI117" s="573"/>
      <c r="JSJ117" s="574"/>
      <c r="JSK117" s="575"/>
      <c r="JSL117" s="583"/>
      <c r="JSM117" s="590"/>
      <c r="JSN117" s="589"/>
      <c r="JSO117" s="585"/>
      <c r="JSP117" s="577"/>
      <c r="JSQ117" s="304"/>
      <c r="JSR117" s="572"/>
      <c r="JSS117" s="573"/>
      <c r="JST117" s="574"/>
      <c r="JSU117" s="575"/>
      <c r="JSV117" s="583"/>
      <c r="JSW117" s="590"/>
      <c r="JSX117" s="589"/>
      <c r="JSY117" s="585"/>
      <c r="JSZ117" s="577"/>
      <c r="JTA117" s="304"/>
      <c r="JTB117" s="572"/>
      <c r="JTC117" s="573"/>
      <c r="JTD117" s="574"/>
      <c r="JTE117" s="575"/>
      <c r="JTF117" s="583"/>
      <c r="JTG117" s="590"/>
      <c r="JTH117" s="589"/>
      <c r="JTI117" s="585"/>
      <c r="JTJ117" s="577"/>
      <c r="JTK117" s="304"/>
      <c r="JTL117" s="572"/>
      <c r="JTM117" s="573"/>
      <c r="JTN117" s="574"/>
      <c r="JTO117" s="575"/>
      <c r="JTP117" s="583"/>
      <c r="JTQ117" s="590"/>
      <c r="JTR117" s="589"/>
      <c r="JTS117" s="585"/>
      <c r="JTT117" s="577"/>
      <c r="JTU117" s="304"/>
      <c r="JTV117" s="572"/>
      <c r="JTW117" s="573"/>
      <c r="JTX117" s="574"/>
      <c r="JTY117" s="575"/>
      <c r="JTZ117" s="583"/>
      <c r="JUA117" s="590"/>
      <c r="JUB117" s="589"/>
      <c r="JUC117" s="585"/>
      <c r="JUD117" s="577"/>
      <c r="JUE117" s="304"/>
      <c r="JUF117" s="572"/>
      <c r="JUG117" s="573"/>
      <c r="JUH117" s="574"/>
      <c r="JUI117" s="575"/>
      <c r="JUJ117" s="583"/>
      <c r="JUK117" s="590"/>
      <c r="JUL117" s="589"/>
      <c r="JUM117" s="585"/>
      <c r="JUN117" s="577"/>
      <c r="JUO117" s="304"/>
      <c r="JUP117" s="572"/>
      <c r="JUQ117" s="573"/>
      <c r="JUR117" s="574"/>
      <c r="JUS117" s="575"/>
      <c r="JUT117" s="583"/>
      <c r="JUU117" s="590"/>
      <c r="JUV117" s="589"/>
      <c r="JUW117" s="585"/>
      <c r="JUX117" s="577"/>
      <c r="JUY117" s="304"/>
      <c r="JUZ117" s="572"/>
      <c r="JVA117" s="573"/>
      <c r="JVB117" s="574"/>
      <c r="JVC117" s="575"/>
      <c r="JVD117" s="583"/>
      <c r="JVE117" s="590"/>
      <c r="JVF117" s="589"/>
      <c r="JVG117" s="585"/>
      <c r="JVH117" s="577"/>
      <c r="JVI117" s="304"/>
      <c r="JVJ117" s="572"/>
      <c r="JVK117" s="573"/>
      <c r="JVL117" s="574"/>
      <c r="JVM117" s="575"/>
      <c r="JVN117" s="583"/>
      <c r="JVO117" s="590"/>
      <c r="JVP117" s="589"/>
      <c r="JVQ117" s="585"/>
      <c r="JVR117" s="577"/>
      <c r="JVS117" s="304"/>
      <c r="JVT117" s="572"/>
      <c r="JVU117" s="573"/>
      <c r="JVV117" s="574"/>
      <c r="JVW117" s="575"/>
      <c r="JVX117" s="583"/>
      <c r="JVY117" s="590"/>
      <c r="JVZ117" s="589"/>
      <c r="JWA117" s="585"/>
      <c r="JWB117" s="577"/>
      <c r="JWC117" s="304"/>
      <c r="JWD117" s="572"/>
      <c r="JWE117" s="573"/>
      <c r="JWF117" s="574"/>
      <c r="JWG117" s="575"/>
      <c r="JWH117" s="583"/>
      <c r="JWI117" s="590"/>
      <c r="JWJ117" s="589"/>
      <c r="JWK117" s="585"/>
      <c r="JWL117" s="577"/>
      <c r="JWM117" s="304"/>
      <c r="JWN117" s="572"/>
      <c r="JWO117" s="573"/>
      <c r="JWP117" s="574"/>
      <c r="JWQ117" s="575"/>
      <c r="JWR117" s="583"/>
      <c r="JWS117" s="590"/>
      <c r="JWT117" s="589"/>
      <c r="JWU117" s="585"/>
      <c r="JWV117" s="577"/>
      <c r="JWW117" s="304"/>
      <c r="JWX117" s="572"/>
      <c r="JWY117" s="573"/>
      <c r="JWZ117" s="574"/>
      <c r="JXA117" s="575"/>
      <c r="JXB117" s="583"/>
      <c r="JXC117" s="590"/>
      <c r="JXD117" s="589"/>
      <c r="JXE117" s="585"/>
      <c r="JXF117" s="577"/>
      <c r="JXG117" s="304"/>
      <c r="JXH117" s="572"/>
      <c r="JXI117" s="573"/>
      <c r="JXJ117" s="574"/>
      <c r="JXK117" s="575"/>
      <c r="JXL117" s="583"/>
      <c r="JXM117" s="590"/>
      <c r="JXN117" s="589"/>
      <c r="JXO117" s="585"/>
      <c r="JXP117" s="577"/>
      <c r="JXQ117" s="304"/>
      <c r="JXR117" s="572"/>
      <c r="JXS117" s="573"/>
      <c r="JXT117" s="574"/>
      <c r="JXU117" s="575"/>
      <c r="JXV117" s="583"/>
      <c r="JXW117" s="590"/>
      <c r="JXX117" s="589"/>
      <c r="JXY117" s="585"/>
      <c r="JXZ117" s="577"/>
      <c r="JYA117" s="304"/>
      <c r="JYB117" s="572"/>
      <c r="JYC117" s="573"/>
      <c r="JYD117" s="574"/>
      <c r="JYE117" s="575"/>
      <c r="JYF117" s="583"/>
      <c r="JYG117" s="590"/>
      <c r="JYH117" s="589"/>
      <c r="JYI117" s="585"/>
      <c r="JYJ117" s="577"/>
      <c r="JYK117" s="304"/>
      <c r="JYL117" s="572"/>
      <c r="JYM117" s="573"/>
      <c r="JYN117" s="574"/>
      <c r="JYO117" s="575"/>
      <c r="JYP117" s="583"/>
      <c r="JYQ117" s="590"/>
      <c r="JYR117" s="589"/>
      <c r="JYS117" s="585"/>
      <c r="JYT117" s="577"/>
      <c r="JYU117" s="304"/>
      <c r="JYV117" s="572"/>
      <c r="JYW117" s="573"/>
      <c r="JYX117" s="574"/>
      <c r="JYY117" s="575"/>
      <c r="JYZ117" s="583"/>
      <c r="JZA117" s="590"/>
      <c r="JZB117" s="589"/>
      <c r="JZC117" s="585"/>
      <c r="JZD117" s="577"/>
      <c r="JZE117" s="304"/>
      <c r="JZF117" s="572"/>
      <c r="JZG117" s="573"/>
      <c r="JZH117" s="574"/>
      <c r="JZI117" s="575"/>
      <c r="JZJ117" s="583"/>
      <c r="JZK117" s="590"/>
      <c r="JZL117" s="589"/>
      <c r="JZM117" s="585"/>
      <c r="JZN117" s="577"/>
      <c r="JZO117" s="304"/>
      <c r="JZP117" s="572"/>
      <c r="JZQ117" s="573"/>
      <c r="JZR117" s="574"/>
      <c r="JZS117" s="575"/>
      <c r="JZT117" s="583"/>
      <c r="JZU117" s="590"/>
      <c r="JZV117" s="589"/>
      <c r="JZW117" s="585"/>
      <c r="JZX117" s="577"/>
      <c r="JZY117" s="304"/>
      <c r="JZZ117" s="572"/>
      <c r="KAA117" s="573"/>
      <c r="KAB117" s="574"/>
      <c r="KAC117" s="575"/>
      <c r="KAD117" s="583"/>
      <c r="KAE117" s="590"/>
      <c r="KAF117" s="589"/>
      <c r="KAG117" s="585"/>
      <c r="KAH117" s="577"/>
      <c r="KAI117" s="304"/>
      <c r="KAJ117" s="572"/>
      <c r="KAK117" s="573"/>
      <c r="KAL117" s="574"/>
      <c r="KAM117" s="575"/>
      <c r="KAN117" s="583"/>
      <c r="KAO117" s="590"/>
      <c r="KAP117" s="589"/>
      <c r="KAQ117" s="585"/>
      <c r="KAR117" s="577"/>
      <c r="KAS117" s="304"/>
      <c r="KAT117" s="572"/>
      <c r="KAU117" s="573"/>
      <c r="KAV117" s="574"/>
      <c r="KAW117" s="575"/>
      <c r="KAX117" s="583"/>
      <c r="KAY117" s="590"/>
      <c r="KAZ117" s="589"/>
      <c r="KBA117" s="585"/>
      <c r="KBB117" s="577"/>
      <c r="KBC117" s="304"/>
      <c r="KBD117" s="572"/>
      <c r="KBE117" s="573"/>
      <c r="KBF117" s="574"/>
      <c r="KBG117" s="575"/>
      <c r="KBH117" s="583"/>
      <c r="KBI117" s="590"/>
      <c r="KBJ117" s="589"/>
      <c r="KBK117" s="585"/>
      <c r="KBL117" s="577"/>
      <c r="KBM117" s="304"/>
      <c r="KBN117" s="572"/>
      <c r="KBO117" s="573"/>
      <c r="KBP117" s="574"/>
      <c r="KBQ117" s="575"/>
      <c r="KBR117" s="583"/>
      <c r="KBS117" s="590"/>
      <c r="KBT117" s="589"/>
      <c r="KBU117" s="585"/>
      <c r="KBV117" s="577"/>
      <c r="KBW117" s="304"/>
      <c r="KBX117" s="572"/>
      <c r="KBY117" s="573"/>
      <c r="KBZ117" s="574"/>
      <c r="KCA117" s="575"/>
      <c r="KCB117" s="583"/>
      <c r="KCC117" s="590"/>
      <c r="KCD117" s="589"/>
      <c r="KCE117" s="585"/>
      <c r="KCF117" s="577"/>
      <c r="KCG117" s="304"/>
      <c r="KCH117" s="572"/>
      <c r="KCI117" s="573"/>
      <c r="KCJ117" s="574"/>
      <c r="KCK117" s="575"/>
      <c r="KCL117" s="583"/>
      <c r="KCM117" s="590"/>
      <c r="KCN117" s="589"/>
      <c r="KCO117" s="585"/>
      <c r="KCP117" s="577"/>
      <c r="KCQ117" s="304"/>
      <c r="KCR117" s="572"/>
      <c r="KCS117" s="573"/>
      <c r="KCT117" s="574"/>
      <c r="KCU117" s="575"/>
      <c r="KCV117" s="583"/>
      <c r="KCW117" s="590"/>
      <c r="KCX117" s="589"/>
      <c r="KCY117" s="585"/>
      <c r="KCZ117" s="577"/>
      <c r="KDA117" s="304"/>
      <c r="KDB117" s="572"/>
      <c r="KDC117" s="573"/>
      <c r="KDD117" s="574"/>
      <c r="KDE117" s="575"/>
      <c r="KDF117" s="583"/>
      <c r="KDG117" s="590"/>
      <c r="KDH117" s="589"/>
      <c r="KDI117" s="585"/>
      <c r="KDJ117" s="577"/>
      <c r="KDK117" s="304"/>
      <c r="KDL117" s="572"/>
      <c r="KDM117" s="573"/>
      <c r="KDN117" s="574"/>
      <c r="KDO117" s="575"/>
      <c r="KDP117" s="583"/>
      <c r="KDQ117" s="590"/>
      <c r="KDR117" s="589"/>
      <c r="KDS117" s="585"/>
      <c r="KDT117" s="577"/>
      <c r="KDU117" s="304"/>
      <c r="KDV117" s="572"/>
      <c r="KDW117" s="573"/>
      <c r="KDX117" s="574"/>
      <c r="KDY117" s="575"/>
      <c r="KDZ117" s="583"/>
      <c r="KEA117" s="590"/>
      <c r="KEB117" s="589"/>
      <c r="KEC117" s="585"/>
      <c r="KED117" s="577"/>
      <c r="KEE117" s="304"/>
      <c r="KEF117" s="572"/>
      <c r="KEG117" s="573"/>
      <c r="KEH117" s="574"/>
      <c r="KEI117" s="575"/>
      <c r="KEJ117" s="583"/>
      <c r="KEK117" s="590"/>
      <c r="KEL117" s="589"/>
      <c r="KEM117" s="585"/>
      <c r="KEN117" s="577"/>
      <c r="KEO117" s="304"/>
      <c r="KEP117" s="572"/>
      <c r="KEQ117" s="573"/>
      <c r="KER117" s="574"/>
      <c r="KES117" s="575"/>
      <c r="KET117" s="583"/>
      <c r="KEU117" s="590"/>
      <c r="KEV117" s="589"/>
      <c r="KEW117" s="585"/>
      <c r="KEX117" s="577"/>
      <c r="KEY117" s="304"/>
      <c r="KEZ117" s="572"/>
      <c r="KFA117" s="573"/>
      <c r="KFB117" s="574"/>
      <c r="KFC117" s="575"/>
      <c r="KFD117" s="583"/>
      <c r="KFE117" s="590"/>
      <c r="KFF117" s="589"/>
      <c r="KFG117" s="585"/>
      <c r="KFH117" s="577"/>
      <c r="KFI117" s="304"/>
      <c r="KFJ117" s="572"/>
      <c r="KFK117" s="573"/>
      <c r="KFL117" s="574"/>
      <c r="KFM117" s="575"/>
      <c r="KFN117" s="583"/>
      <c r="KFO117" s="590"/>
      <c r="KFP117" s="589"/>
      <c r="KFQ117" s="585"/>
      <c r="KFR117" s="577"/>
      <c r="KFS117" s="304"/>
      <c r="KFT117" s="572"/>
      <c r="KFU117" s="573"/>
      <c r="KFV117" s="574"/>
      <c r="KFW117" s="575"/>
      <c r="KFX117" s="583"/>
      <c r="KFY117" s="590"/>
      <c r="KFZ117" s="589"/>
      <c r="KGA117" s="585"/>
      <c r="KGB117" s="577"/>
      <c r="KGC117" s="304"/>
      <c r="KGD117" s="572"/>
      <c r="KGE117" s="573"/>
      <c r="KGF117" s="574"/>
      <c r="KGG117" s="575"/>
      <c r="KGH117" s="583"/>
      <c r="KGI117" s="590"/>
      <c r="KGJ117" s="589"/>
      <c r="KGK117" s="585"/>
      <c r="KGL117" s="577"/>
      <c r="KGM117" s="304"/>
      <c r="KGN117" s="572"/>
      <c r="KGO117" s="573"/>
      <c r="KGP117" s="574"/>
      <c r="KGQ117" s="575"/>
      <c r="KGR117" s="583"/>
      <c r="KGS117" s="590"/>
      <c r="KGT117" s="589"/>
      <c r="KGU117" s="585"/>
      <c r="KGV117" s="577"/>
      <c r="KGW117" s="304"/>
      <c r="KGX117" s="572"/>
      <c r="KGY117" s="573"/>
      <c r="KGZ117" s="574"/>
      <c r="KHA117" s="575"/>
      <c r="KHB117" s="583"/>
      <c r="KHC117" s="590"/>
      <c r="KHD117" s="589"/>
      <c r="KHE117" s="585"/>
      <c r="KHF117" s="577"/>
      <c r="KHG117" s="304"/>
      <c r="KHH117" s="572"/>
      <c r="KHI117" s="573"/>
      <c r="KHJ117" s="574"/>
      <c r="KHK117" s="575"/>
      <c r="KHL117" s="583"/>
      <c r="KHM117" s="590"/>
      <c r="KHN117" s="589"/>
      <c r="KHO117" s="585"/>
      <c r="KHP117" s="577"/>
      <c r="KHQ117" s="304"/>
      <c r="KHR117" s="572"/>
      <c r="KHS117" s="573"/>
      <c r="KHT117" s="574"/>
      <c r="KHU117" s="575"/>
      <c r="KHV117" s="583"/>
      <c r="KHW117" s="590"/>
      <c r="KHX117" s="589"/>
      <c r="KHY117" s="585"/>
      <c r="KHZ117" s="577"/>
      <c r="KIA117" s="304"/>
      <c r="KIB117" s="572"/>
      <c r="KIC117" s="573"/>
      <c r="KID117" s="574"/>
      <c r="KIE117" s="575"/>
      <c r="KIF117" s="583"/>
      <c r="KIG117" s="590"/>
      <c r="KIH117" s="589"/>
      <c r="KII117" s="585"/>
      <c r="KIJ117" s="577"/>
      <c r="KIK117" s="304"/>
      <c r="KIL117" s="572"/>
      <c r="KIM117" s="573"/>
      <c r="KIN117" s="574"/>
      <c r="KIO117" s="575"/>
      <c r="KIP117" s="583"/>
      <c r="KIQ117" s="590"/>
      <c r="KIR117" s="589"/>
      <c r="KIS117" s="585"/>
      <c r="KIT117" s="577"/>
      <c r="KIU117" s="304"/>
      <c r="KIV117" s="572"/>
      <c r="KIW117" s="573"/>
      <c r="KIX117" s="574"/>
      <c r="KIY117" s="575"/>
      <c r="KIZ117" s="583"/>
      <c r="KJA117" s="590"/>
      <c r="KJB117" s="589"/>
      <c r="KJC117" s="585"/>
      <c r="KJD117" s="577"/>
      <c r="KJE117" s="304"/>
      <c r="KJF117" s="572"/>
      <c r="KJG117" s="573"/>
      <c r="KJH117" s="574"/>
      <c r="KJI117" s="575"/>
      <c r="KJJ117" s="583"/>
      <c r="KJK117" s="590"/>
      <c r="KJL117" s="589"/>
      <c r="KJM117" s="585"/>
      <c r="KJN117" s="577"/>
      <c r="KJO117" s="304"/>
      <c r="KJP117" s="572"/>
      <c r="KJQ117" s="573"/>
      <c r="KJR117" s="574"/>
      <c r="KJS117" s="575"/>
      <c r="KJT117" s="583"/>
      <c r="KJU117" s="590"/>
      <c r="KJV117" s="589"/>
      <c r="KJW117" s="585"/>
      <c r="KJX117" s="577"/>
      <c r="KJY117" s="304"/>
      <c r="KJZ117" s="572"/>
      <c r="KKA117" s="573"/>
      <c r="KKB117" s="574"/>
      <c r="KKC117" s="575"/>
      <c r="KKD117" s="583"/>
      <c r="KKE117" s="590"/>
      <c r="KKF117" s="589"/>
      <c r="KKG117" s="585"/>
      <c r="KKH117" s="577"/>
      <c r="KKI117" s="304"/>
      <c r="KKJ117" s="572"/>
      <c r="KKK117" s="573"/>
      <c r="KKL117" s="574"/>
      <c r="KKM117" s="575"/>
      <c r="KKN117" s="583"/>
      <c r="KKO117" s="590"/>
      <c r="KKP117" s="589"/>
      <c r="KKQ117" s="585"/>
      <c r="KKR117" s="577"/>
      <c r="KKS117" s="304"/>
      <c r="KKT117" s="572"/>
      <c r="KKU117" s="573"/>
      <c r="KKV117" s="574"/>
      <c r="KKW117" s="575"/>
      <c r="KKX117" s="583"/>
      <c r="KKY117" s="590"/>
      <c r="KKZ117" s="589"/>
      <c r="KLA117" s="585"/>
      <c r="KLB117" s="577"/>
      <c r="KLC117" s="304"/>
      <c r="KLD117" s="572"/>
      <c r="KLE117" s="573"/>
      <c r="KLF117" s="574"/>
      <c r="KLG117" s="575"/>
      <c r="KLH117" s="583"/>
      <c r="KLI117" s="590"/>
      <c r="KLJ117" s="589"/>
      <c r="KLK117" s="585"/>
      <c r="KLL117" s="577"/>
      <c r="KLM117" s="304"/>
      <c r="KLN117" s="572"/>
      <c r="KLO117" s="573"/>
      <c r="KLP117" s="574"/>
      <c r="KLQ117" s="575"/>
      <c r="KLR117" s="583"/>
      <c r="KLS117" s="590"/>
      <c r="KLT117" s="589"/>
      <c r="KLU117" s="585"/>
      <c r="KLV117" s="577"/>
      <c r="KLW117" s="304"/>
      <c r="KLX117" s="572"/>
      <c r="KLY117" s="573"/>
      <c r="KLZ117" s="574"/>
      <c r="KMA117" s="575"/>
      <c r="KMB117" s="583"/>
      <c r="KMC117" s="590"/>
      <c r="KMD117" s="589"/>
      <c r="KME117" s="585"/>
      <c r="KMF117" s="577"/>
      <c r="KMG117" s="304"/>
      <c r="KMH117" s="572"/>
      <c r="KMI117" s="573"/>
      <c r="KMJ117" s="574"/>
      <c r="KMK117" s="575"/>
      <c r="KML117" s="583"/>
      <c r="KMM117" s="590"/>
      <c r="KMN117" s="589"/>
      <c r="KMO117" s="585"/>
      <c r="KMP117" s="577"/>
      <c r="KMQ117" s="304"/>
      <c r="KMR117" s="572"/>
      <c r="KMS117" s="573"/>
      <c r="KMT117" s="574"/>
      <c r="KMU117" s="575"/>
      <c r="KMV117" s="583"/>
      <c r="KMW117" s="590"/>
      <c r="KMX117" s="589"/>
      <c r="KMY117" s="585"/>
      <c r="KMZ117" s="577"/>
      <c r="KNA117" s="304"/>
      <c r="KNB117" s="572"/>
      <c r="KNC117" s="573"/>
      <c r="KND117" s="574"/>
      <c r="KNE117" s="575"/>
      <c r="KNF117" s="583"/>
      <c r="KNG117" s="590"/>
      <c r="KNH117" s="589"/>
      <c r="KNI117" s="585"/>
      <c r="KNJ117" s="577"/>
      <c r="KNK117" s="304"/>
      <c r="KNL117" s="572"/>
      <c r="KNM117" s="573"/>
      <c r="KNN117" s="574"/>
      <c r="KNO117" s="575"/>
      <c r="KNP117" s="583"/>
      <c r="KNQ117" s="590"/>
      <c r="KNR117" s="589"/>
      <c r="KNS117" s="585"/>
      <c r="KNT117" s="577"/>
      <c r="KNU117" s="304"/>
      <c r="KNV117" s="572"/>
      <c r="KNW117" s="573"/>
      <c r="KNX117" s="574"/>
      <c r="KNY117" s="575"/>
      <c r="KNZ117" s="583"/>
      <c r="KOA117" s="590"/>
      <c r="KOB117" s="589"/>
      <c r="KOC117" s="585"/>
      <c r="KOD117" s="577"/>
      <c r="KOE117" s="304"/>
      <c r="KOF117" s="572"/>
      <c r="KOG117" s="573"/>
      <c r="KOH117" s="574"/>
      <c r="KOI117" s="575"/>
      <c r="KOJ117" s="583"/>
      <c r="KOK117" s="590"/>
      <c r="KOL117" s="589"/>
      <c r="KOM117" s="585"/>
      <c r="KON117" s="577"/>
      <c r="KOO117" s="304"/>
      <c r="KOP117" s="572"/>
      <c r="KOQ117" s="573"/>
      <c r="KOR117" s="574"/>
      <c r="KOS117" s="575"/>
      <c r="KOT117" s="583"/>
      <c r="KOU117" s="590"/>
      <c r="KOV117" s="589"/>
      <c r="KOW117" s="585"/>
      <c r="KOX117" s="577"/>
      <c r="KOY117" s="304"/>
      <c r="KOZ117" s="572"/>
      <c r="KPA117" s="573"/>
      <c r="KPB117" s="574"/>
      <c r="KPC117" s="575"/>
      <c r="KPD117" s="583"/>
      <c r="KPE117" s="590"/>
      <c r="KPF117" s="589"/>
      <c r="KPG117" s="585"/>
      <c r="KPH117" s="577"/>
      <c r="KPI117" s="304"/>
      <c r="KPJ117" s="572"/>
      <c r="KPK117" s="573"/>
      <c r="KPL117" s="574"/>
      <c r="KPM117" s="575"/>
      <c r="KPN117" s="583"/>
      <c r="KPO117" s="590"/>
      <c r="KPP117" s="589"/>
      <c r="KPQ117" s="585"/>
      <c r="KPR117" s="577"/>
      <c r="KPS117" s="304"/>
      <c r="KPT117" s="572"/>
      <c r="KPU117" s="573"/>
      <c r="KPV117" s="574"/>
      <c r="KPW117" s="575"/>
      <c r="KPX117" s="583"/>
      <c r="KPY117" s="590"/>
      <c r="KPZ117" s="589"/>
      <c r="KQA117" s="585"/>
      <c r="KQB117" s="577"/>
      <c r="KQC117" s="304"/>
      <c r="KQD117" s="572"/>
      <c r="KQE117" s="573"/>
      <c r="KQF117" s="574"/>
      <c r="KQG117" s="575"/>
      <c r="KQH117" s="583"/>
      <c r="KQI117" s="590"/>
      <c r="KQJ117" s="589"/>
      <c r="KQK117" s="585"/>
      <c r="KQL117" s="577"/>
      <c r="KQM117" s="304"/>
      <c r="KQN117" s="572"/>
      <c r="KQO117" s="573"/>
      <c r="KQP117" s="574"/>
      <c r="KQQ117" s="575"/>
      <c r="KQR117" s="583"/>
      <c r="KQS117" s="590"/>
      <c r="KQT117" s="589"/>
      <c r="KQU117" s="585"/>
      <c r="KQV117" s="577"/>
      <c r="KQW117" s="304"/>
      <c r="KQX117" s="572"/>
      <c r="KQY117" s="573"/>
      <c r="KQZ117" s="574"/>
      <c r="KRA117" s="575"/>
      <c r="KRB117" s="583"/>
      <c r="KRC117" s="590"/>
      <c r="KRD117" s="589"/>
      <c r="KRE117" s="585"/>
      <c r="KRF117" s="577"/>
      <c r="KRG117" s="304"/>
      <c r="KRH117" s="572"/>
      <c r="KRI117" s="573"/>
      <c r="KRJ117" s="574"/>
      <c r="KRK117" s="575"/>
      <c r="KRL117" s="583"/>
      <c r="KRM117" s="590"/>
      <c r="KRN117" s="589"/>
      <c r="KRO117" s="585"/>
      <c r="KRP117" s="577"/>
      <c r="KRQ117" s="304"/>
      <c r="KRR117" s="572"/>
      <c r="KRS117" s="573"/>
      <c r="KRT117" s="574"/>
      <c r="KRU117" s="575"/>
      <c r="KRV117" s="583"/>
      <c r="KRW117" s="590"/>
      <c r="KRX117" s="589"/>
      <c r="KRY117" s="585"/>
      <c r="KRZ117" s="577"/>
      <c r="KSA117" s="304"/>
      <c r="KSB117" s="572"/>
      <c r="KSC117" s="573"/>
      <c r="KSD117" s="574"/>
      <c r="KSE117" s="575"/>
      <c r="KSF117" s="583"/>
      <c r="KSG117" s="590"/>
      <c r="KSH117" s="589"/>
      <c r="KSI117" s="585"/>
      <c r="KSJ117" s="577"/>
      <c r="KSK117" s="304"/>
      <c r="KSL117" s="572"/>
      <c r="KSM117" s="573"/>
      <c r="KSN117" s="574"/>
      <c r="KSO117" s="575"/>
      <c r="KSP117" s="583"/>
      <c r="KSQ117" s="590"/>
      <c r="KSR117" s="589"/>
      <c r="KSS117" s="585"/>
      <c r="KST117" s="577"/>
      <c r="KSU117" s="304"/>
      <c r="KSV117" s="572"/>
      <c r="KSW117" s="573"/>
      <c r="KSX117" s="574"/>
      <c r="KSY117" s="575"/>
      <c r="KSZ117" s="583"/>
      <c r="KTA117" s="590"/>
      <c r="KTB117" s="589"/>
      <c r="KTC117" s="585"/>
      <c r="KTD117" s="577"/>
      <c r="KTE117" s="304"/>
      <c r="KTF117" s="572"/>
      <c r="KTG117" s="573"/>
      <c r="KTH117" s="574"/>
      <c r="KTI117" s="575"/>
      <c r="KTJ117" s="583"/>
      <c r="KTK117" s="590"/>
      <c r="KTL117" s="589"/>
      <c r="KTM117" s="585"/>
      <c r="KTN117" s="577"/>
      <c r="KTO117" s="304"/>
      <c r="KTP117" s="572"/>
      <c r="KTQ117" s="573"/>
      <c r="KTR117" s="574"/>
      <c r="KTS117" s="575"/>
      <c r="KTT117" s="583"/>
      <c r="KTU117" s="590"/>
      <c r="KTV117" s="589"/>
      <c r="KTW117" s="585"/>
      <c r="KTX117" s="577"/>
      <c r="KTY117" s="304"/>
      <c r="KTZ117" s="572"/>
      <c r="KUA117" s="573"/>
      <c r="KUB117" s="574"/>
      <c r="KUC117" s="575"/>
      <c r="KUD117" s="583"/>
      <c r="KUE117" s="590"/>
      <c r="KUF117" s="589"/>
      <c r="KUG117" s="585"/>
      <c r="KUH117" s="577"/>
      <c r="KUI117" s="304"/>
      <c r="KUJ117" s="572"/>
      <c r="KUK117" s="573"/>
      <c r="KUL117" s="574"/>
      <c r="KUM117" s="575"/>
      <c r="KUN117" s="583"/>
      <c r="KUO117" s="590"/>
      <c r="KUP117" s="589"/>
      <c r="KUQ117" s="585"/>
      <c r="KUR117" s="577"/>
      <c r="KUS117" s="304"/>
      <c r="KUT117" s="572"/>
      <c r="KUU117" s="573"/>
      <c r="KUV117" s="574"/>
      <c r="KUW117" s="575"/>
      <c r="KUX117" s="583"/>
      <c r="KUY117" s="590"/>
      <c r="KUZ117" s="589"/>
      <c r="KVA117" s="585"/>
      <c r="KVB117" s="577"/>
      <c r="KVC117" s="304"/>
      <c r="KVD117" s="572"/>
      <c r="KVE117" s="573"/>
      <c r="KVF117" s="574"/>
      <c r="KVG117" s="575"/>
      <c r="KVH117" s="583"/>
      <c r="KVI117" s="590"/>
      <c r="KVJ117" s="589"/>
      <c r="KVK117" s="585"/>
      <c r="KVL117" s="577"/>
      <c r="KVM117" s="304"/>
      <c r="KVN117" s="572"/>
      <c r="KVO117" s="573"/>
      <c r="KVP117" s="574"/>
      <c r="KVQ117" s="575"/>
      <c r="KVR117" s="583"/>
      <c r="KVS117" s="590"/>
      <c r="KVT117" s="589"/>
      <c r="KVU117" s="585"/>
      <c r="KVV117" s="577"/>
      <c r="KVW117" s="304"/>
      <c r="KVX117" s="572"/>
      <c r="KVY117" s="573"/>
      <c r="KVZ117" s="574"/>
      <c r="KWA117" s="575"/>
      <c r="KWB117" s="583"/>
      <c r="KWC117" s="590"/>
      <c r="KWD117" s="589"/>
      <c r="KWE117" s="585"/>
      <c r="KWF117" s="577"/>
      <c r="KWG117" s="304"/>
      <c r="KWH117" s="572"/>
      <c r="KWI117" s="573"/>
      <c r="KWJ117" s="574"/>
      <c r="KWK117" s="575"/>
      <c r="KWL117" s="583"/>
      <c r="KWM117" s="590"/>
      <c r="KWN117" s="589"/>
      <c r="KWO117" s="585"/>
      <c r="KWP117" s="577"/>
      <c r="KWQ117" s="304"/>
      <c r="KWR117" s="572"/>
      <c r="KWS117" s="573"/>
      <c r="KWT117" s="574"/>
      <c r="KWU117" s="575"/>
      <c r="KWV117" s="583"/>
      <c r="KWW117" s="590"/>
      <c r="KWX117" s="589"/>
      <c r="KWY117" s="585"/>
      <c r="KWZ117" s="577"/>
      <c r="KXA117" s="304"/>
      <c r="KXB117" s="572"/>
      <c r="KXC117" s="573"/>
      <c r="KXD117" s="574"/>
      <c r="KXE117" s="575"/>
      <c r="KXF117" s="583"/>
      <c r="KXG117" s="590"/>
      <c r="KXH117" s="589"/>
      <c r="KXI117" s="585"/>
      <c r="KXJ117" s="577"/>
      <c r="KXK117" s="304"/>
      <c r="KXL117" s="572"/>
      <c r="KXM117" s="573"/>
      <c r="KXN117" s="574"/>
      <c r="KXO117" s="575"/>
      <c r="KXP117" s="583"/>
      <c r="KXQ117" s="590"/>
      <c r="KXR117" s="589"/>
      <c r="KXS117" s="585"/>
      <c r="KXT117" s="577"/>
      <c r="KXU117" s="304"/>
      <c r="KXV117" s="572"/>
      <c r="KXW117" s="573"/>
      <c r="KXX117" s="574"/>
      <c r="KXY117" s="575"/>
      <c r="KXZ117" s="583"/>
      <c r="KYA117" s="590"/>
      <c r="KYB117" s="589"/>
      <c r="KYC117" s="585"/>
      <c r="KYD117" s="577"/>
      <c r="KYE117" s="304"/>
      <c r="KYF117" s="572"/>
      <c r="KYG117" s="573"/>
      <c r="KYH117" s="574"/>
      <c r="KYI117" s="575"/>
      <c r="KYJ117" s="583"/>
      <c r="KYK117" s="590"/>
      <c r="KYL117" s="589"/>
      <c r="KYM117" s="585"/>
      <c r="KYN117" s="577"/>
      <c r="KYO117" s="304"/>
      <c r="KYP117" s="572"/>
      <c r="KYQ117" s="573"/>
      <c r="KYR117" s="574"/>
      <c r="KYS117" s="575"/>
      <c r="KYT117" s="583"/>
      <c r="KYU117" s="590"/>
      <c r="KYV117" s="589"/>
      <c r="KYW117" s="585"/>
      <c r="KYX117" s="577"/>
      <c r="KYY117" s="304"/>
      <c r="KYZ117" s="572"/>
      <c r="KZA117" s="573"/>
      <c r="KZB117" s="574"/>
      <c r="KZC117" s="575"/>
      <c r="KZD117" s="583"/>
      <c r="KZE117" s="590"/>
      <c r="KZF117" s="589"/>
      <c r="KZG117" s="585"/>
      <c r="KZH117" s="577"/>
      <c r="KZI117" s="304"/>
      <c r="KZJ117" s="572"/>
      <c r="KZK117" s="573"/>
      <c r="KZL117" s="574"/>
      <c r="KZM117" s="575"/>
      <c r="KZN117" s="583"/>
      <c r="KZO117" s="590"/>
      <c r="KZP117" s="589"/>
      <c r="KZQ117" s="585"/>
      <c r="KZR117" s="577"/>
      <c r="KZS117" s="304"/>
      <c r="KZT117" s="572"/>
      <c r="KZU117" s="573"/>
      <c r="KZV117" s="574"/>
      <c r="KZW117" s="575"/>
      <c r="KZX117" s="583"/>
      <c r="KZY117" s="590"/>
      <c r="KZZ117" s="589"/>
      <c r="LAA117" s="585"/>
      <c r="LAB117" s="577"/>
      <c r="LAC117" s="304"/>
      <c r="LAD117" s="572"/>
      <c r="LAE117" s="573"/>
      <c r="LAF117" s="574"/>
      <c r="LAG117" s="575"/>
      <c r="LAH117" s="583"/>
      <c r="LAI117" s="590"/>
      <c r="LAJ117" s="589"/>
      <c r="LAK117" s="585"/>
      <c r="LAL117" s="577"/>
      <c r="LAM117" s="304"/>
      <c r="LAN117" s="572"/>
      <c r="LAO117" s="573"/>
      <c r="LAP117" s="574"/>
      <c r="LAQ117" s="575"/>
      <c r="LAR117" s="583"/>
      <c r="LAS117" s="590"/>
      <c r="LAT117" s="589"/>
      <c r="LAU117" s="585"/>
      <c r="LAV117" s="577"/>
      <c r="LAW117" s="304"/>
      <c r="LAX117" s="572"/>
      <c r="LAY117" s="573"/>
      <c r="LAZ117" s="574"/>
      <c r="LBA117" s="575"/>
      <c r="LBB117" s="583"/>
      <c r="LBC117" s="590"/>
      <c r="LBD117" s="589"/>
      <c r="LBE117" s="585"/>
      <c r="LBF117" s="577"/>
      <c r="LBG117" s="304"/>
      <c r="LBH117" s="572"/>
      <c r="LBI117" s="573"/>
      <c r="LBJ117" s="574"/>
      <c r="LBK117" s="575"/>
      <c r="LBL117" s="583"/>
      <c r="LBM117" s="590"/>
      <c r="LBN117" s="589"/>
      <c r="LBO117" s="585"/>
      <c r="LBP117" s="577"/>
      <c r="LBQ117" s="304"/>
      <c r="LBR117" s="572"/>
      <c r="LBS117" s="573"/>
      <c r="LBT117" s="574"/>
      <c r="LBU117" s="575"/>
      <c r="LBV117" s="583"/>
      <c r="LBW117" s="590"/>
      <c r="LBX117" s="589"/>
      <c r="LBY117" s="585"/>
      <c r="LBZ117" s="577"/>
      <c r="LCA117" s="304"/>
      <c r="LCB117" s="572"/>
      <c r="LCC117" s="573"/>
      <c r="LCD117" s="574"/>
      <c r="LCE117" s="575"/>
      <c r="LCF117" s="583"/>
      <c r="LCG117" s="590"/>
      <c r="LCH117" s="589"/>
      <c r="LCI117" s="585"/>
      <c r="LCJ117" s="577"/>
      <c r="LCK117" s="304"/>
      <c r="LCL117" s="572"/>
      <c r="LCM117" s="573"/>
      <c r="LCN117" s="574"/>
      <c r="LCO117" s="575"/>
      <c r="LCP117" s="583"/>
      <c r="LCQ117" s="590"/>
      <c r="LCR117" s="589"/>
      <c r="LCS117" s="585"/>
      <c r="LCT117" s="577"/>
      <c r="LCU117" s="304"/>
      <c r="LCV117" s="572"/>
      <c r="LCW117" s="573"/>
      <c r="LCX117" s="574"/>
      <c r="LCY117" s="575"/>
      <c r="LCZ117" s="583"/>
      <c r="LDA117" s="590"/>
      <c r="LDB117" s="589"/>
      <c r="LDC117" s="585"/>
      <c r="LDD117" s="577"/>
      <c r="LDE117" s="304"/>
      <c r="LDF117" s="572"/>
      <c r="LDG117" s="573"/>
      <c r="LDH117" s="574"/>
      <c r="LDI117" s="575"/>
      <c r="LDJ117" s="583"/>
      <c r="LDK117" s="590"/>
      <c r="LDL117" s="589"/>
      <c r="LDM117" s="585"/>
      <c r="LDN117" s="577"/>
      <c r="LDO117" s="304"/>
      <c r="LDP117" s="572"/>
      <c r="LDQ117" s="573"/>
      <c r="LDR117" s="574"/>
      <c r="LDS117" s="575"/>
      <c r="LDT117" s="583"/>
      <c r="LDU117" s="590"/>
      <c r="LDV117" s="589"/>
      <c r="LDW117" s="585"/>
      <c r="LDX117" s="577"/>
      <c r="LDY117" s="304"/>
      <c r="LDZ117" s="572"/>
      <c r="LEA117" s="573"/>
      <c r="LEB117" s="574"/>
      <c r="LEC117" s="575"/>
      <c r="LED117" s="583"/>
      <c r="LEE117" s="590"/>
      <c r="LEF117" s="589"/>
      <c r="LEG117" s="585"/>
      <c r="LEH117" s="577"/>
      <c r="LEI117" s="304"/>
      <c r="LEJ117" s="572"/>
      <c r="LEK117" s="573"/>
      <c r="LEL117" s="574"/>
      <c r="LEM117" s="575"/>
      <c r="LEN117" s="583"/>
      <c r="LEO117" s="590"/>
      <c r="LEP117" s="589"/>
      <c r="LEQ117" s="585"/>
      <c r="LER117" s="577"/>
      <c r="LES117" s="304"/>
      <c r="LET117" s="572"/>
      <c r="LEU117" s="573"/>
      <c r="LEV117" s="574"/>
      <c r="LEW117" s="575"/>
      <c r="LEX117" s="583"/>
      <c r="LEY117" s="590"/>
      <c r="LEZ117" s="589"/>
      <c r="LFA117" s="585"/>
      <c r="LFB117" s="577"/>
      <c r="LFC117" s="304"/>
      <c r="LFD117" s="572"/>
      <c r="LFE117" s="573"/>
      <c r="LFF117" s="574"/>
      <c r="LFG117" s="575"/>
      <c r="LFH117" s="583"/>
      <c r="LFI117" s="590"/>
      <c r="LFJ117" s="589"/>
      <c r="LFK117" s="585"/>
      <c r="LFL117" s="577"/>
      <c r="LFM117" s="304"/>
      <c r="LFN117" s="572"/>
      <c r="LFO117" s="573"/>
      <c r="LFP117" s="574"/>
      <c r="LFQ117" s="575"/>
      <c r="LFR117" s="583"/>
      <c r="LFS117" s="590"/>
      <c r="LFT117" s="589"/>
      <c r="LFU117" s="585"/>
      <c r="LFV117" s="577"/>
      <c r="LFW117" s="304"/>
      <c r="LFX117" s="572"/>
      <c r="LFY117" s="573"/>
      <c r="LFZ117" s="574"/>
      <c r="LGA117" s="575"/>
      <c r="LGB117" s="583"/>
      <c r="LGC117" s="590"/>
      <c r="LGD117" s="589"/>
      <c r="LGE117" s="585"/>
      <c r="LGF117" s="577"/>
      <c r="LGG117" s="304"/>
      <c r="LGH117" s="572"/>
      <c r="LGI117" s="573"/>
      <c r="LGJ117" s="574"/>
      <c r="LGK117" s="575"/>
      <c r="LGL117" s="583"/>
      <c r="LGM117" s="590"/>
      <c r="LGN117" s="589"/>
      <c r="LGO117" s="585"/>
      <c r="LGP117" s="577"/>
      <c r="LGQ117" s="304"/>
      <c r="LGR117" s="572"/>
      <c r="LGS117" s="573"/>
      <c r="LGT117" s="574"/>
      <c r="LGU117" s="575"/>
      <c r="LGV117" s="583"/>
      <c r="LGW117" s="590"/>
      <c r="LGX117" s="589"/>
      <c r="LGY117" s="585"/>
      <c r="LGZ117" s="577"/>
      <c r="LHA117" s="304"/>
      <c r="LHB117" s="572"/>
      <c r="LHC117" s="573"/>
      <c r="LHD117" s="574"/>
      <c r="LHE117" s="575"/>
      <c r="LHF117" s="583"/>
      <c r="LHG117" s="590"/>
      <c r="LHH117" s="589"/>
      <c r="LHI117" s="585"/>
      <c r="LHJ117" s="577"/>
      <c r="LHK117" s="304"/>
      <c r="LHL117" s="572"/>
      <c r="LHM117" s="573"/>
      <c r="LHN117" s="574"/>
      <c r="LHO117" s="575"/>
      <c r="LHP117" s="583"/>
      <c r="LHQ117" s="590"/>
      <c r="LHR117" s="589"/>
      <c r="LHS117" s="585"/>
      <c r="LHT117" s="577"/>
      <c r="LHU117" s="304"/>
      <c r="LHV117" s="572"/>
      <c r="LHW117" s="573"/>
      <c r="LHX117" s="574"/>
      <c r="LHY117" s="575"/>
      <c r="LHZ117" s="583"/>
      <c r="LIA117" s="590"/>
      <c r="LIB117" s="589"/>
      <c r="LIC117" s="585"/>
      <c r="LID117" s="577"/>
      <c r="LIE117" s="304"/>
      <c r="LIF117" s="572"/>
      <c r="LIG117" s="573"/>
      <c r="LIH117" s="574"/>
      <c r="LII117" s="575"/>
      <c r="LIJ117" s="583"/>
      <c r="LIK117" s="590"/>
      <c r="LIL117" s="589"/>
      <c r="LIM117" s="585"/>
      <c r="LIN117" s="577"/>
      <c r="LIO117" s="304"/>
      <c r="LIP117" s="572"/>
      <c r="LIQ117" s="573"/>
      <c r="LIR117" s="574"/>
      <c r="LIS117" s="575"/>
      <c r="LIT117" s="583"/>
      <c r="LIU117" s="590"/>
      <c r="LIV117" s="589"/>
      <c r="LIW117" s="585"/>
      <c r="LIX117" s="577"/>
      <c r="LIY117" s="304"/>
      <c r="LIZ117" s="572"/>
      <c r="LJA117" s="573"/>
      <c r="LJB117" s="574"/>
      <c r="LJC117" s="575"/>
      <c r="LJD117" s="583"/>
      <c r="LJE117" s="590"/>
      <c r="LJF117" s="589"/>
      <c r="LJG117" s="585"/>
      <c r="LJH117" s="577"/>
      <c r="LJI117" s="304"/>
      <c r="LJJ117" s="572"/>
      <c r="LJK117" s="573"/>
      <c r="LJL117" s="574"/>
      <c r="LJM117" s="575"/>
      <c r="LJN117" s="583"/>
      <c r="LJO117" s="590"/>
      <c r="LJP117" s="589"/>
      <c r="LJQ117" s="585"/>
      <c r="LJR117" s="577"/>
      <c r="LJS117" s="304"/>
      <c r="LJT117" s="572"/>
      <c r="LJU117" s="573"/>
      <c r="LJV117" s="574"/>
      <c r="LJW117" s="575"/>
      <c r="LJX117" s="583"/>
      <c r="LJY117" s="590"/>
      <c r="LJZ117" s="589"/>
      <c r="LKA117" s="585"/>
      <c r="LKB117" s="577"/>
      <c r="LKC117" s="304"/>
      <c r="LKD117" s="572"/>
      <c r="LKE117" s="573"/>
      <c r="LKF117" s="574"/>
      <c r="LKG117" s="575"/>
      <c r="LKH117" s="583"/>
      <c r="LKI117" s="590"/>
      <c r="LKJ117" s="589"/>
      <c r="LKK117" s="585"/>
      <c r="LKL117" s="577"/>
      <c r="LKM117" s="304"/>
      <c r="LKN117" s="572"/>
      <c r="LKO117" s="573"/>
      <c r="LKP117" s="574"/>
      <c r="LKQ117" s="575"/>
      <c r="LKR117" s="583"/>
      <c r="LKS117" s="590"/>
      <c r="LKT117" s="589"/>
      <c r="LKU117" s="585"/>
      <c r="LKV117" s="577"/>
      <c r="LKW117" s="304"/>
      <c r="LKX117" s="572"/>
      <c r="LKY117" s="573"/>
      <c r="LKZ117" s="574"/>
      <c r="LLA117" s="575"/>
      <c r="LLB117" s="583"/>
      <c r="LLC117" s="590"/>
      <c r="LLD117" s="589"/>
      <c r="LLE117" s="585"/>
      <c r="LLF117" s="577"/>
      <c r="LLG117" s="304"/>
      <c r="LLH117" s="572"/>
      <c r="LLI117" s="573"/>
      <c r="LLJ117" s="574"/>
      <c r="LLK117" s="575"/>
      <c r="LLL117" s="583"/>
      <c r="LLM117" s="590"/>
      <c r="LLN117" s="589"/>
      <c r="LLO117" s="585"/>
      <c r="LLP117" s="577"/>
      <c r="LLQ117" s="304"/>
      <c r="LLR117" s="572"/>
      <c r="LLS117" s="573"/>
      <c r="LLT117" s="574"/>
      <c r="LLU117" s="575"/>
      <c r="LLV117" s="583"/>
      <c r="LLW117" s="590"/>
      <c r="LLX117" s="589"/>
      <c r="LLY117" s="585"/>
      <c r="LLZ117" s="577"/>
      <c r="LMA117" s="304"/>
      <c r="LMB117" s="572"/>
      <c r="LMC117" s="573"/>
      <c r="LMD117" s="574"/>
      <c r="LME117" s="575"/>
      <c r="LMF117" s="583"/>
      <c r="LMG117" s="590"/>
      <c r="LMH117" s="589"/>
      <c r="LMI117" s="585"/>
      <c r="LMJ117" s="577"/>
      <c r="LMK117" s="304"/>
      <c r="LML117" s="572"/>
      <c r="LMM117" s="573"/>
      <c r="LMN117" s="574"/>
      <c r="LMO117" s="575"/>
      <c r="LMP117" s="583"/>
      <c r="LMQ117" s="590"/>
      <c r="LMR117" s="589"/>
      <c r="LMS117" s="585"/>
      <c r="LMT117" s="577"/>
      <c r="LMU117" s="304"/>
      <c r="LMV117" s="572"/>
      <c r="LMW117" s="573"/>
      <c r="LMX117" s="574"/>
      <c r="LMY117" s="575"/>
      <c r="LMZ117" s="583"/>
      <c r="LNA117" s="590"/>
      <c r="LNB117" s="589"/>
      <c r="LNC117" s="585"/>
      <c r="LND117" s="577"/>
      <c r="LNE117" s="304"/>
      <c r="LNF117" s="572"/>
      <c r="LNG117" s="573"/>
      <c r="LNH117" s="574"/>
      <c r="LNI117" s="575"/>
      <c r="LNJ117" s="583"/>
      <c r="LNK117" s="590"/>
      <c r="LNL117" s="589"/>
      <c r="LNM117" s="585"/>
      <c r="LNN117" s="577"/>
      <c r="LNO117" s="304"/>
      <c r="LNP117" s="572"/>
      <c r="LNQ117" s="573"/>
      <c r="LNR117" s="574"/>
      <c r="LNS117" s="575"/>
      <c r="LNT117" s="583"/>
      <c r="LNU117" s="590"/>
      <c r="LNV117" s="589"/>
      <c r="LNW117" s="585"/>
      <c r="LNX117" s="577"/>
      <c r="LNY117" s="304"/>
      <c r="LNZ117" s="572"/>
      <c r="LOA117" s="573"/>
      <c r="LOB117" s="574"/>
      <c r="LOC117" s="575"/>
      <c r="LOD117" s="583"/>
      <c r="LOE117" s="590"/>
      <c r="LOF117" s="589"/>
      <c r="LOG117" s="585"/>
      <c r="LOH117" s="577"/>
      <c r="LOI117" s="304"/>
      <c r="LOJ117" s="572"/>
      <c r="LOK117" s="573"/>
      <c r="LOL117" s="574"/>
      <c r="LOM117" s="575"/>
      <c r="LON117" s="583"/>
      <c r="LOO117" s="590"/>
      <c r="LOP117" s="589"/>
      <c r="LOQ117" s="585"/>
      <c r="LOR117" s="577"/>
      <c r="LOS117" s="304"/>
      <c r="LOT117" s="572"/>
      <c r="LOU117" s="573"/>
      <c r="LOV117" s="574"/>
      <c r="LOW117" s="575"/>
      <c r="LOX117" s="583"/>
      <c r="LOY117" s="590"/>
      <c r="LOZ117" s="589"/>
      <c r="LPA117" s="585"/>
      <c r="LPB117" s="577"/>
      <c r="LPC117" s="304"/>
      <c r="LPD117" s="572"/>
      <c r="LPE117" s="573"/>
      <c r="LPF117" s="574"/>
      <c r="LPG117" s="575"/>
      <c r="LPH117" s="583"/>
      <c r="LPI117" s="590"/>
      <c r="LPJ117" s="589"/>
      <c r="LPK117" s="585"/>
      <c r="LPL117" s="577"/>
      <c r="LPM117" s="304"/>
      <c r="LPN117" s="572"/>
      <c r="LPO117" s="573"/>
      <c r="LPP117" s="574"/>
      <c r="LPQ117" s="575"/>
      <c r="LPR117" s="583"/>
      <c r="LPS117" s="590"/>
      <c r="LPT117" s="589"/>
      <c r="LPU117" s="585"/>
      <c r="LPV117" s="577"/>
      <c r="LPW117" s="304"/>
      <c r="LPX117" s="572"/>
      <c r="LPY117" s="573"/>
      <c r="LPZ117" s="574"/>
      <c r="LQA117" s="575"/>
      <c r="LQB117" s="583"/>
      <c r="LQC117" s="590"/>
      <c r="LQD117" s="589"/>
      <c r="LQE117" s="585"/>
      <c r="LQF117" s="577"/>
      <c r="LQG117" s="304"/>
      <c r="LQH117" s="572"/>
      <c r="LQI117" s="573"/>
      <c r="LQJ117" s="574"/>
      <c r="LQK117" s="575"/>
      <c r="LQL117" s="583"/>
      <c r="LQM117" s="590"/>
      <c r="LQN117" s="589"/>
      <c r="LQO117" s="585"/>
      <c r="LQP117" s="577"/>
      <c r="LQQ117" s="304"/>
      <c r="LQR117" s="572"/>
      <c r="LQS117" s="573"/>
      <c r="LQT117" s="574"/>
      <c r="LQU117" s="575"/>
      <c r="LQV117" s="583"/>
      <c r="LQW117" s="590"/>
      <c r="LQX117" s="589"/>
      <c r="LQY117" s="585"/>
      <c r="LQZ117" s="577"/>
      <c r="LRA117" s="304"/>
      <c r="LRB117" s="572"/>
      <c r="LRC117" s="573"/>
      <c r="LRD117" s="574"/>
      <c r="LRE117" s="575"/>
      <c r="LRF117" s="583"/>
      <c r="LRG117" s="590"/>
      <c r="LRH117" s="589"/>
      <c r="LRI117" s="585"/>
      <c r="LRJ117" s="577"/>
      <c r="LRK117" s="304"/>
      <c r="LRL117" s="572"/>
      <c r="LRM117" s="573"/>
      <c r="LRN117" s="574"/>
      <c r="LRO117" s="575"/>
      <c r="LRP117" s="583"/>
      <c r="LRQ117" s="590"/>
      <c r="LRR117" s="589"/>
      <c r="LRS117" s="585"/>
      <c r="LRT117" s="577"/>
      <c r="LRU117" s="304"/>
      <c r="LRV117" s="572"/>
      <c r="LRW117" s="573"/>
      <c r="LRX117" s="574"/>
      <c r="LRY117" s="575"/>
      <c r="LRZ117" s="583"/>
      <c r="LSA117" s="590"/>
      <c r="LSB117" s="589"/>
      <c r="LSC117" s="585"/>
      <c r="LSD117" s="577"/>
      <c r="LSE117" s="304"/>
      <c r="LSF117" s="572"/>
      <c r="LSG117" s="573"/>
      <c r="LSH117" s="574"/>
      <c r="LSI117" s="575"/>
      <c r="LSJ117" s="583"/>
      <c r="LSK117" s="590"/>
      <c r="LSL117" s="589"/>
      <c r="LSM117" s="585"/>
      <c r="LSN117" s="577"/>
      <c r="LSO117" s="304"/>
      <c r="LSP117" s="572"/>
      <c r="LSQ117" s="573"/>
      <c r="LSR117" s="574"/>
      <c r="LSS117" s="575"/>
      <c r="LST117" s="583"/>
      <c r="LSU117" s="590"/>
      <c r="LSV117" s="589"/>
      <c r="LSW117" s="585"/>
      <c r="LSX117" s="577"/>
      <c r="LSY117" s="304"/>
      <c r="LSZ117" s="572"/>
      <c r="LTA117" s="573"/>
      <c r="LTB117" s="574"/>
      <c r="LTC117" s="575"/>
      <c r="LTD117" s="583"/>
      <c r="LTE117" s="590"/>
      <c r="LTF117" s="589"/>
      <c r="LTG117" s="585"/>
      <c r="LTH117" s="577"/>
      <c r="LTI117" s="304"/>
      <c r="LTJ117" s="572"/>
      <c r="LTK117" s="573"/>
      <c r="LTL117" s="574"/>
      <c r="LTM117" s="575"/>
      <c r="LTN117" s="583"/>
      <c r="LTO117" s="590"/>
      <c r="LTP117" s="589"/>
      <c r="LTQ117" s="585"/>
      <c r="LTR117" s="577"/>
      <c r="LTS117" s="304"/>
      <c r="LTT117" s="572"/>
      <c r="LTU117" s="573"/>
      <c r="LTV117" s="574"/>
      <c r="LTW117" s="575"/>
      <c r="LTX117" s="583"/>
      <c r="LTY117" s="590"/>
      <c r="LTZ117" s="589"/>
      <c r="LUA117" s="585"/>
      <c r="LUB117" s="577"/>
      <c r="LUC117" s="304"/>
      <c r="LUD117" s="572"/>
      <c r="LUE117" s="573"/>
      <c r="LUF117" s="574"/>
      <c r="LUG117" s="575"/>
      <c r="LUH117" s="583"/>
      <c r="LUI117" s="590"/>
      <c r="LUJ117" s="589"/>
      <c r="LUK117" s="585"/>
      <c r="LUL117" s="577"/>
      <c r="LUM117" s="304"/>
      <c r="LUN117" s="572"/>
      <c r="LUO117" s="573"/>
      <c r="LUP117" s="574"/>
      <c r="LUQ117" s="575"/>
      <c r="LUR117" s="583"/>
      <c r="LUS117" s="590"/>
      <c r="LUT117" s="589"/>
      <c r="LUU117" s="585"/>
      <c r="LUV117" s="577"/>
      <c r="LUW117" s="304"/>
      <c r="LUX117" s="572"/>
      <c r="LUY117" s="573"/>
      <c r="LUZ117" s="574"/>
      <c r="LVA117" s="575"/>
      <c r="LVB117" s="583"/>
      <c r="LVC117" s="590"/>
      <c r="LVD117" s="589"/>
      <c r="LVE117" s="585"/>
      <c r="LVF117" s="577"/>
      <c r="LVG117" s="304"/>
      <c r="LVH117" s="572"/>
      <c r="LVI117" s="573"/>
      <c r="LVJ117" s="574"/>
      <c r="LVK117" s="575"/>
      <c r="LVL117" s="583"/>
      <c r="LVM117" s="590"/>
      <c r="LVN117" s="589"/>
      <c r="LVO117" s="585"/>
      <c r="LVP117" s="577"/>
      <c r="LVQ117" s="304"/>
      <c r="LVR117" s="572"/>
      <c r="LVS117" s="573"/>
      <c r="LVT117" s="574"/>
      <c r="LVU117" s="575"/>
      <c r="LVV117" s="583"/>
      <c r="LVW117" s="590"/>
      <c r="LVX117" s="589"/>
      <c r="LVY117" s="585"/>
      <c r="LVZ117" s="577"/>
      <c r="LWA117" s="304"/>
      <c r="LWB117" s="572"/>
      <c r="LWC117" s="573"/>
      <c r="LWD117" s="574"/>
      <c r="LWE117" s="575"/>
      <c r="LWF117" s="583"/>
      <c r="LWG117" s="590"/>
      <c r="LWH117" s="589"/>
      <c r="LWI117" s="585"/>
      <c r="LWJ117" s="577"/>
      <c r="LWK117" s="304"/>
      <c r="LWL117" s="572"/>
      <c r="LWM117" s="573"/>
      <c r="LWN117" s="574"/>
      <c r="LWO117" s="575"/>
      <c r="LWP117" s="583"/>
      <c r="LWQ117" s="590"/>
      <c r="LWR117" s="589"/>
      <c r="LWS117" s="585"/>
      <c r="LWT117" s="577"/>
      <c r="LWU117" s="304"/>
      <c r="LWV117" s="572"/>
      <c r="LWW117" s="573"/>
      <c r="LWX117" s="574"/>
      <c r="LWY117" s="575"/>
      <c r="LWZ117" s="583"/>
      <c r="LXA117" s="590"/>
      <c r="LXB117" s="589"/>
      <c r="LXC117" s="585"/>
      <c r="LXD117" s="577"/>
      <c r="LXE117" s="304"/>
      <c r="LXF117" s="572"/>
      <c r="LXG117" s="573"/>
      <c r="LXH117" s="574"/>
      <c r="LXI117" s="575"/>
      <c r="LXJ117" s="583"/>
      <c r="LXK117" s="590"/>
      <c r="LXL117" s="589"/>
      <c r="LXM117" s="585"/>
      <c r="LXN117" s="577"/>
      <c r="LXO117" s="304"/>
      <c r="LXP117" s="572"/>
      <c r="LXQ117" s="573"/>
      <c r="LXR117" s="574"/>
      <c r="LXS117" s="575"/>
      <c r="LXT117" s="583"/>
      <c r="LXU117" s="590"/>
      <c r="LXV117" s="589"/>
      <c r="LXW117" s="585"/>
      <c r="LXX117" s="577"/>
      <c r="LXY117" s="304"/>
      <c r="LXZ117" s="572"/>
      <c r="LYA117" s="573"/>
      <c r="LYB117" s="574"/>
      <c r="LYC117" s="575"/>
      <c r="LYD117" s="583"/>
      <c r="LYE117" s="590"/>
      <c r="LYF117" s="589"/>
      <c r="LYG117" s="585"/>
      <c r="LYH117" s="577"/>
      <c r="LYI117" s="304"/>
      <c r="LYJ117" s="572"/>
      <c r="LYK117" s="573"/>
      <c r="LYL117" s="574"/>
      <c r="LYM117" s="575"/>
      <c r="LYN117" s="583"/>
      <c r="LYO117" s="590"/>
      <c r="LYP117" s="589"/>
      <c r="LYQ117" s="585"/>
      <c r="LYR117" s="577"/>
      <c r="LYS117" s="304"/>
      <c r="LYT117" s="572"/>
      <c r="LYU117" s="573"/>
      <c r="LYV117" s="574"/>
      <c r="LYW117" s="575"/>
      <c r="LYX117" s="583"/>
      <c r="LYY117" s="590"/>
      <c r="LYZ117" s="589"/>
      <c r="LZA117" s="585"/>
      <c r="LZB117" s="577"/>
      <c r="LZC117" s="304"/>
      <c r="LZD117" s="572"/>
      <c r="LZE117" s="573"/>
      <c r="LZF117" s="574"/>
      <c r="LZG117" s="575"/>
      <c r="LZH117" s="583"/>
      <c r="LZI117" s="590"/>
      <c r="LZJ117" s="589"/>
      <c r="LZK117" s="585"/>
      <c r="LZL117" s="577"/>
      <c r="LZM117" s="304"/>
      <c r="LZN117" s="572"/>
      <c r="LZO117" s="573"/>
      <c r="LZP117" s="574"/>
      <c r="LZQ117" s="575"/>
      <c r="LZR117" s="583"/>
      <c r="LZS117" s="590"/>
      <c r="LZT117" s="589"/>
      <c r="LZU117" s="585"/>
      <c r="LZV117" s="577"/>
      <c r="LZW117" s="304"/>
      <c r="LZX117" s="572"/>
      <c r="LZY117" s="573"/>
      <c r="LZZ117" s="574"/>
      <c r="MAA117" s="575"/>
      <c r="MAB117" s="583"/>
      <c r="MAC117" s="590"/>
      <c r="MAD117" s="589"/>
      <c r="MAE117" s="585"/>
      <c r="MAF117" s="577"/>
      <c r="MAG117" s="304"/>
      <c r="MAH117" s="572"/>
      <c r="MAI117" s="573"/>
      <c r="MAJ117" s="574"/>
      <c r="MAK117" s="575"/>
      <c r="MAL117" s="583"/>
      <c r="MAM117" s="590"/>
      <c r="MAN117" s="589"/>
      <c r="MAO117" s="585"/>
      <c r="MAP117" s="577"/>
      <c r="MAQ117" s="304"/>
      <c r="MAR117" s="572"/>
      <c r="MAS117" s="573"/>
      <c r="MAT117" s="574"/>
      <c r="MAU117" s="575"/>
      <c r="MAV117" s="583"/>
      <c r="MAW117" s="590"/>
      <c r="MAX117" s="589"/>
      <c r="MAY117" s="585"/>
      <c r="MAZ117" s="577"/>
      <c r="MBA117" s="304"/>
      <c r="MBB117" s="572"/>
      <c r="MBC117" s="573"/>
      <c r="MBD117" s="574"/>
      <c r="MBE117" s="575"/>
      <c r="MBF117" s="583"/>
      <c r="MBG117" s="590"/>
      <c r="MBH117" s="589"/>
      <c r="MBI117" s="585"/>
      <c r="MBJ117" s="577"/>
      <c r="MBK117" s="304"/>
      <c r="MBL117" s="572"/>
      <c r="MBM117" s="573"/>
      <c r="MBN117" s="574"/>
      <c r="MBO117" s="575"/>
      <c r="MBP117" s="583"/>
      <c r="MBQ117" s="590"/>
      <c r="MBR117" s="589"/>
      <c r="MBS117" s="585"/>
      <c r="MBT117" s="577"/>
      <c r="MBU117" s="304"/>
      <c r="MBV117" s="572"/>
      <c r="MBW117" s="573"/>
      <c r="MBX117" s="574"/>
      <c r="MBY117" s="575"/>
      <c r="MBZ117" s="583"/>
      <c r="MCA117" s="590"/>
      <c r="MCB117" s="589"/>
      <c r="MCC117" s="585"/>
      <c r="MCD117" s="577"/>
      <c r="MCE117" s="304"/>
      <c r="MCF117" s="572"/>
      <c r="MCG117" s="573"/>
      <c r="MCH117" s="574"/>
      <c r="MCI117" s="575"/>
      <c r="MCJ117" s="583"/>
      <c r="MCK117" s="590"/>
      <c r="MCL117" s="589"/>
      <c r="MCM117" s="585"/>
      <c r="MCN117" s="577"/>
      <c r="MCO117" s="304"/>
      <c r="MCP117" s="572"/>
      <c r="MCQ117" s="573"/>
      <c r="MCR117" s="574"/>
      <c r="MCS117" s="575"/>
      <c r="MCT117" s="583"/>
      <c r="MCU117" s="590"/>
      <c r="MCV117" s="589"/>
      <c r="MCW117" s="585"/>
      <c r="MCX117" s="577"/>
      <c r="MCY117" s="304"/>
      <c r="MCZ117" s="572"/>
      <c r="MDA117" s="573"/>
      <c r="MDB117" s="574"/>
      <c r="MDC117" s="575"/>
      <c r="MDD117" s="583"/>
      <c r="MDE117" s="590"/>
      <c r="MDF117" s="589"/>
      <c r="MDG117" s="585"/>
      <c r="MDH117" s="577"/>
      <c r="MDI117" s="304"/>
      <c r="MDJ117" s="572"/>
      <c r="MDK117" s="573"/>
      <c r="MDL117" s="574"/>
      <c r="MDM117" s="575"/>
      <c r="MDN117" s="583"/>
      <c r="MDO117" s="590"/>
      <c r="MDP117" s="589"/>
      <c r="MDQ117" s="585"/>
      <c r="MDR117" s="577"/>
      <c r="MDS117" s="304"/>
      <c r="MDT117" s="572"/>
      <c r="MDU117" s="573"/>
      <c r="MDV117" s="574"/>
      <c r="MDW117" s="575"/>
      <c r="MDX117" s="583"/>
      <c r="MDY117" s="590"/>
      <c r="MDZ117" s="589"/>
      <c r="MEA117" s="585"/>
      <c r="MEB117" s="577"/>
      <c r="MEC117" s="304"/>
      <c r="MED117" s="572"/>
      <c r="MEE117" s="573"/>
      <c r="MEF117" s="574"/>
      <c r="MEG117" s="575"/>
      <c r="MEH117" s="583"/>
      <c r="MEI117" s="590"/>
      <c r="MEJ117" s="589"/>
      <c r="MEK117" s="585"/>
      <c r="MEL117" s="577"/>
      <c r="MEM117" s="304"/>
      <c r="MEN117" s="572"/>
      <c r="MEO117" s="573"/>
      <c r="MEP117" s="574"/>
      <c r="MEQ117" s="575"/>
      <c r="MER117" s="583"/>
      <c r="MES117" s="590"/>
      <c r="MET117" s="589"/>
      <c r="MEU117" s="585"/>
      <c r="MEV117" s="577"/>
      <c r="MEW117" s="304"/>
      <c r="MEX117" s="572"/>
      <c r="MEY117" s="573"/>
      <c r="MEZ117" s="574"/>
      <c r="MFA117" s="575"/>
      <c r="MFB117" s="583"/>
      <c r="MFC117" s="590"/>
      <c r="MFD117" s="589"/>
      <c r="MFE117" s="585"/>
      <c r="MFF117" s="577"/>
      <c r="MFG117" s="304"/>
      <c r="MFH117" s="572"/>
      <c r="MFI117" s="573"/>
      <c r="MFJ117" s="574"/>
      <c r="MFK117" s="575"/>
      <c r="MFL117" s="583"/>
      <c r="MFM117" s="590"/>
      <c r="MFN117" s="589"/>
      <c r="MFO117" s="585"/>
      <c r="MFP117" s="577"/>
      <c r="MFQ117" s="304"/>
      <c r="MFR117" s="572"/>
      <c r="MFS117" s="573"/>
      <c r="MFT117" s="574"/>
      <c r="MFU117" s="575"/>
      <c r="MFV117" s="583"/>
      <c r="MFW117" s="590"/>
      <c r="MFX117" s="589"/>
      <c r="MFY117" s="585"/>
      <c r="MFZ117" s="577"/>
      <c r="MGA117" s="304"/>
      <c r="MGB117" s="572"/>
      <c r="MGC117" s="573"/>
      <c r="MGD117" s="574"/>
      <c r="MGE117" s="575"/>
      <c r="MGF117" s="583"/>
      <c r="MGG117" s="590"/>
      <c r="MGH117" s="589"/>
      <c r="MGI117" s="585"/>
      <c r="MGJ117" s="577"/>
      <c r="MGK117" s="304"/>
      <c r="MGL117" s="572"/>
      <c r="MGM117" s="573"/>
      <c r="MGN117" s="574"/>
      <c r="MGO117" s="575"/>
      <c r="MGP117" s="583"/>
      <c r="MGQ117" s="590"/>
      <c r="MGR117" s="589"/>
      <c r="MGS117" s="585"/>
      <c r="MGT117" s="577"/>
      <c r="MGU117" s="304"/>
      <c r="MGV117" s="572"/>
      <c r="MGW117" s="573"/>
      <c r="MGX117" s="574"/>
      <c r="MGY117" s="575"/>
      <c r="MGZ117" s="583"/>
      <c r="MHA117" s="590"/>
      <c r="MHB117" s="589"/>
      <c r="MHC117" s="585"/>
      <c r="MHD117" s="577"/>
      <c r="MHE117" s="304"/>
      <c r="MHF117" s="572"/>
      <c r="MHG117" s="573"/>
      <c r="MHH117" s="574"/>
      <c r="MHI117" s="575"/>
      <c r="MHJ117" s="583"/>
      <c r="MHK117" s="590"/>
      <c r="MHL117" s="589"/>
      <c r="MHM117" s="585"/>
      <c r="MHN117" s="577"/>
      <c r="MHO117" s="304"/>
      <c r="MHP117" s="572"/>
      <c r="MHQ117" s="573"/>
      <c r="MHR117" s="574"/>
      <c r="MHS117" s="575"/>
      <c r="MHT117" s="583"/>
      <c r="MHU117" s="590"/>
      <c r="MHV117" s="589"/>
      <c r="MHW117" s="585"/>
      <c r="MHX117" s="577"/>
      <c r="MHY117" s="304"/>
      <c r="MHZ117" s="572"/>
      <c r="MIA117" s="573"/>
      <c r="MIB117" s="574"/>
      <c r="MIC117" s="575"/>
      <c r="MID117" s="583"/>
      <c r="MIE117" s="590"/>
      <c r="MIF117" s="589"/>
      <c r="MIG117" s="585"/>
      <c r="MIH117" s="577"/>
      <c r="MII117" s="304"/>
      <c r="MIJ117" s="572"/>
      <c r="MIK117" s="573"/>
      <c r="MIL117" s="574"/>
      <c r="MIM117" s="575"/>
      <c r="MIN117" s="583"/>
      <c r="MIO117" s="590"/>
      <c r="MIP117" s="589"/>
      <c r="MIQ117" s="585"/>
      <c r="MIR117" s="577"/>
      <c r="MIS117" s="304"/>
      <c r="MIT117" s="572"/>
      <c r="MIU117" s="573"/>
      <c r="MIV117" s="574"/>
      <c r="MIW117" s="575"/>
      <c r="MIX117" s="583"/>
      <c r="MIY117" s="590"/>
      <c r="MIZ117" s="589"/>
      <c r="MJA117" s="585"/>
      <c r="MJB117" s="577"/>
      <c r="MJC117" s="304"/>
      <c r="MJD117" s="572"/>
      <c r="MJE117" s="573"/>
      <c r="MJF117" s="574"/>
      <c r="MJG117" s="575"/>
      <c r="MJH117" s="583"/>
      <c r="MJI117" s="590"/>
      <c r="MJJ117" s="589"/>
      <c r="MJK117" s="585"/>
      <c r="MJL117" s="577"/>
      <c r="MJM117" s="304"/>
      <c r="MJN117" s="572"/>
      <c r="MJO117" s="573"/>
      <c r="MJP117" s="574"/>
      <c r="MJQ117" s="575"/>
      <c r="MJR117" s="583"/>
      <c r="MJS117" s="590"/>
      <c r="MJT117" s="589"/>
      <c r="MJU117" s="585"/>
      <c r="MJV117" s="577"/>
      <c r="MJW117" s="304"/>
      <c r="MJX117" s="572"/>
      <c r="MJY117" s="573"/>
      <c r="MJZ117" s="574"/>
      <c r="MKA117" s="575"/>
      <c r="MKB117" s="583"/>
      <c r="MKC117" s="590"/>
      <c r="MKD117" s="589"/>
      <c r="MKE117" s="585"/>
      <c r="MKF117" s="577"/>
      <c r="MKG117" s="304"/>
      <c r="MKH117" s="572"/>
      <c r="MKI117" s="573"/>
      <c r="MKJ117" s="574"/>
      <c r="MKK117" s="575"/>
      <c r="MKL117" s="583"/>
      <c r="MKM117" s="590"/>
      <c r="MKN117" s="589"/>
      <c r="MKO117" s="585"/>
      <c r="MKP117" s="577"/>
      <c r="MKQ117" s="304"/>
      <c r="MKR117" s="572"/>
      <c r="MKS117" s="573"/>
      <c r="MKT117" s="574"/>
      <c r="MKU117" s="575"/>
      <c r="MKV117" s="583"/>
      <c r="MKW117" s="590"/>
      <c r="MKX117" s="589"/>
      <c r="MKY117" s="585"/>
      <c r="MKZ117" s="577"/>
      <c r="MLA117" s="304"/>
      <c r="MLB117" s="572"/>
      <c r="MLC117" s="573"/>
      <c r="MLD117" s="574"/>
      <c r="MLE117" s="575"/>
      <c r="MLF117" s="583"/>
      <c r="MLG117" s="590"/>
      <c r="MLH117" s="589"/>
      <c r="MLI117" s="585"/>
      <c r="MLJ117" s="577"/>
      <c r="MLK117" s="304"/>
      <c r="MLL117" s="572"/>
      <c r="MLM117" s="573"/>
      <c r="MLN117" s="574"/>
      <c r="MLO117" s="575"/>
      <c r="MLP117" s="583"/>
      <c r="MLQ117" s="590"/>
      <c r="MLR117" s="589"/>
      <c r="MLS117" s="585"/>
      <c r="MLT117" s="577"/>
      <c r="MLU117" s="304"/>
      <c r="MLV117" s="572"/>
      <c r="MLW117" s="573"/>
      <c r="MLX117" s="574"/>
      <c r="MLY117" s="575"/>
      <c r="MLZ117" s="583"/>
      <c r="MMA117" s="590"/>
      <c r="MMB117" s="589"/>
      <c r="MMC117" s="585"/>
      <c r="MMD117" s="577"/>
      <c r="MME117" s="304"/>
      <c r="MMF117" s="572"/>
      <c r="MMG117" s="573"/>
      <c r="MMH117" s="574"/>
      <c r="MMI117" s="575"/>
      <c r="MMJ117" s="583"/>
      <c r="MMK117" s="590"/>
      <c r="MML117" s="589"/>
      <c r="MMM117" s="585"/>
      <c r="MMN117" s="577"/>
      <c r="MMO117" s="304"/>
      <c r="MMP117" s="572"/>
      <c r="MMQ117" s="573"/>
      <c r="MMR117" s="574"/>
      <c r="MMS117" s="575"/>
      <c r="MMT117" s="583"/>
      <c r="MMU117" s="590"/>
      <c r="MMV117" s="589"/>
      <c r="MMW117" s="585"/>
      <c r="MMX117" s="577"/>
      <c r="MMY117" s="304"/>
      <c r="MMZ117" s="572"/>
      <c r="MNA117" s="573"/>
      <c r="MNB117" s="574"/>
      <c r="MNC117" s="575"/>
      <c r="MND117" s="583"/>
      <c r="MNE117" s="590"/>
      <c r="MNF117" s="589"/>
      <c r="MNG117" s="585"/>
      <c r="MNH117" s="577"/>
      <c r="MNI117" s="304"/>
      <c r="MNJ117" s="572"/>
      <c r="MNK117" s="573"/>
      <c r="MNL117" s="574"/>
      <c r="MNM117" s="575"/>
      <c r="MNN117" s="583"/>
      <c r="MNO117" s="590"/>
      <c r="MNP117" s="589"/>
      <c r="MNQ117" s="585"/>
      <c r="MNR117" s="577"/>
      <c r="MNS117" s="304"/>
      <c r="MNT117" s="572"/>
      <c r="MNU117" s="573"/>
      <c r="MNV117" s="574"/>
      <c r="MNW117" s="575"/>
      <c r="MNX117" s="583"/>
      <c r="MNY117" s="590"/>
      <c r="MNZ117" s="589"/>
      <c r="MOA117" s="585"/>
      <c r="MOB117" s="577"/>
      <c r="MOC117" s="304"/>
      <c r="MOD117" s="572"/>
      <c r="MOE117" s="573"/>
      <c r="MOF117" s="574"/>
      <c r="MOG117" s="575"/>
      <c r="MOH117" s="583"/>
      <c r="MOI117" s="590"/>
      <c r="MOJ117" s="589"/>
      <c r="MOK117" s="585"/>
      <c r="MOL117" s="577"/>
      <c r="MOM117" s="304"/>
      <c r="MON117" s="572"/>
      <c r="MOO117" s="573"/>
      <c r="MOP117" s="574"/>
      <c r="MOQ117" s="575"/>
      <c r="MOR117" s="583"/>
      <c r="MOS117" s="590"/>
      <c r="MOT117" s="589"/>
      <c r="MOU117" s="585"/>
      <c r="MOV117" s="577"/>
      <c r="MOW117" s="304"/>
      <c r="MOX117" s="572"/>
      <c r="MOY117" s="573"/>
      <c r="MOZ117" s="574"/>
      <c r="MPA117" s="575"/>
      <c r="MPB117" s="583"/>
      <c r="MPC117" s="590"/>
      <c r="MPD117" s="589"/>
      <c r="MPE117" s="585"/>
      <c r="MPF117" s="577"/>
      <c r="MPG117" s="304"/>
      <c r="MPH117" s="572"/>
      <c r="MPI117" s="573"/>
      <c r="MPJ117" s="574"/>
      <c r="MPK117" s="575"/>
      <c r="MPL117" s="583"/>
      <c r="MPM117" s="590"/>
      <c r="MPN117" s="589"/>
      <c r="MPO117" s="585"/>
      <c r="MPP117" s="577"/>
      <c r="MPQ117" s="304"/>
      <c r="MPR117" s="572"/>
      <c r="MPS117" s="573"/>
      <c r="MPT117" s="574"/>
      <c r="MPU117" s="575"/>
      <c r="MPV117" s="583"/>
      <c r="MPW117" s="590"/>
      <c r="MPX117" s="589"/>
      <c r="MPY117" s="585"/>
      <c r="MPZ117" s="577"/>
      <c r="MQA117" s="304"/>
      <c r="MQB117" s="572"/>
      <c r="MQC117" s="573"/>
      <c r="MQD117" s="574"/>
      <c r="MQE117" s="575"/>
      <c r="MQF117" s="583"/>
      <c r="MQG117" s="590"/>
      <c r="MQH117" s="589"/>
      <c r="MQI117" s="585"/>
      <c r="MQJ117" s="577"/>
      <c r="MQK117" s="304"/>
      <c r="MQL117" s="572"/>
      <c r="MQM117" s="573"/>
      <c r="MQN117" s="574"/>
      <c r="MQO117" s="575"/>
      <c r="MQP117" s="583"/>
      <c r="MQQ117" s="590"/>
      <c r="MQR117" s="589"/>
      <c r="MQS117" s="585"/>
      <c r="MQT117" s="577"/>
      <c r="MQU117" s="304"/>
      <c r="MQV117" s="572"/>
      <c r="MQW117" s="573"/>
      <c r="MQX117" s="574"/>
      <c r="MQY117" s="575"/>
      <c r="MQZ117" s="583"/>
      <c r="MRA117" s="590"/>
      <c r="MRB117" s="589"/>
      <c r="MRC117" s="585"/>
      <c r="MRD117" s="577"/>
      <c r="MRE117" s="304"/>
      <c r="MRF117" s="572"/>
      <c r="MRG117" s="573"/>
      <c r="MRH117" s="574"/>
      <c r="MRI117" s="575"/>
      <c r="MRJ117" s="583"/>
      <c r="MRK117" s="590"/>
      <c r="MRL117" s="589"/>
      <c r="MRM117" s="585"/>
      <c r="MRN117" s="577"/>
      <c r="MRO117" s="304"/>
      <c r="MRP117" s="572"/>
      <c r="MRQ117" s="573"/>
      <c r="MRR117" s="574"/>
      <c r="MRS117" s="575"/>
      <c r="MRT117" s="583"/>
      <c r="MRU117" s="590"/>
      <c r="MRV117" s="589"/>
      <c r="MRW117" s="585"/>
      <c r="MRX117" s="577"/>
      <c r="MRY117" s="304"/>
      <c r="MRZ117" s="572"/>
      <c r="MSA117" s="573"/>
      <c r="MSB117" s="574"/>
      <c r="MSC117" s="575"/>
      <c r="MSD117" s="583"/>
      <c r="MSE117" s="590"/>
      <c r="MSF117" s="589"/>
      <c r="MSG117" s="585"/>
      <c r="MSH117" s="577"/>
      <c r="MSI117" s="304"/>
      <c r="MSJ117" s="572"/>
      <c r="MSK117" s="573"/>
      <c r="MSL117" s="574"/>
      <c r="MSM117" s="575"/>
      <c r="MSN117" s="583"/>
      <c r="MSO117" s="590"/>
      <c r="MSP117" s="589"/>
      <c r="MSQ117" s="585"/>
      <c r="MSR117" s="577"/>
      <c r="MSS117" s="304"/>
      <c r="MST117" s="572"/>
      <c r="MSU117" s="573"/>
      <c r="MSV117" s="574"/>
      <c r="MSW117" s="575"/>
      <c r="MSX117" s="583"/>
      <c r="MSY117" s="590"/>
      <c r="MSZ117" s="589"/>
      <c r="MTA117" s="585"/>
      <c r="MTB117" s="577"/>
      <c r="MTC117" s="304"/>
      <c r="MTD117" s="572"/>
      <c r="MTE117" s="573"/>
      <c r="MTF117" s="574"/>
      <c r="MTG117" s="575"/>
      <c r="MTH117" s="583"/>
      <c r="MTI117" s="590"/>
      <c r="MTJ117" s="589"/>
      <c r="MTK117" s="585"/>
      <c r="MTL117" s="577"/>
      <c r="MTM117" s="304"/>
      <c r="MTN117" s="572"/>
      <c r="MTO117" s="573"/>
      <c r="MTP117" s="574"/>
      <c r="MTQ117" s="575"/>
      <c r="MTR117" s="583"/>
      <c r="MTS117" s="590"/>
      <c r="MTT117" s="589"/>
      <c r="MTU117" s="585"/>
      <c r="MTV117" s="577"/>
      <c r="MTW117" s="304"/>
      <c r="MTX117" s="572"/>
      <c r="MTY117" s="573"/>
      <c r="MTZ117" s="574"/>
      <c r="MUA117" s="575"/>
      <c r="MUB117" s="583"/>
      <c r="MUC117" s="590"/>
      <c r="MUD117" s="589"/>
      <c r="MUE117" s="585"/>
      <c r="MUF117" s="577"/>
      <c r="MUG117" s="304"/>
      <c r="MUH117" s="572"/>
      <c r="MUI117" s="573"/>
      <c r="MUJ117" s="574"/>
      <c r="MUK117" s="575"/>
      <c r="MUL117" s="583"/>
      <c r="MUM117" s="590"/>
      <c r="MUN117" s="589"/>
      <c r="MUO117" s="585"/>
      <c r="MUP117" s="577"/>
      <c r="MUQ117" s="304"/>
      <c r="MUR117" s="572"/>
      <c r="MUS117" s="573"/>
      <c r="MUT117" s="574"/>
      <c r="MUU117" s="575"/>
      <c r="MUV117" s="583"/>
      <c r="MUW117" s="590"/>
      <c r="MUX117" s="589"/>
      <c r="MUY117" s="585"/>
      <c r="MUZ117" s="577"/>
      <c r="MVA117" s="304"/>
      <c r="MVB117" s="572"/>
      <c r="MVC117" s="573"/>
      <c r="MVD117" s="574"/>
      <c r="MVE117" s="575"/>
      <c r="MVF117" s="583"/>
      <c r="MVG117" s="590"/>
      <c r="MVH117" s="589"/>
      <c r="MVI117" s="585"/>
      <c r="MVJ117" s="577"/>
      <c r="MVK117" s="304"/>
      <c r="MVL117" s="572"/>
      <c r="MVM117" s="573"/>
      <c r="MVN117" s="574"/>
      <c r="MVO117" s="575"/>
      <c r="MVP117" s="583"/>
      <c r="MVQ117" s="590"/>
      <c r="MVR117" s="589"/>
      <c r="MVS117" s="585"/>
      <c r="MVT117" s="577"/>
      <c r="MVU117" s="304"/>
      <c r="MVV117" s="572"/>
      <c r="MVW117" s="573"/>
      <c r="MVX117" s="574"/>
      <c r="MVY117" s="575"/>
      <c r="MVZ117" s="583"/>
      <c r="MWA117" s="590"/>
      <c r="MWB117" s="589"/>
      <c r="MWC117" s="585"/>
      <c r="MWD117" s="577"/>
      <c r="MWE117" s="304"/>
      <c r="MWF117" s="572"/>
      <c r="MWG117" s="573"/>
      <c r="MWH117" s="574"/>
      <c r="MWI117" s="575"/>
      <c r="MWJ117" s="583"/>
      <c r="MWK117" s="590"/>
      <c r="MWL117" s="589"/>
      <c r="MWM117" s="585"/>
      <c r="MWN117" s="577"/>
      <c r="MWO117" s="304"/>
      <c r="MWP117" s="572"/>
      <c r="MWQ117" s="573"/>
      <c r="MWR117" s="574"/>
      <c r="MWS117" s="575"/>
      <c r="MWT117" s="583"/>
      <c r="MWU117" s="590"/>
      <c r="MWV117" s="589"/>
      <c r="MWW117" s="585"/>
      <c r="MWX117" s="577"/>
      <c r="MWY117" s="304"/>
      <c r="MWZ117" s="572"/>
      <c r="MXA117" s="573"/>
      <c r="MXB117" s="574"/>
      <c r="MXC117" s="575"/>
      <c r="MXD117" s="583"/>
      <c r="MXE117" s="590"/>
      <c r="MXF117" s="589"/>
      <c r="MXG117" s="585"/>
      <c r="MXH117" s="577"/>
      <c r="MXI117" s="304"/>
      <c r="MXJ117" s="572"/>
      <c r="MXK117" s="573"/>
      <c r="MXL117" s="574"/>
      <c r="MXM117" s="575"/>
      <c r="MXN117" s="583"/>
      <c r="MXO117" s="590"/>
      <c r="MXP117" s="589"/>
      <c r="MXQ117" s="585"/>
      <c r="MXR117" s="577"/>
      <c r="MXS117" s="304"/>
      <c r="MXT117" s="572"/>
      <c r="MXU117" s="573"/>
      <c r="MXV117" s="574"/>
      <c r="MXW117" s="575"/>
      <c r="MXX117" s="583"/>
      <c r="MXY117" s="590"/>
      <c r="MXZ117" s="589"/>
      <c r="MYA117" s="585"/>
      <c r="MYB117" s="577"/>
      <c r="MYC117" s="304"/>
      <c r="MYD117" s="572"/>
      <c r="MYE117" s="573"/>
      <c r="MYF117" s="574"/>
      <c r="MYG117" s="575"/>
      <c r="MYH117" s="583"/>
      <c r="MYI117" s="590"/>
      <c r="MYJ117" s="589"/>
      <c r="MYK117" s="585"/>
      <c r="MYL117" s="577"/>
      <c r="MYM117" s="304"/>
      <c r="MYN117" s="572"/>
      <c r="MYO117" s="573"/>
      <c r="MYP117" s="574"/>
      <c r="MYQ117" s="575"/>
      <c r="MYR117" s="583"/>
      <c r="MYS117" s="590"/>
      <c r="MYT117" s="589"/>
      <c r="MYU117" s="585"/>
      <c r="MYV117" s="577"/>
      <c r="MYW117" s="304"/>
      <c r="MYX117" s="572"/>
      <c r="MYY117" s="573"/>
      <c r="MYZ117" s="574"/>
      <c r="MZA117" s="575"/>
      <c r="MZB117" s="583"/>
      <c r="MZC117" s="590"/>
      <c r="MZD117" s="589"/>
      <c r="MZE117" s="585"/>
      <c r="MZF117" s="577"/>
      <c r="MZG117" s="304"/>
      <c r="MZH117" s="572"/>
      <c r="MZI117" s="573"/>
      <c r="MZJ117" s="574"/>
      <c r="MZK117" s="575"/>
      <c r="MZL117" s="583"/>
      <c r="MZM117" s="590"/>
      <c r="MZN117" s="589"/>
      <c r="MZO117" s="585"/>
      <c r="MZP117" s="577"/>
      <c r="MZQ117" s="304"/>
      <c r="MZR117" s="572"/>
      <c r="MZS117" s="573"/>
      <c r="MZT117" s="574"/>
      <c r="MZU117" s="575"/>
      <c r="MZV117" s="583"/>
      <c r="MZW117" s="590"/>
      <c r="MZX117" s="589"/>
      <c r="MZY117" s="585"/>
      <c r="MZZ117" s="577"/>
      <c r="NAA117" s="304"/>
      <c r="NAB117" s="572"/>
      <c r="NAC117" s="573"/>
      <c r="NAD117" s="574"/>
      <c r="NAE117" s="575"/>
      <c r="NAF117" s="583"/>
      <c r="NAG117" s="590"/>
      <c r="NAH117" s="589"/>
      <c r="NAI117" s="585"/>
      <c r="NAJ117" s="577"/>
      <c r="NAK117" s="304"/>
      <c r="NAL117" s="572"/>
      <c r="NAM117" s="573"/>
      <c r="NAN117" s="574"/>
      <c r="NAO117" s="575"/>
      <c r="NAP117" s="583"/>
      <c r="NAQ117" s="590"/>
      <c r="NAR117" s="589"/>
      <c r="NAS117" s="585"/>
      <c r="NAT117" s="577"/>
      <c r="NAU117" s="304"/>
      <c r="NAV117" s="572"/>
      <c r="NAW117" s="573"/>
      <c r="NAX117" s="574"/>
      <c r="NAY117" s="575"/>
      <c r="NAZ117" s="583"/>
      <c r="NBA117" s="590"/>
      <c r="NBB117" s="589"/>
      <c r="NBC117" s="585"/>
      <c r="NBD117" s="577"/>
      <c r="NBE117" s="304"/>
      <c r="NBF117" s="572"/>
      <c r="NBG117" s="573"/>
      <c r="NBH117" s="574"/>
      <c r="NBI117" s="575"/>
      <c r="NBJ117" s="583"/>
      <c r="NBK117" s="590"/>
      <c r="NBL117" s="589"/>
      <c r="NBM117" s="585"/>
      <c r="NBN117" s="577"/>
      <c r="NBO117" s="304"/>
      <c r="NBP117" s="572"/>
      <c r="NBQ117" s="573"/>
      <c r="NBR117" s="574"/>
      <c r="NBS117" s="575"/>
      <c r="NBT117" s="583"/>
      <c r="NBU117" s="590"/>
      <c r="NBV117" s="589"/>
      <c r="NBW117" s="585"/>
      <c r="NBX117" s="577"/>
      <c r="NBY117" s="304"/>
      <c r="NBZ117" s="572"/>
      <c r="NCA117" s="573"/>
      <c r="NCB117" s="574"/>
      <c r="NCC117" s="575"/>
      <c r="NCD117" s="583"/>
      <c r="NCE117" s="590"/>
      <c r="NCF117" s="589"/>
      <c r="NCG117" s="585"/>
      <c r="NCH117" s="577"/>
      <c r="NCI117" s="304"/>
      <c r="NCJ117" s="572"/>
      <c r="NCK117" s="573"/>
      <c r="NCL117" s="574"/>
      <c r="NCM117" s="575"/>
      <c r="NCN117" s="583"/>
      <c r="NCO117" s="590"/>
      <c r="NCP117" s="589"/>
      <c r="NCQ117" s="585"/>
      <c r="NCR117" s="577"/>
      <c r="NCS117" s="304"/>
      <c r="NCT117" s="572"/>
      <c r="NCU117" s="573"/>
      <c r="NCV117" s="574"/>
      <c r="NCW117" s="575"/>
      <c r="NCX117" s="583"/>
      <c r="NCY117" s="590"/>
      <c r="NCZ117" s="589"/>
      <c r="NDA117" s="585"/>
      <c r="NDB117" s="577"/>
      <c r="NDC117" s="304"/>
      <c r="NDD117" s="572"/>
      <c r="NDE117" s="573"/>
      <c r="NDF117" s="574"/>
      <c r="NDG117" s="575"/>
      <c r="NDH117" s="583"/>
      <c r="NDI117" s="590"/>
      <c r="NDJ117" s="589"/>
      <c r="NDK117" s="585"/>
      <c r="NDL117" s="577"/>
      <c r="NDM117" s="304"/>
      <c r="NDN117" s="572"/>
      <c r="NDO117" s="573"/>
      <c r="NDP117" s="574"/>
      <c r="NDQ117" s="575"/>
      <c r="NDR117" s="583"/>
      <c r="NDS117" s="590"/>
      <c r="NDT117" s="589"/>
      <c r="NDU117" s="585"/>
      <c r="NDV117" s="577"/>
      <c r="NDW117" s="304"/>
      <c r="NDX117" s="572"/>
      <c r="NDY117" s="573"/>
      <c r="NDZ117" s="574"/>
      <c r="NEA117" s="575"/>
      <c r="NEB117" s="583"/>
      <c r="NEC117" s="590"/>
      <c r="NED117" s="589"/>
      <c r="NEE117" s="585"/>
      <c r="NEF117" s="577"/>
      <c r="NEG117" s="304"/>
      <c r="NEH117" s="572"/>
      <c r="NEI117" s="573"/>
      <c r="NEJ117" s="574"/>
      <c r="NEK117" s="575"/>
      <c r="NEL117" s="583"/>
      <c r="NEM117" s="590"/>
      <c r="NEN117" s="589"/>
      <c r="NEO117" s="585"/>
      <c r="NEP117" s="577"/>
      <c r="NEQ117" s="304"/>
      <c r="NER117" s="572"/>
      <c r="NES117" s="573"/>
      <c r="NET117" s="574"/>
      <c r="NEU117" s="575"/>
      <c r="NEV117" s="583"/>
      <c r="NEW117" s="590"/>
      <c r="NEX117" s="589"/>
      <c r="NEY117" s="585"/>
      <c r="NEZ117" s="577"/>
      <c r="NFA117" s="304"/>
      <c r="NFB117" s="572"/>
      <c r="NFC117" s="573"/>
      <c r="NFD117" s="574"/>
      <c r="NFE117" s="575"/>
      <c r="NFF117" s="583"/>
      <c r="NFG117" s="590"/>
      <c r="NFH117" s="589"/>
      <c r="NFI117" s="585"/>
      <c r="NFJ117" s="577"/>
      <c r="NFK117" s="304"/>
      <c r="NFL117" s="572"/>
      <c r="NFM117" s="573"/>
      <c r="NFN117" s="574"/>
      <c r="NFO117" s="575"/>
      <c r="NFP117" s="583"/>
      <c r="NFQ117" s="590"/>
      <c r="NFR117" s="589"/>
      <c r="NFS117" s="585"/>
      <c r="NFT117" s="577"/>
      <c r="NFU117" s="304"/>
      <c r="NFV117" s="572"/>
      <c r="NFW117" s="573"/>
      <c r="NFX117" s="574"/>
      <c r="NFY117" s="575"/>
      <c r="NFZ117" s="583"/>
      <c r="NGA117" s="590"/>
      <c r="NGB117" s="589"/>
      <c r="NGC117" s="585"/>
      <c r="NGD117" s="577"/>
      <c r="NGE117" s="304"/>
      <c r="NGF117" s="572"/>
      <c r="NGG117" s="573"/>
      <c r="NGH117" s="574"/>
      <c r="NGI117" s="575"/>
      <c r="NGJ117" s="583"/>
      <c r="NGK117" s="590"/>
      <c r="NGL117" s="589"/>
      <c r="NGM117" s="585"/>
      <c r="NGN117" s="577"/>
      <c r="NGO117" s="304"/>
      <c r="NGP117" s="572"/>
      <c r="NGQ117" s="573"/>
      <c r="NGR117" s="574"/>
      <c r="NGS117" s="575"/>
      <c r="NGT117" s="583"/>
      <c r="NGU117" s="590"/>
      <c r="NGV117" s="589"/>
      <c r="NGW117" s="585"/>
      <c r="NGX117" s="577"/>
      <c r="NGY117" s="304"/>
      <c r="NGZ117" s="572"/>
      <c r="NHA117" s="573"/>
      <c r="NHB117" s="574"/>
      <c r="NHC117" s="575"/>
      <c r="NHD117" s="583"/>
      <c r="NHE117" s="590"/>
      <c r="NHF117" s="589"/>
      <c r="NHG117" s="585"/>
      <c r="NHH117" s="577"/>
      <c r="NHI117" s="304"/>
      <c r="NHJ117" s="572"/>
      <c r="NHK117" s="573"/>
      <c r="NHL117" s="574"/>
      <c r="NHM117" s="575"/>
      <c r="NHN117" s="583"/>
      <c r="NHO117" s="590"/>
      <c r="NHP117" s="589"/>
      <c r="NHQ117" s="585"/>
      <c r="NHR117" s="577"/>
      <c r="NHS117" s="304"/>
      <c r="NHT117" s="572"/>
      <c r="NHU117" s="573"/>
      <c r="NHV117" s="574"/>
      <c r="NHW117" s="575"/>
      <c r="NHX117" s="583"/>
      <c r="NHY117" s="590"/>
      <c r="NHZ117" s="589"/>
      <c r="NIA117" s="585"/>
      <c r="NIB117" s="577"/>
      <c r="NIC117" s="304"/>
      <c r="NID117" s="572"/>
      <c r="NIE117" s="573"/>
      <c r="NIF117" s="574"/>
      <c r="NIG117" s="575"/>
      <c r="NIH117" s="583"/>
      <c r="NII117" s="590"/>
      <c r="NIJ117" s="589"/>
      <c r="NIK117" s="585"/>
      <c r="NIL117" s="577"/>
      <c r="NIM117" s="304"/>
      <c r="NIN117" s="572"/>
      <c r="NIO117" s="573"/>
      <c r="NIP117" s="574"/>
      <c r="NIQ117" s="575"/>
      <c r="NIR117" s="583"/>
      <c r="NIS117" s="590"/>
      <c r="NIT117" s="589"/>
      <c r="NIU117" s="585"/>
      <c r="NIV117" s="577"/>
      <c r="NIW117" s="304"/>
      <c r="NIX117" s="572"/>
      <c r="NIY117" s="573"/>
      <c r="NIZ117" s="574"/>
      <c r="NJA117" s="575"/>
      <c r="NJB117" s="583"/>
      <c r="NJC117" s="590"/>
      <c r="NJD117" s="589"/>
      <c r="NJE117" s="585"/>
      <c r="NJF117" s="577"/>
      <c r="NJG117" s="304"/>
      <c r="NJH117" s="572"/>
      <c r="NJI117" s="573"/>
      <c r="NJJ117" s="574"/>
      <c r="NJK117" s="575"/>
      <c r="NJL117" s="583"/>
      <c r="NJM117" s="590"/>
      <c r="NJN117" s="589"/>
      <c r="NJO117" s="585"/>
      <c r="NJP117" s="577"/>
      <c r="NJQ117" s="304"/>
      <c r="NJR117" s="572"/>
      <c r="NJS117" s="573"/>
      <c r="NJT117" s="574"/>
      <c r="NJU117" s="575"/>
      <c r="NJV117" s="583"/>
      <c r="NJW117" s="590"/>
      <c r="NJX117" s="589"/>
      <c r="NJY117" s="585"/>
      <c r="NJZ117" s="577"/>
      <c r="NKA117" s="304"/>
      <c r="NKB117" s="572"/>
      <c r="NKC117" s="573"/>
      <c r="NKD117" s="574"/>
      <c r="NKE117" s="575"/>
      <c r="NKF117" s="583"/>
      <c r="NKG117" s="590"/>
      <c r="NKH117" s="589"/>
      <c r="NKI117" s="585"/>
      <c r="NKJ117" s="577"/>
      <c r="NKK117" s="304"/>
      <c r="NKL117" s="572"/>
      <c r="NKM117" s="573"/>
      <c r="NKN117" s="574"/>
      <c r="NKO117" s="575"/>
      <c r="NKP117" s="583"/>
      <c r="NKQ117" s="590"/>
      <c r="NKR117" s="589"/>
      <c r="NKS117" s="585"/>
      <c r="NKT117" s="577"/>
      <c r="NKU117" s="304"/>
      <c r="NKV117" s="572"/>
      <c r="NKW117" s="573"/>
      <c r="NKX117" s="574"/>
      <c r="NKY117" s="575"/>
      <c r="NKZ117" s="583"/>
      <c r="NLA117" s="590"/>
      <c r="NLB117" s="589"/>
      <c r="NLC117" s="585"/>
      <c r="NLD117" s="577"/>
      <c r="NLE117" s="304"/>
      <c r="NLF117" s="572"/>
      <c r="NLG117" s="573"/>
      <c r="NLH117" s="574"/>
      <c r="NLI117" s="575"/>
      <c r="NLJ117" s="583"/>
      <c r="NLK117" s="590"/>
      <c r="NLL117" s="589"/>
      <c r="NLM117" s="585"/>
      <c r="NLN117" s="577"/>
      <c r="NLO117" s="304"/>
      <c r="NLP117" s="572"/>
      <c r="NLQ117" s="573"/>
      <c r="NLR117" s="574"/>
      <c r="NLS117" s="575"/>
      <c r="NLT117" s="583"/>
      <c r="NLU117" s="590"/>
      <c r="NLV117" s="589"/>
      <c r="NLW117" s="585"/>
      <c r="NLX117" s="577"/>
      <c r="NLY117" s="304"/>
      <c r="NLZ117" s="572"/>
      <c r="NMA117" s="573"/>
      <c r="NMB117" s="574"/>
      <c r="NMC117" s="575"/>
      <c r="NMD117" s="583"/>
      <c r="NME117" s="590"/>
      <c r="NMF117" s="589"/>
      <c r="NMG117" s="585"/>
      <c r="NMH117" s="577"/>
      <c r="NMI117" s="304"/>
      <c r="NMJ117" s="572"/>
      <c r="NMK117" s="573"/>
      <c r="NML117" s="574"/>
      <c r="NMM117" s="575"/>
      <c r="NMN117" s="583"/>
      <c r="NMO117" s="590"/>
      <c r="NMP117" s="589"/>
      <c r="NMQ117" s="585"/>
      <c r="NMR117" s="577"/>
      <c r="NMS117" s="304"/>
      <c r="NMT117" s="572"/>
      <c r="NMU117" s="573"/>
      <c r="NMV117" s="574"/>
      <c r="NMW117" s="575"/>
      <c r="NMX117" s="583"/>
      <c r="NMY117" s="590"/>
      <c r="NMZ117" s="589"/>
      <c r="NNA117" s="585"/>
      <c r="NNB117" s="577"/>
      <c r="NNC117" s="304"/>
      <c r="NND117" s="572"/>
      <c r="NNE117" s="573"/>
      <c r="NNF117" s="574"/>
      <c r="NNG117" s="575"/>
      <c r="NNH117" s="583"/>
      <c r="NNI117" s="590"/>
      <c r="NNJ117" s="589"/>
      <c r="NNK117" s="585"/>
      <c r="NNL117" s="577"/>
      <c r="NNM117" s="304"/>
      <c r="NNN117" s="572"/>
      <c r="NNO117" s="573"/>
      <c r="NNP117" s="574"/>
      <c r="NNQ117" s="575"/>
      <c r="NNR117" s="583"/>
      <c r="NNS117" s="590"/>
      <c r="NNT117" s="589"/>
      <c r="NNU117" s="585"/>
      <c r="NNV117" s="577"/>
      <c r="NNW117" s="304"/>
      <c r="NNX117" s="572"/>
      <c r="NNY117" s="573"/>
      <c r="NNZ117" s="574"/>
      <c r="NOA117" s="575"/>
      <c r="NOB117" s="583"/>
      <c r="NOC117" s="590"/>
      <c r="NOD117" s="589"/>
      <c r="NOE117" s="585"/>
      <c r="NOF117" s="577"/>
      <c r="NOG117" s="304"/>
      <c r="NOH117" s="572"/>
      <c r="NOI117" s="573"/>
      <c r="NOJ117" s="574"/>
      <c r="NOK117" s="575"/>
      <c r="NOL117" s="583"/>
      <c r="NOM117" s="590"/>
      <c r="NON117" s="589"/>
      <c r="NOO117" s="585"/>
      <c r="NOP117" s="577"/>
      <c r="NOQ117" s="304"/>
      <c r="NOR117" s="572"/>
      <c r="NOS117" s="573"/>
      <c r="NOT117" s="574"/>
      <c r="NOU117" s="575"/>
      <c r="NOV117" s="583"/>
      <c r="NOW117" s="590"/>
      <c r="NOX117" s="589"/>
      <c r="NOY117" s="585"/>
      <c r="NOZ117" s="577"/>
      <c r="NPA117" s="304"/>
      <c r="NPB117" s="572"/>
      <c r="NPC117" s="573"/>
      <c r="NPD117" s="574"/>
      <c r="NPE117" s="575"/>
      <c r="NPF117" s="583"/>
      <c r="NPG117" s="590"/>
      <c r="NPH117" s="589"/>
      <c r="NPI117" s="585"/>
      <c r="NPJ117" s="577"/>
      <c r="NPK117" s="304"/>
      <c r="NPL117" s="572"/>
      <c r="NPM117" s="573"/>
      <c r="NPN117" s="574"/>
      <c r="NPO117" s="575"/>
      <c r="NPP117" s="583"/>
      <c r="NPQ117" s="590"/>
      <c r="NPR117" s="589"/>
      <c r="NPS117" s="585"/>
      <c r="NPT117" s="577"/>
      <c r="NPU117" s="304"/>
      <c r="NPV117" s="572"/>
      <c r="NPW117" s="573"/>
      <c r="NPX117" s="574"/>
      <c r="NPY117" s="575"/>
      <c r="NPZ117" s="583"/>
      <c r="NQA117" s="590"/>
      <c r="NQB117" s="589"/>
      <c r="NQC117" s="585"/>
      <c r="NQD117" s="577"/>
      <c r="NQE117" s="304"/>
      <c r="NQF117" s="572"/>
      <c r="NQG117" s="573"/>
      <c r="NQH117" s="574"/>
      <c r="NQI117" s="575"/>
      <c r="NQJ117" s="583"/>
      <c r="NQK117" s="590"/>
      <c r="NQL117" s="589"/>
      <c r="NQM117" s="585"/>
      <c r="NQN117" s="577"/>
      <c r="NQO117" s="304"/>
      <c r="NQP117" s="572"/>
      <c r="NQQ117" s="573"/>
      <c r="NQR117" s="574"/>
      <c r="NQS117" s="575"/>
      <c r="NQT117" s="583"/>
      <c r="NQU117" s="590"/>
      <c r="NQV117" s="589"/>
      <c r="NQW117" s="585"/>
      <c r="NQX117" s="577"/>
      <c r="NQY117" s="304"/>
      <c r="NQZ117" s="572"/>
      <c r="NRA117" s="573"/>
      <c r="NRB117" s="574"/>
      <c r="NRC117" s="575"/>
      <c r="NRD117" s="583"/>
      <c r="NRE117" s="590"/>
      <c r="NRF117" s="589"/>
      <c r="NRG117" s="585"/>
      <c r="NRH117" s="577"/>
      <c r="NRI117" s="304"/>
      <c r="NRJ117" s="572"/>
      <c r="NRK117" s="573"/>
      <c r="NRL117" s="574"/>
      <c r="NRM117" s="575"/>
      <c r="NRN117" s="583"/>
      <c r="NRO117" s="590"/>
      <c r="NRP117" s="589"/>
      <c r="NRQ117" s="585"/>
      <c r="NRR117" s="577"/>
      <c r="NRS117" s="304"/>
      <c r="NRT117" s="572"/>
      <c r="NRU117" s="573"/>
      <c r="NRV117" s="574"/>
      <c r="NRW117" s="575"/>
      <c r="NRX117" s="583"/>
      <c r="NRY117" s="590"/>
      <c r="NRZ117" s="589"/>
      <c r="NSA117" s="585"/>
      <c r="NSB117" s="577"/>
      <c r="NSC117" s="304"/>
      <c r="NSD117" s="572"/>
      <c r="NSE117" s="573"/>
      <c r="NSF117" s="574"/>
      <c r="NSG117" s="575"/>
      <c r="NSH117" s="583"/>
      <c r="NSI117" s="590"/>
      <c r="NSJ117" s="589"/>
      <c r="NSK117" s="585"/>
      <c r="NSL117" s="577"/>
      <c r="NSM117" s="304"/>
      <c r="NSN117" s="572"/>
      <c r="NSO117" s="573"/>
      <c r="NSP117" s="574"/>
      <c r="NSQ117" s="575"/>
      <c r="NSR117" s="583"/>
      <c r="NSS117" s="590"/>
      <c r="NST117" s="589"/>
      <c r="NSU117" s="585"/>
      <c r="NSV117" s="577"/>
      <c r="NSW117" s="304"/>
      <c r="NSX117" s="572"/>
      <c r="NSY117" s="573"/>
      <c r="NSZ117" s="574"/>
      <c r="NTA117" s="575"/>
      <c r="NTB117" s="583"/>
      <c r="NTC117" s="590"/>
      <c r="NTD117" s="589"/>
      <c r="NTE117" s="585"/>
      <c r="NTF117" s="577"/>
      <c r="NTG117" s="304"/>
      <c r="NTH117" s="572"/>
      <c r="NTI117" s="573"/>
      <c r="NTJ117" s="574"/>
      <c r="NTK117" s="575"/>
      <c r="NTL117" s="583"/>
      <c r="NTM117" s="590"/>
      <c r="NTN117" s="589"/>
      <c r="NTO117" s="585"/>
      <c r="NTP117" s="577"/>
      <c r="NTQ117" s="304"/>
      <c r="NTR117" s="572"/>
      <c r="NTS117" s="573"/>
      <c r="NTT117" s="574"/>
      <c r="NTU117" s="575"/>
      <c r="NTV117" s="583"/>
      <c r="NTW117" s="590"/>
      <c r="NTX117" s="589"/>
      <c r="NTY117" s="585"/>
      <c r="NTZ117" s="577"/>
      <c r="NUA117" s="304"/>
      <c r="NUB117" s="572"/>
      <c r="NUC117" s="573"/>
      <c r="NUD117" s="574"/>
      <c r="NUE117" s="575"/>
      <c r="NUF117" s="583"/>
      <c r="NUG117" s="590"/>
      <c r="NUH117" s="589"/>
      <c r="NUI117" s="585"/>
      <c r="NUJ117" s="577"/>
      <c r="NUK117" s="304"/>
      <c r="NUL117" s="572"/>
      <c r="NUM117" s="573"/>
      <c r="NUN117" s="574"/>
      <c r="NUO117" s="575"/>
      <c r="NUP117" s="583"/>
      <c r="NUQ117" s="590"/>
      <c r="NUR117" s="589"/>
      <c r="NUS117" s="585"/>
      <c r="NUT117" s="577"/>
      <c r="NUU117" s="304"/>
      <c r="NUV117" s="572"/>
      <c r="NUW117" s="573"/>
      <c r="NUX117" s="574"/>
      <c r="NUY117" s="575"/>
      <c r="NUZ117" s="583"/>
      <c r="NVA117" s="590"/>
      <c r="NVB117" s="589"/>
      <c r="NVC117" s="585"/>
      <c r="NVD117" s="577"/>
      <c r="NVE117" s="304"/>
      <c r="NVF117" s="572"/>
      <c r="NVG117" s="573"/>
      <c r="NVH117" s="574"/>
      <c r="NVI117" s="575"/>
      <c r="NVJ117" s="583"/>
      <c r="NVK117" s="590"/>
      <c r="NVL117" s="589"/>
      <c r="NVM117" s="585"/>
      <c r="NVN117" s="577"/>
      <c r="NVO117" s="304"/>
      <c r="NVP117" s="572"/>
      <c r="NVQ117" s="573"/>
      <c r="NVR117" s="574"/>
      <c r="NVS117" s="575"/>
      <c r="NVT117" s="583"/>
      <c r="NVU117" s="590"/>
      <c r="NVV117" s="589"/>
      <c r="NVW117" s="585"/>
      <c r="NVX117" s="577"/>
      <c r="NVY117" s="304"/>
      <c r="NVZ117" s="572"/>
      <c r="NWA117" s="573"/>
      <c r="NWB117" s="574"/>
      <c r="NWC117" s="575"/>
      <c r="NWD117" s="583"/>
      <c r="NWE117" s="590"/>
      <c r="NWF117" s="589"/>
      <c r="NWG117" s="585"/>
      <c r="NWH117" s="577"/>
      <c r="NWI117" s="304"/>
      <c r="NWJ117" s="572"/>
      <c r="NWK117" s="573"/>
      <c r="NWL117" s="574"/>
      <c r="NWM117" s="575"/>
      <c r="NWN117" s="583"/>
      <c r="NWO117" s="590"/>
      <c r="NWP117" s="589"/>
      <c r="NWQ117" s="585"/>
      <c r="NWR117" s="577"/>
      <c r="NWS117" s="304"/>
      <c r="NWT117" s="572"/>
      <c r="NWU117" s="573"/>
      <c r="NWV117" s="574"/>
      <c r="NWW117" s="575"/>
      <c r="NWX117" s="583"/>
      <c r="NWY117" s="590"/>
      <c r="NWZ117" s="589"/>
      <c r="NXA117" s="585"/>
      <c r="NXB117" s="577"/>
      <c r="NXC117" s="304"/>
      <c r="NXD117" s="572"/>
      <c r="NXE117" s="573"/>
      <c r="NXF117" s="574"/>
      <c r="NXG117" s="575"/>
      <c r="NXH117" s="583"/>
      <c r="NXI117" s="590"/>
      <c r="NXJ117" s="589"/>
      <c r="NXK117" s="585"/>
      <c r="NXL117" s="577"/>
      <c r="NXM117" s="304"/>
      <c r="NXN117" s="572"/>
      <c r="NXO117" s="573"/>
      <c r="NXP117" s="574"/>
      <c r="NXQ117" s="575"/>
      <c r="NXR117" s="583"/>
      <c r="NXS117" s="590"/>
      <c r="NXT117" s="589"/>
      <c r="NXU117" s="585"/>
      <c r="NXV117" s="577"/>
      <c r="NXW117" s="304"/>
      <c r="NXX117" s="572"/>
      <c r="NXY117" s="573"/>
      <c r="NXZ117" s="574"/>
      <c r="NYA117" s="575"/>
      <c r="NYB117" s="583"/>
      <c r="NYC117" s="590"/>
      <c r="NYD117" s="589"/>
      <c r="NYE117" s="585"/>
      <c r="NYF117" s="577"/>
      <c r="NYG117" s="304"/>
      <c r="NYH117" s="572"/>
      <c r="NYI117" s="573"/>
      <c r="NYJ117" s="574"/>
      <c r="NYK117" s="575"/>
      <c r="NYL117" s="583"/>
      <c r="NYM117" s="590"/>
      <c r="NYN117" s="589"/>
      <c r="NYO117" s="585"/>
      <c r="NYP117" s="577"/>
      <c r="NYQ117" s="304"/>
      <c r="NYR117" s="572"/>
      <c r="NYS117" s="573"/>
      <c r="NYT117" s="574"/>
      <c r="NYU117" s="575"/>
      <c r="NYV117" s="583"/>
      <c r="NYW117" s="590"/>
      <c r="NYX117" s="589"/>
      <c r="NYY117" s="585"/>
      <c r="NYZ117" s="577"/>
      <c r="NZA117" s="304"/>
      <c r="NZB117" s="572"/>
      <c r="NZC117" s="573"/>
      <c r="NZD117" s="574"/>
      <c r="NZE117" s="575"/>
      <c r="NZF117" s="583"/>
      <c r="NZG117" s="590"/>
      <c r="NZH117" s="589"/>
      <c r="NZI117" s="585"/>
      <c r="NZJ117" s="577"/>
      <c r="NZK117" s="304"/>
      <c r="NZL117" s="572"/>
      <c r="NZM117" s="573"/>
      <c r="NZN117" s="574"/>
      <c r="NZO117" s="575"/>
      <c r="NZP117" s="583"/>
      <c r="NZQ117" s="590"/>
      <c r="NZR117" s="589"/>
      <c r="NZS117" s="585"/>
      <c r="NZT117" s="577"/>
      <c r="NZU117" s="304"/>
      <c r="NZV117" s="572"/>
      <c r="NZW117" s="573"/>
      <c r="NZX117" s="574"/>
      <c r="NZY117" s="575"/>
      <c r="NZZ117" s="583"/>
      <c r="OAA117" s="590"/>
      <c r="OAB117" s="589"/>
      <c r="OAC117" s="585"/>
      <c r="OAD117" s="577"/>
      <c r="OAE117" s="304"/>
      <c r="OAF117" s="572"/>
      <c r="OAG117" s="573"/>
      <c r="OAH117" s="574"/>
      <c r="OAI117" s="575"/>
      <c r="OAJ117" s="583"/>
      <c r="OAK117" s="590"/>
      <c r="OAL117" s="589"/>
      <c r="OAM117" s="585"/>
      <c r="OAN117" s="577"/>
      <c r="OAO117" s="304"/>
      <c r="OAP117" s="572"/>
      <c r="OAQ117" s="573"/>
      <c r="OAR117" s="574"/>
      <c r="OAS117" s="575"/>
      <c r="OAT117" s="583"/>
      <c r="OAU117" s="590"/>
      <c r="OAV117" s="589"/>
      <c r="OAW117" s="585"/>
      <c r="OAX117" s="577"/>
      <c r="OAY117" s="304"/>
      <c r="OAZ117" s="572"/>
      <c r="OBA117" s="573"/>
      <c r="OBB117" s="574"/>
      <c r="OBC117" s="575"/>
      <c r="OBD117" s="583"/>
      <c r="OBE117" s="590"/>
      <c r="OBF117" s="589"/>
      <c r="OBG117" s="585"/>
      <c r="OBH117" s="577"/>
      <c r="OBI117" s="304"/>
      <c r="OBJ117" s="572"/>
      <c r="OBK117" s="573"/>
      <c r="OBL117" s="574"/>
      <c r="OBM117" s="575"/>
      <c r="OBN117" s="583"/>
      <c r="OBO117" s="590"/>
      <c r="OBP117" s="589"/>
      <c r="OBQ117" s="585"/>
      <c r="OBR117" s="577"/>
      <c r="OBS117" s="304"/>
      <c r="OBT117" s="572"/>
      <c r="OBU117" s="573"/>
      <c r="OBV117" s="574"/>
      <c r="OBW117" s="575"/>
      <c r="OBX117" s="583"/>
      <c r="OBY117" s="590"/>
      <c r="OBZ117" s="589"/>
      <c r="OCA117" s="585"/>
      <c r="OCB117" s="577"/>
      <c r="OCC117" s="304"/>
      <c r="OCD117" s="572"/>
      <c r="OCE117" s="573"/>
      <c r="OCF117" s="574"/>
      <c r="OCG117" s="575"/>
      <c r="OCH117" s="583"/>
      <c r="OCI117" s="590"/>
      <c r="OCJ117" s="589"/>
      <c r="OCK117" s="585"/>
      <c r="OCL117" s="577"/>
      <c r="OCM117" s="304"/>
      <c r="OCN117" s="572"/>
      <c r="OCO117" s="573"/>
      <c r="OCP117" s="574"/>
      <c r="OCQ117" s="575"/>
      <c r="OCR117" s="583"/>
      <c r="OCS117" s="590"/>
      <c r="OCT117" s="589"/>
      <c r="OCU117" s="585"/>
      <c r="OCV117" s="577"/>
      <c r="OCW117" s="304"/>
      <c r="OCX117" s="572"/>
      <c r="OCY117" s="573"/>
      <c r="OCZ117" s="574"/>
      <c r="ODA117" s="575"/>
      <c r="ODB117" s="583"/>
      <c r="ODC117" s="590"/>
      <c r="ODD117" s="589"/>
      <c r="ODE117" s="585"/>
      <c r="ODF117" s="577"/>
      <c r="ODG117" s="304"/>
      <c r="ODH117" s="572"/>
      <c r="ODI117" s="573"/>
      <c r="ODJ117" s="574"/>
      <c r="ODK117" s="575"/>
      <c r="ODL117" s="583"/>
      <c r="ODM117" s="590"/>
      <c r="ODN117" s="589"/>
      <c r="ODO117" s="585"/>
      <c r="ODP117" s="577"/>
      <c r="ODQ117" s="304"/>
      <c r="ODR117" s="572"/>
      <c r="ODS117" s="573"/>
      <c r="ODT117" s="574"/>
      <c r="ODU117" s="575"/>
      <c r="ODV117" s="583"/>
      <c r="ODW117" s="590"/>
      <c r="ODX117" s="589"/>
      <c r="ODY117" s="585"/>
      <c r="ODZ117" s="577"/>
      <c r="OEA117" s="304"/>
      <c r="OEB117" s="572"/>
      <c r="OEC117" s="573"/>
      <c r="OED117" s="574"/>
      <c r="OEE117" s="575"/>
      <c r="OEF117" s="583"/>
      <c r="OEG117" s="590"/>
      <c r="OEH117" s="589"/>
      <c r="OEI117" s="585"/>
      <c r="OEJ117" s="577"/>
      <c r="OEK117" s="304"/>
      <c r="OEL117" s="572"/>
      <c r="OEM117" s="573"/>
      <c r="OEN117" s="574"/>
      <c r="OEO117" s="575"/>
      <c r="OEP117" s="583"/>
      <c r="OEQ117" s="590"/>
      <c r="OER117" s="589"/>
      <c r="OES117" s="585"/>
      <c r="OET117" s="577"/>
      <c r="OEU117" s="304"/>
      <c r="OEV117" s="572"/>
      <c r="OEW117" s="573"/>
      <c r="OEX117" s="574"/>
      <c r="OEY117" s="575"/>
      <c r="OEZ117" s="583"/>
      <c r="OFA117" s="590"/>
      <c r="OFB117" s="589"/>
      <c r="OFC117" s="585"/>
      <c r="OFD117" s="577"/>
      <c r="OFE117" s="304"/>
      <c r="OFF117" s="572"/>
      <c r="OFG117" s="573"/>
      <c r="OFH117" s="574"/>
      <c r="OFI117" s="575"/>
      <c r="OFJ117" s="583"/>
      <c r="OFK117" s="590"/>
      <c r="OFL117" s="589"/>
      <c r="OFM117" s="585"/>
      <c r="OFN117" s="577"/>
      <c r="OFO117" s="304"/>
      <c r="OFP117" s="572"/>
      <c r="OFQ117" s="573"/>
      <c r="OFR117" s="574"/>
      <c r="OFS117" s="575"/>
      <c r="OFT117" s="583"/>
      <c r="OFU117" s="590"/>
      <c r="OFV117" s="589"/>
      <c r="OFW117" s="585"/>
      <c r="OFX117" s="577"/>
      <c r="OFY117" s="304"/>
      <c r="OFZ117" s="572"/>
      <c r="OGA117" s="573"/>
      <c r="OGB117" s="574"/>
      <c r="OGC117" s="575"/>
      <c r="OGD117" s="583"/>
      <c r="OGE117" s="590"/>
      <c r="OGF117" s="589"/>
      <c r="OGG117" s="585"/>
      <c r="OGH117" s="577"/>
      <c r="OGI117" s="304"/>
      <c r="OGJ117" s="572"/>
      <c r="OGK117" s="573"/>
      <c r="OGL117" s="574"/>
      <c r="OGM117" s="575"/>
      <c r="OGN117" s="583"/>
      <c r="OGO117" s="590"/>
      <c r="OGP117" s="589"/>
      <c r="OGQ117" s="585"/>
      <c r="OGR117" s="577"/>
      <c r="OGS117" s="304"/>
      <c r="OGT117" s="572"/>
      <c r="OGU117" s="573"/>
      <c r="OGV117" s="574"/>
      <c r="OGW117" s="575"/>
      <c r="OGX117" s="583"/>
      <c r="OGY117" s="590"/>
      <c r="OGZ117" s="589"/>
      <c r="OHA117" s="585"/>
      <c r="OHB117" s="577"/>
      <c r="OHC117" s="304"/>
      <c r="OHD117" s="572"/>
      <c r="OHE117" s="573"/>
      <c r="OHF117" s="574"/>
      <c r="OHG117" s="575"/>
      <c r="OHH117" s="583"/>
      <c r="OHI117" s="590"/>
      <c r="OHJ117" s="589"/>
      <c r="OHK117" s="585"/>
      <c r="OHL117" s="577"/>
      <c r="OHM117" s="304"/>
      <c r="OHN117" s="572"/>
      <c r="OHO117" s="573"/>
      <c r="OHP117" s="574"/>
      <c r="OHQ117" s="575"/>
      <c r="OHR117" s="583"/>
      <c r="OHS117" s="590"/>
      <c r="OHT117" s="589"/>
      <c r="OHU117" s="585"/>
      <c r="OHV117" s="577"/>
      <c r="OHW117" s="304"/>
      <c r="OHX117" s="572"/>
      <c r="OHY117" s="573"/>
      <c r="OHZ117" s="574"/>
      <c r="OIA117" s="575"/>
      <c r="OIB117" s="583"/>
      <c r="OIC117" s="590"/>
      <c r="OID117" s="589"/>
      <c r="OIE117" s="585"/>
      <c r="OIF117" s="577"/>
      <c r="OIG117" s="304"/>
      <c r="OIH117" s="572"/>
      <c r="OII117" s="573"/>
      <c r="OIJ117" s="574"/>
      <c r="OIK117" s="575"/>
      <c r="OIL117" s="583"/>
      <c r="OIM117" s="590"/>
      <c r="OIN117" s="589"/>
      <c r="OIO117" s="585"/>
      <c r="OIP117" s="577"/>
      <c r="OIQ117" s="304"/>
      <c r="OIR117" s="572"/>
      <c r="OIS117" s="573"/>
      <c r="OIT117" s="574"/>
      <c r="OIU117" s="575"/>
      <c r="OIV117" s="583"/>
      <c r="OIW117" s="590"/>
      <c r="OIX117" s="589"/>
      <c r="OIY117" s="585"/>
      <c r="OIZ117" s="577"/>
      <c r="OJA117" s="304"/>
      <c r="OJB117" s="572"/>
      <c r="OJC117" s="573"/>
      <c r="OJD117" s="574"/>
      <c r="OJE117" s="575"/>
      <c r="OJF117" s="583"/>
      <c r="OJG117" s="590"/>
      <c r="OJH117" s="589"/>
      <c r="OJI117" s="585"/>
      <c r="OJJ117" s="577"/>
      <c r="OJK117" s="304"/>
      <c r="OJL117" s="572"/>
      <c r="OJM117" s="573"/>
      <c r="OJN117" s="574"/>
      <c r="OJO117" s="575"/>
      <c r="OJP117" s="583"/>
      <c r="OJQ117" s="590"/>
      <c r="OJR117" s="589"/>
      <c r="OJS117" s="585"/>
      <c r="OJT117" s="577"/>
      <c r="OJU117" s="304"/>
      <c r="OJV117" s="572"/>
      <c r="OJW117" s="573"/>
      <c r="OJX117" s="574"/>
      <c r="OJY117" s="575"/>
      <c r="OJZ117" s="583"/>
      <c r="OKA117" s="590"/>
      <c r="OKB117" s="589"/>
      <c r="OKC117" s="585"/>
      <c r="OKD117" s="577"/>
      <c r="OKE117" s="304"/>
      <c r="OKF117" s="572"/>
      <c r="OKG117" s="573"/>
      <c r="OKH117" s="574"/>
      <c r="OKI117" s="575"/>
      <c r="OKJ117" s="583"/>
      <c r="OKK117" s="590"/>
      <c r="OKL117" s="589"/>
      <c r="OKM117" s="585"/>
      <c r="OKN117" s="577"/>
      <c r="OKO117" s="304"/>
      <c r="OKP117" s="572"/>
      <c r="OKQ117" s="573"/>
      <c r="OKR117" s="574"/>
      <c r="OKS117" s="575"/>
      <c r="OKT117" s="583"/>
      <c r="OKU117" s="590"/>
      <c r="OKV117" s="589"/>
      <c r="OKW117" s="585"/>
      <c r="OKX117" s="577"/>
      <c r="OKY117" s="304"/>
      <c r="OKZ117" s="572"/>
      <c r="OLA117" s="573"/>
      <c r="OLB117" s="574"/>
      <c r="OLC117" s="575"/>
      <c r="OLD117" s="583"/>
      <c r="OLE117" s="590"/>
      <c r="OLF117" s="589"/>
      <c r="OLG117" s="585"/>
      <c r="OLH117" s="577"/>
      <c r="OLI117" s="304"/>
      <c r="OLJ117" s="572"/>
      <c r="OLK117" s="573"/>
      <c r="OLL117" s="574"/>
      <c r="OLM117" s="575"/>
      <c r="OLN117" s="583"/>
      <c r="OLO117" s="590"/>
      <c r="OLP117" s="589"/>
      <c r="OLQ117" s="585"/>
      <c r="OLR117" s="577"/>
      <c r="OLS117" s="304"/>
      <c r="OLT117" s="572"/>
      <c r="OLU117" s="573"/>
      <c r="OLV117" s="574"/>
      <c r="OLW117" s="575"/>
      <c r="OLX117" s="583"/>
      <c r="OLY117" s="590"/>
      <c r="OLZ117" s="589"/>
      <c r="OMA117" s="585"/>
      <c r="OMB117" s="577"/>
      <c r="OMC117" s="304"/>
      <c r="OMD117" s="572"/>
      <c r="OME117" s="573"/>
      <c r="OMF117" s="574"/>
      <c r="OMG117" s="575"/>
      <c r="OMH117" s="583"/>
      <c r="OMI117" s="590"/>
      <c r="OMJ117" s="589"/>
      <c r="OMK117" s="585"/>
      <c r="OML117" s="577"/>
      <c r="OMM117" s="304"/>
      <c r="OMN117" s="572"/>
      <c r="OMO117" s="573"/>
      <c r="OMP117" s="574"/>
      <c r="OMQ117" s="575"/>
      <c r="OMR117" s="583"/>
      <c r="OMS117" s="590"/>
      <c r="OMT117" s="589"/>
      <c r="OMU117" s="585"/>
      <c r="OMV117" s="577"/>
      <c r="OMW117" s="304"/>
      <c r="OMX117" s="572"/>
      <c r="OMY117" s="573"/>
      <c r="OMZ117" s="574"/>
      <c r="ONA117" s="575"/>
      <c r="ONB117" s="583"/>
      <c r="ONC117" s="590"/>
      <c r="OND117" s="589"/>
      <c r="ONE117" s="585"/>
      <c r="ONF117" s="577"/>
      <c r="ONG117" s="304"/>
      <c r="ONH117" s="572"/>
      <c r="ONI117" s="573"/>
      <c r="ONJ117" s="574"/>
      <c r="ONK117" s="575"/>
      <c r="ONL117" s="583"/>
      <c r="ONM117" s="590"/>
      <c r="ONN117" s="589"/>
      <c r="ONO117" s="585"/>
      <c r="ONP117" s="577"/>
      <c r="ONQ117" s="304"/>
      <c r="ONR117" s="572"/>
      <c r="ONS117" s="573"/>
      <c r="ONT117" s="574"/>
      <c r="ONU117" s="575"/>
      <c r="ONV117" s="583"/>
      <c r="ONW117" s="590"/>
      <c r="ONX117" s="589"/>
      <c r="ONY117" s="585"/>
      <c r="ONZ117" s="577"/>
      <c r="OOA117" s="304"/>
      <c r="OOB117" s="572"/>
      <c r="OOC117" s="573"/>
      <c r="OOD117" s="574"/>
      <c r="OOE117" s="575"/>
      <c r="OOF117" s="583"/>
      <c r="OOG117" s="590"/>
      <c r="OOH117" s="589"/>
      <c r="OOI117" s="585"/>
      <c r="OOJ117" s="577"/>
      <c r="OOK117" s="304"/>
      <c r="OOL117" s="572"/>
      <c r="OOM117" s="573"/>
      <c r="OON117" s="574"/>
      <c r="OOO117" s="575"/>
      <c r="OOP117" s="583"/>
      <c r="OOQ117" s="590"/>
      <c r="OOR117" s="589"/>
      <c r="OOS117" s="585"/>
      <c r="OOT117" s="577"/>
      <c r="OOU117" s="304"/>
      <c r="OOV117" s="572"/>
      <c r="OOW117" s="573"/>
      <c r="OOX117" s="574"/>
      <c r="OOY117" s="575"/>
      <c r="OOZ117" s="583"/>
      <c r="OPA117" s="590"/>
      <c r="OPB117" s="589"/>
      <c r="OPC117" s="585"/>
      <c r="OPD117" s="577"/>
      <c r="OPE117" s="304"/>
      <c r="OPF117" s="572"/>
      <c r="OPG117" s="573"/>
      <c r="OPH117" s="574"/>
      <c r="OPI117" s="575"/>
      <c r="OPJ117" s="583"/>
      <c r="OPK117" s="590"/>
      <c r="OPL117" s="589"/>
      <c r="OPM117" s="585"/>
      <c r="OPN117" s="577"/>
      <c r="OPO117" s="304"/>
      <c r="OPP117" s="572"/>
      <c r="OPQ117" s="573"/>
      <c r="OPR117" s="574"/>
      <c r="OPS117" s="575"/>
      <c r="OPT117" s="583"/>
      <c r="OPU117" s="590"/>
      <c r="OPV117" s="589"/>
      <c r="OPW117" s="585"/>
      <c r="OPX117" s="577"/>
      <c r="OPY117" s="304"/>
      <c r="OPZ117" s="572"/>
      <c r="OQA117" s="573"/>
      <c r="OQB117" s="574"/>
      <c r="OQC117" s="575"/>
      <c r="OQD117" s="583"/>
      <c r="OQE117" s="590"/>
      <c r="OQF117" s="589"/>
      <c r="OQG117" s="585"/>
      <c r="OQH117" s="577"/>
      <c r="OQI117" s="304"/>
      <c r="OQJ117" s="572"/>
      <c r="OQK117" s="573"/>
      <c r="OQL117" s="574"/>
      <c r="OQM117" s="575"/>
      <c r="OQN117" s="583"/>
      <c r="OQO117" s="590"/>
      <c r="OQP117" s="589"/>
      <c r="OQQ117" s="585"/>
      <c r="OQR117" s="577"/>
      <c r="OQS117" s="304"/>
      <c r="OQT117" s="572"/>
      <c r="OQU117" s="573"/>
      <c r="OQV117" s="574"/>
      <c r="OQW117" s="575"/>
      <c r="OQX117" s="583"/>
      <c r="OQY117" s="590"/>
      <c r="OQZ117" s="589"/>
      <c r="ORA117" s="585"/>
      <c r="ORB117" s="577"/>
      <c r="ORC117" s="304"/>
      <c r="ORD117" s="572"/>
      <c r="ORE117" s="573"/>
      <c r="ORF117" s="574"/>
      <c r="ORG117" s="575"/>
      <c r="ORH117" s="583"/>
      <c r="ORI117" s="590"/>
      <c r="ORJ117" s="589"/>
      <c r="ORK117" s="585"/>
      <c r="ORL117" s="577"/>
      <c r="ORM117" s="304"/>
      <c r="ORN117" s="572"/>
      <c r="ORO117" s="573"/>
      <c r="ORP117" s="574"/>
      <c r="ORQ117" s="575"/>
      <c r="ORR117" s="583"/>
      <c r="ORS117" s="590"/>
      <c r="ORT117" s="589"/>
      <c r="ORU117" s="585"/>
      <c r="ORV117" s="577"/>
      <c r="ORW117" s="304"/>
      <c r="ORX117" s="572"/>
      <c r="ORY117" s="573"/>
      <c r="ORZ117" s="574"/>
      <c r="OSA117" s="575"/>
      <c r="OSB117" s="583"/>
      <c r="OSC117" s="590"/>
      <c r="OSD117" s="589"/>
      <c r="OSE117" s="585"/>
      <c r="OSF117" s="577"/>
      <c r="OSG117" s="304"/>
      <c r="OSH117" s="572"/>
      <c r="OSI117" s="573"/>
      <c r="OSJ117" s="574"/>
      <c r="OSK117" s="575"/>
      <c r="OSL117" s="583"/>
      <c r="OSM117" s="590"/>
      <c r="OSN117" s="589"/>
      <c r="OSO117" s="585"/>
      <c r="OSP117" s="577"/>
      <c r="OSQ117" s="304"/>
      <c r="OSR117" s="572"/>
      <c r="OSS117" s="573"/>
      <c r="OST117" s="574"/>
      <c r="OSU117" s="575"/>
      <c r="OSV117" s="583"/>
      <c r="OSW117" s="590"/>
      <c r="OSX117" s="589"/>
      <c r="OSY117" s="585"/>
      <c r="OSZ117" s="577"/>
      <c r="OTA117" s="304"/>
      <c r="OTB117" s="572"/>
      <c r="OTC117" s="573"/>
      <c r="OTD117" s="574"/>
      <c r="OTE117" s="575"/>
      <c r="OTF117" s="583"/>
      <c r="OTG117" s="590"/>
      <c r="OTH117" s="589"/>
      <c r="OTI117" s="585"/>
      <c r="OTJ117" s="577"/>
      <c r="OTK117" s="304"/>
      <c r="OTL117" s="572"/>
      <c r="OTM117" s="573"/>
      <c r="OTN117" s="574"/>
      <c r="OTO117" s="575"/>
      <c r="OTP117" s="583"/>
      <c r="OTQ117" s="590"/>
      <c r="OTR117" s="589"/>
      <c r="OTS117" s="585"/>
      <c r="OTT117" s="577"/>
      <c r="OTU117" s="304"/>
      <c r="OTV117" s="572"/>
      <c r="OTW117" s="573"/>
      <c r="OTX117" s="574"/>
      <c r="OTY117" s="575"/>
      <c r="OTZ117" s="583"/>
      <c r="OUA117" s="590"/>
      <c r="OUB117" s="589"/>
      <c r="OUC117" s="585"/>
      <c r="OUD117" s="577"/>
      <c r="OUE117" s="304"/>
      <c r="OUF117" s="572"/>
      <c r="OUG117" s="573"/>
      <c r="OUH117" s="574"/>
      <c r="OUI117" s="575"/>
      <c r="OUJ117" s="583"/>
      <c r="OUK117" s="590"/>
      <c r="OUL117" s="589"/>
      <c r="OUM117" s="585"/>
      <c r="OUN117" s="577"/>
      <c r="OUO117" s="304"/>
      <c r="OUP117" s="572"/>
      <c r="OUQ117" s="573"/>
      <c r="OUR117" s="574"/>
      <c r="OUS117" s="575"/>
      <c r="OUT117" s="583"/>
      <c r="OUU117" s="590"/>
      <c r="OUV117" s="589"/>
      <c r="OUW117" s="585"/>
      <c r="OUX117" s="577"/>
      <c r="OUY117" s="304"/>
      <c r="OUZ117" s="572"/>
      <c r="OVA117" s="573"/>
      <c r="OVB117" s="574"/>
      <c r="OVC117" s="575"/>
      <c r="OVD117" s="583"/>
      <c r="OVE117" s="590"/>
      <c r="OVF117" s="589"/>
      <c r="OVG117" s="585"/>
      <c r="OVH117" s="577"/>
      <c r="OVI117" s="304"/>
      <c r="OVJ117" s="572"/>
      <c r="OVK117" s="573"/>
      <c r="OVL117" s="574"/>
      <c r="OVM117" s="575"/>
      <c r="OVN117" s="583"/>
      <c r="OVO117" s="590"/>
      <c r="OVP117" s="589"/>
      <c r="OVQ117" s="585"/>
      <c r="OVR117" s="577"/>
      <c r="OVS117" s="304"/>
      <c r="OVT117" s="572"/>
      <c r="OVU117" s="573"/>
      <c r="OVV117" s="574"/>
      <c r="OVW117" s="575"/>
      <c r="OVX117" s="583"/>
      <c r="OVY117" s="590"/>
      <c r="OVZ117" s="589"/>
      <c r="OWA117" s="585"/>
      <c r="OWB117" s="577"/>
      <c r="OWC117" s="304"/>
      <c r="OWD117" s="572"/>
      <c r="OWE117" s="573"/>
      <c r="OWF117" s="574"/>
      <c r="OWG117" s="575"/>
      <c r="OWH117" s="583"/>
      <c r="OWI117" s="590"/>
      <c r="OWJ117" s="589"/>
      <c r="OWK117" s="585"/>
      <c r="OWL117" s="577"/>
      <c r="OWM117" s="304"/>
      <c r="OWN117" s="572"/>
      <c r="OWO117" s="573"/>
      <c r="OWP117" s="574"/>
      <c r="OWQ117" s="575"/>
      <c r="OWR117" s="583"/>
      <c r="OWS117" s="590"/>
      <c r="OWT117" s="589"/>
      <c r="OWU117" s="585"/>
      <c r="OWV117" s="577"/>
      <c r="OWW117" s="304"/>
      <c r="OWX117" s="572"/>
      <c r="OWY117" s="573"/>
      <c r="OWZ117" s="574"/>
      <c r="OXA117" s="575"/>
      <c r="OXB117" s="583"/>
      <c r="OXC117" s="590"/>
      <c r="OXD117" s="589"/>
      <c r="OXE117" s="585"/>
      <c r="OXF117" s="577"/>
      <c r="OXG117" s="304"/>
      <c r="OXH117" s="572"/>
      <c r="OXI117" s="573"/>
      <c r="OXJ117" s="574"/>
      <c r="OXK117" s="575"/>
      <c r="OXL117" s="583"/>
      <c r="OXM117" s="590"/>
      <c r="OXN117" s="589"/>
      <c r="OXO117" s="585"/>
      <c r="OXP117" s="577"/>
      <c r="OXQ117" s="304"/>
      <c r="OXR117" s="572"/>
      <c r="OXS117" s="573"/>
      <c r="OXT117" s="574"/>
      <c r="OXU117" s="575"/>
      <c r="OXV117" s="583"/>
      <c r="OXW117" s="590"/>
      <c r="OXX117" s="589"/>
      <c r="OXY117" s="585"/>
      <c r="OXZ117" s="577"/>
      <c r="OYA117" s="304"/>
      <c r="OYB117" s="572"/>
      <c r="OYC117" s="573"/>
      <c r="OYD117" s="574"/>
      <c r="OYE117" s="575"/>
      <c r="OYF117" s="583"/>
      <c r="OYG117" s="590"/>
      <c r="OYH117" s="589"/>
      <c r="OYI117" s="585"/>
      <c r="OYJ117" s="577"/>
      <c r="OYK117" s="304"/>
      <c r="OYL117" s="572"/>
      <c r="OYM117" s="573"/>
      <c r="OYN117" s="574"/>
      <c r="OYO117" s="575"/>
      <c r="OYP117" s="583"/>
      <c r="OYQ117" s="590"/>
      <c r="OYR117" s="589"/>
      <c r="OYS117" s="585"/>
      <c r="OYT117" s="577"/>
      <c r="OYU117" s="304"/>
      <c r="OYV117" s="572"/>
      <c r="OYW117" s="573"/>
      <c r="OYX117" s="574"/>
      <c r="OYY117" s="575"/>
      <c r="OYZ117" s="583"/>
      <c r="OZA117" s="590"/>
      <c r="OZB117" s="589"/>
      <c r="OZC117" s="585"/>
      <c r="OZD117" s="577"/>
      <c r="OZE117" s="304"/>
      <c r="OZF117" s="572"/>
      <c r="OZG117" s="573"/>
      <c r="OZH117" s="574"/>
      <c r="OZI117" s="575"/>
      <c r="OZJ117" s="583"/>
      <c r="OZK117" s="590"/>
      <c r="OZL117" s="589"/>
      <c r="OZM117" s="585"/>
      <c r="OZN117" s="577"/>
      <c r="OZO117" s="304"/>
      <c r="OZP117" s="572"/>
      <c r="OZQ117" s="573"/>
      <c r="OZR117" s="574"/>
      <c r="OZS117" s="575"/>
      <c r="OZT117" s="583"/>
      <c r="OZU117" s="590"/>
      <c r="OZV117" s="589"/>
      <c r="OZW117" s="585"/>
      <c r="OZX117" s="577"/>
      <c r="OZY117" s="304"/>
      <c r="OZZ117" s="572"/>
      <c r="PAA117" s="573"/>
      <c r="PAB117" s="574"/>
      <c r="PAC117" s="575"/>
      <c r="PAD117" s="583"/>
      <c r="PAE117" s="590"/>
      <c r="PAF117" s="589"/>
      <c r="PAG117" s="585"/>
      <c r="PAH117" s="577"/>
      <c r="PAI117" s="304"/>
      <c r="PAJ117" s="572"/>
      <c r="PAK117" s="573"/>
      <c r="PAL117" s="574"/>
      <c r="PAM117" s="575"/>
      <c r="PAN117" s="583"/>
      <c r="PAO117" s="590"/>
      <c r="PAP117" s="589"/>
      <c r="PAQ117" s="585"/>
      <c r="PAR117" s="577"/>
      <c r="PAS117" s="304"/>
      <c r="PAT117" s="572"/>
      <c r="PAU117" s="573"/>
      <c r="PAV117" s="574"/>
      <c r="PAW117" s="575"/>
      <c r="PAX117" s="583"/>
      <c r="PAY117" s="590"/>
      <c r="PAZ117" s="589"/>
      <c r="PBA117" s="585"/>
      <c r="PBB117" s="577"/>
      <c r="PBC117" s="304"/>
      <c r="PBD117" s="572"/>
      <c r="PBE117" s="573"/>
      <c r="PBF117" s="574"/>
      <c r="PBG117" s="575"/>
      <c r="PBH117" s="583"/>
      <c r="PBI117" s="590"/>
      <c r="PBJ117" s="589"/>
      <c r="PBK117" s="585"/>
      <c r="PBL117" s="577"/>
      <c r="PBM117" s="304"/>
      <c r="PBN117" s="572"/>
      <c r="PBO117" s="573"/>
      <c r="PBP117" s="574"/>
      <c r="PBQ117" s="575"/>
      <c r="PBR117" s="583"/>
      <c r="PBS117" s="590"/>
      <c r="PBT117" s="589"/>
      <c r="PBU117" s="585"/>
      <c r="PBV117" s="577"/>
      <c r="PBW117" s="304"/>
      <c r="PBX117" s="572"/>
      <c r="PBY117" s="573"/>
      <c r="PBZ117" s="574"/>
      <c r="PCA117" s="575"/>
      <c r="PCB117" s="583"/>
      <c r="PCC117" s="590"/>
      <c r="PCD117" s="589"/>
      <c r="PCE117" s="585"/>
      <c r="PCF117" s="577"/>
      <c r="PCG117" s="304"/>
      <c r="PCH117" s="572"/>
      <c r="PCI117" s="573"/>
      <c r="PCJ117" s="574"/>
      <c r="PCK117" s="575"/>
      <c r="PCL117" s="583"/>
      <c r="PCM117" s="590"/>
      <c r="PCN117" s="589"/>
      <c r="PCO117" s="585"/>
      <c r="PCP117" s="577"/>
      <c r="PCQ117" s="304"/>
      <c r="PCR117" s="572"/>
      <c r="PCS117" s="573"/>
      <c r="PCT117" s="574"/>
      <c r="PCU117" s="575"/>
      <c r="PCV117" s="583"/>
      <c r="PCW117" s="590"/>
      <c r="PCX117" s="589"/>
      <c r="PCY117" s="585"/>
      <c r="PCZ117" s="577"/>
      <c r="PDA117" s="304"/>
      <c r="PDB117" s="572"/>
      <c r="PDC117" s="573"/>
      <c r="PDD117" s="574"/>
      <c r="PDE117" s="575"/>
      <c r="PDF117" s="583"/>
      <c r="PDG117" s="590"/>
      <c r="PDH117" s="589"/>
      <c r="PDI117" s="585"/>
      <c r="PDJ117" s="577"/>
      <c r="PDK117" s="304"/>
      <c r="PDL117" s="572"/>
      <c r="PDM117" s="573"/>
      <c r="PDN117" s="574"/>
      <c r="PDO117" s="575"/>
      <c r="PDP117" s="583"/>
      <c r="PDQ117" s="590"/>
      <c r="PDR117" s="589"/>
      <c r="PDS117" s="585"/>
      <c r="PDT117" s="577"/>
      <c r="PDU117" s="304"/>
      <c r="PDV117" s="572"/>
      <c r="PDW117" s="573"/>
      <c r="PDX117" s="574"/>
      <c r="PDY117" s="575"/>
      <c r="PDZ117" s="583"/>
      <c r="PEA117" s="590"/>
      <c r="PEB117" s="589"/>
      <c r="PEC117" s="585"/>
      <c r="PED117" s="577"/>
      <c r="PEE117" s="304"/>
      <c r="PEF117" s="572"/>
      <c r="PEG117" s="573"/>
      <c r="PEH117" s="574"/>
      <c r="PEI117" s="575"/>
      <c r="PEJ117" s="583"/>
      <c r="PEK117" s="590"/>
      <c r="PEL117" s="589"/>
      <c r="PEM117" s="585"/>
      <c r="PEN117" s="577"/>
      <c r="PEO117" s="304"/>
      <c r="PEP117" s="572"/>
      <c r="PEQ117" s="573"/>
      <c r="PER117" s="574"/>
      <c r="PES117" s="575"/>
      <c r="PET117" s="583"/>
      <c r="PEU117" s="590"/>
      <c r="PEV117" s="589"/>
      <c r="PEW117" s="585"/>
      <c r="PEX117" s="577"/>
      <c r="PEY117" s="304"/>
      <c r="PEZ117" s="572"/>
      <c r="PFA117" s="573"/>
      <c r="PFB117" s="574"/>
      <c r="PFC117" s="575"/>
      <c r="PFD117" s="583"/>
      <c r="PFE117" s="590"/>
      <c r="PFF117" s="589"/>
      <c r="PFG117" s="585"/>
      <c r="PFH117" s="577"/>
      <c r="PFI117" s="304"/>
      <c r="PFJ117" s="572"/>
      <c r="PFK117" s="573"/>
      <c r="PFL117" s="574"/>
      <c r="PFM117" s="575"/>
      <c r="PFN117" s="583"/>
      <c r="PFO117" s="590"/>
      <c r="PFP117" s="589"/>
      <c r="PFQ117" s="585"/>
      <c r="PFR117" s="577"/>
      <c r="PFS117" s="304"/>
      <c r="PFT117" s="572"/>
      <c r="PFU117" s="573"/>
      <c r="PFV117" s="574"/>
      <c r="PFW117" s="575"/>
      <c r="PFX117" s="583"/>
      <c r="PFY117" s="590"/>
      <c r="PFZ117" s="589"/>
      <c r="PGA117" s="585"/>
      <c r="PGB117" s="577"/>
      <c r="PGC117" s="304"/>
      <c r="PGD117" s="572"/>
      <c r="PGE117" s="573"/>
      <c r="PGF117" s="574"/>
      <c r="PGG117" s="575"/>
      <c r="PGH117" s="583"/>
      <c r="PGI117" s="590"/>
      <c r="PGJ117" s="589"/>
      <c r="PGK117" s="585"/>
      <c r="PGL117" s="577"/>
      <c r="PGM117" s="304"/>
      <c r="PGN117" s="572"/>
      <c r="PGO117" s="573"/>
      <c r="PGP117" s="574"/>
      <c r="PGQ117" s="575"/>
      <c r="PGR117" s="583"/>
      <c r="PGS117" s="590"/>
      <c r="PGT117" s="589"/>
      <c r="PGU117" s="585"/>
      <c r="PGV117" s="577"/>
      <c r="PGW117" s="304"/>
      <c r="PGX117" s="572"/>
      <c r="PGY117" s="573"/>
      <c r="PGZ117" s="574"/>
      <c r="PHA117" s="575"/>
      <c r="PHB117" s="583"/>
      <c r="PHC117" s="590"/>
      <c r="PHD117" s="589"/>
      <c r="PHE117" s="585"/>
      <c r="PHF117" s="577"/>
      <c r="PHG117" s="304"/>
      <c r="PHH117" s="572"/>
      <c r="PHI117" s="573"/>
      <c r="PHJ117" s="574"/>
      <c r="PHK117" s="575"/>
      <c r="PHL117" s="583"/>
      <c r="PHM117" s="590"/>
      <c r="PHN117" s="589"/>
      <c r="PHO117" s="585"/>
      <c r="PHP117" s="577"/>
      <c r="PHQ117" s="304"/>
      <c r="PHR117" s="572"/>
      <c r="PHS117" s="573"/>
      <c r="PHT117" s="574"/>
      <c r="PHU117" s="575"/>
      <c r="PHV117" s="583"/>
      <c r="PHW117" s="590"/>
      <c r="PHX117" s="589"/>
      <c r="PHY117" s="585"/>
      <c r="PHZ117" s="577"/>
      <c r="PIA117" s="304"/>
      <c r="PIB117" s="572"/>
      <c r="PIC117" s="573"/>
      <c r="PID117" s="574"/>
      <c r="PIE117" s="575"/>
      <c r="PIF117" s="583"/>
      <c r="PIG117" s="590"/>
      <c r="PIH117" s="589"/>
      <c r="PII117" s="585"/>
      <c r="PIJ117" s="577"/>
      <c r="PIK117" s="304"/>
      <c r="PIL117" s="572"/>
      <c r="PIM117" s="573"/>
      <c r="PIN117" s="574"/>
      <c r="PIO117" s="575"/>
      <c r="PIP117" s="583"/>
      <c r="PIQ117" s="590"/>
      <c r="PIR117" s="589"/>
      <c r="PIS117" s="585"/>
      <c r="PIT117" s="577"/>
      <c r="PIU117" s="304"/>
      <c r="PIV117" s="572"/>
      <c r="PIW117" s="573"/>
      <c r="PIX117" s="574"/>
      <c r="PIY117" s="575"/>
      <c r="PIZ117" s="583"/>
      <c r="PJA117" s="590"/>
      <c r="PJB117" s="589"/>
      <c r="PJC117" s="585"/>
      <c r="PJD117" s="577"/>
      <c r="PJE117" s="304"/>
      <c r="PJF117" s="572"/>
      <c r="PJG117" s="573"/>
      <c r="PJH117" s="574"/>
      <c r="PJI117" s="575"/>
      <c r="PJJ117" s="583"/>
      <c r="PJK117" s="590"/>
      <c r="PJL117" s="589"/>
      <c r="PJM117" s="585"/>
      <c r="PJN117" s="577"/>
      <c r="PJO117" s="304"/>
      <c r="PJP117" s="572"/>
      <c r="PJQ117" s="573"/>
      <c r="PJR117" s="574"/>
      <c r="PJS117" s="575"/>
      <c r="PJT117" s="583"/>
      <c r="PJU117" s="590"/>
      <c r="PJV117" s="589"/>
      <c r="PJW117" s="585"/>
      <c r="PJX117" s="577"/>
      <c r="PJY117" s="304"/>
      <c r="PJZ117" s="572"/>
      <c r="PKA117" s="573"/>
      <c r="PKB117" s="574"/>
      <c r="PKC117" s="575"/>
      <c r="PKD117" s="583"/>
      <c r="PKE117" s="590"/>
      <c r="PKF117" s="589"/>
      <c r="PKG117" s="585"/>
      <c r="PKH117" s="577"/>
      <c r="PKI117" s="304"/>
      <c r="PKJ117" s="572"/>
      <c r="PKK117" s="573"/>
      <c r="PKL117" s="574"/>
      <c r="PKM117" s="575"/>
      <c r="PKN117" s="583"/>
      <c r="PKO117" s="590"/>
      <c r="PKP117" s="589"/>
      <c r="PKQ117" s="585"/>
      <c r="PKR117" s="577"/>
      <c r="PKS117" s="304"/>
      <c r="PKT117" s="572"/>
      <c r="PKU117" s="573"/>
      <c r="PKV117" s="574"/>
      <c r="PKW117" s="575"/>
      <c r="PKX117" s="583"/>
      <c r="PKY117" s="590"/>
      <c r="PKZ117" s="589"/>
      <c r="PLA117" s="585"/>
      <c r="PLB117" s="577"/>
      <c r="PLC117" s="304"/>
      <c r="PLD117" s="572"/>
      <c r="PLE117" s="573"/>
      <c r="PLF117" s="574"/>
      <c r="PLG117" s="575"/>
      <c r="PLH117" s="583"/>
      <c r="PLI117" s="590"/>
      <c r="PLJ117" s="589"/>
      <c r="PLK117" s="585"/>
      <c r="PLL117" s="577"/>
      <c r="PLM117" s="304"/>
      <c r="PLN117" s="572"/>
      <c r="PLO117" s="573"/>
      <c r="PLP117" s="574"/>
      <c r="PLQ117" s="575"/>
      <c r="PLR117" s="583"/>
      <c r="PLS117" s="590"/>
      <c r="PLT117" s="589"/>
      <c r="PLU117" s="585"/>
      <c r="PLV117" s="577"/>
      <c r="PLW117" s="304"/>
      <c r="PLX117" s="572"/>
      <c r="PLY117" s="573"/>
      <c r="PLZ117" s="574"/>
      <c r="PMA117" s="575"/>
      <c r="PMB117" s="583"/>
      <c r="PMC117" s="590"/>
      <c r="PMD117" s="589"/>
      <c r="PME117" s="585"/>
      <c r="PMF117" s="577"/>
      <c r="PMG117" s="304"/>
      <c r="PMH117" s="572"/>
      <c r="PMI117" s="573"/>
      <c r="PMJ117" s="574"/>
      <c r="PMK117" s="575"/>
      <c r="PML117" s="583"/>
      <c r="PMM117" s="590"/>
      <c r="PMN117" s="589"/>
      <c r="PMO117" s="585"/>
      <c r="PMP117" s="577"/>
      <c r="PMQ117" s="304"/>
      <c r="PMR117" s="572"/>
      <c r="PMS117" s="573"/>
      <c r="PMT117" s="574"/>
      <c r="PMU117" s="575"/>
      <c r="PMV117" s="583"/>
      <c r="PMW117" s="590"/>
      <c r="PMX117" s="589"/>
      <c r="PMY117" s="585"/>
      <c r="PMZ117" s="577"/>
      <c r="PNA117" s="304"/>
      <c r="PNB117" s="572"/>
      <c r="PNC117" s="573"/>
      <c r="PND117" s="574"/>
      <c r="PNE117" s="575"/>
      <c r="PNF117" s="583"/>
      <c r="PNG117" s="590"/>
      <c r="PNH117" s="589"/>
      <c r="PNI117" s="585"/>
      <c r="PNJ117" s="577"/>
      <c r="PNK117" s="304"/>
      <c r="PNL117" s="572"/>
      <c r="PNM117" s="573"/>
      <c r="PNN117" s="574"/>
      <c r="PNO117" s="575"/>
      <c r="PNP117" s="583"/>
      <c r="PNQ117" s="590"/>
      <c r="PNR117" s="589"/>
      <c r="PNS117" s="585"/>
      <c r="PNT117" s="577"/>
      <c r="PNU117" s="304"/>
      <c r="PNV117" s="572"/>
      <c r="PNW117" s="573"/>
      <c r="PNX117" s="574"/>
      <c r="PNY117" s="575"/>
      <c r="PNZ117" s="583"/>
      <c r="POA117" s="590"/>
      <c r="POB117" s="589"/>
      <c r="POC117" s="585"/>
      <c r="POD117" s="577"/>
      <c r="POE117" s="304"/>
      <c r="POF117" s="572"/>
      <c r="POG117" s="573"/>
      <c r="POH117" s="574"/>
      <c r="POI117" s="575"/>
      <c r="POJ117" s="583"/>
      <c r="POK117" s="590"/>
      <c r="POL117" s="589"/>
      <c r="POM117" s="585"/>
      <c r="PON117" s="577"/>
      <c r="POO117" s="304"/>
      <c r="POP117" s="572"/>
      <c r="POQ117" s="573"/>
      <c r="POR117" s="574"/>
      <c r="POS117" s="575"/>
      <c r="POT117" s="583"/>
      <c r="POU117" s="590"/>
      <c r="POV117" s="589"/>
      <c r="POW117" s="585"/>
      <c r="POX117" s="577"/>
      <c r="POY117" s="304"/>
      <c r="POZ117" s="572"/>
      <c r="PPA117" s="573"/>
      <c r="PPB117" s="574"/>
      <c r="PPC117" s="575"/>
      <c r="PPD117" s="583"/>
      <c r="PPE117" s="590"/>
      <c r="PPF117" s="589"/>
      <c r="PPG117" s="585"/>
      <c r="PPH117" s="577"/>
      <c r="PPI117" s="304"/>
      <c r="PPJ117" s="572"/>
      <c r="PPK117" s="573"/>
      <c r="PPL117" s="574"/>
      <c r="PPM117" s="575"/>
      <c r="PPN117" s="583"/>
      <c r="PPO117" s="590"/>
      <c r="PPP117" s="589"/>
      <c r="PPQ117" s="585"/>
      <c r="PPR117" s="577"/>
      <c r="PPS117" s="304"/>
      <c r="PPT117" s="572"/>
      <c r="PPU117" s="573"/>
      <c r="PPV117" s="574"/>
      <c r="PPW117" s="575"/>
      <c r="PPX117" s="583"/>
      <c r="PPY117" s="590"/>
      <c r="PPZ117" s="589"/>
      <c r="PQA117" s="585"/>
      <c r="PQB117" s="577"/>
      <c r="PQC117" s="304"/>
      <c r="PQD117" s="572"/>
      <c r="PQE117" s="573"/>
      <c r="PQF117" s="574"/>
      <c r="PQG117" s="575"/>
      <c r="PQH117" s="583"/>
      <c r="PQI117" s="590"/>
      <c r="PQJ117" s="589"/>
      <c r="PQK117" s="585"/>
      <c r="PQL117" s="577"/>
      <c r="PQM117" s="304"/>
      <c r="PQN117" s="572"/>
      <c r="PQO117" s="573"/>
      <c r="PQP117" s="574"/>
      <c r="PQQ117" s="575"/>
      <c r="PQR117" s="583"/>
      <c r="PQS117" s="590"/>
      <c r="PQT117" s="589"/>
      <c r="PQU117" s="585"/>
      <c r="PQV117" s="577"/>
      <c r="PQW117" s="304"/>
      <c r="PQX117" s="572"/>
      <c r="PQY117" s="573"/>
      <c r="PQZ117" s="574"/>
      <c r="PRA117" s="575"/>
      <c r="PRB117" s="583"/>
      <c r="PRC117" s="590"/>
      <c r="PRD117" s="589"/>
      <c r="PRE117" s="585"/>
      <c r="PRF117" s="577"/>
      <c r="PRG117" s="304"/>
      <c r="PRH117" s="572"/>
      <c r="PRI117" s="573"/>
      <c r="PRJ117" s="574"/>
      <c r="PRK117" s="575"/>
      <c r="PRL117" s="583"/>
      <c r="PRM117" s="590"/>
      <c r="PRN117" s="589"/>
      <c r="PRO117" s="585"/>
      <c r="PRP117" s="577"/>
      <c r="PRQ117" s="304"/>
      <c r="PRR117" s="572"/>
      <c r="PRS117" s="573"/>
      <c r="PRT117" s="574"/>
      <c r="PRU117" s="575"/>
      <c r="PRV117" s="583"/>
      <c r="PRW117" s="590"/>
      <c r="PRX117" s="589"/>
      <c r="PRY117" s="585"/>
      <c r="PRZ117" s="577"/>
      <c r="PSA117" s="304"/>
      <c r="PSB117" s="572"/>
      <c r="PSC117" s="573"/>
      <c r="PSD117" s="574"/>
      <c r="PSE117" s="575"/>
      <c r="PSF117" s="583"/>
      <c r="PSG117" s="590"/>
      <c r="PSH117" s="589"/>
      <c r="PSI117" s="585"/>
      <c r="PSJ117" s="577"/>
      <c r="PSK117" s="304"/>
      <c r="PSL117" s="572"/>
      <c r="PSM117" s="573"/>
      <c r="PSN117" s="574"/>
      <c r="PSO117" s="575"/>
      <c r="PSP117" s="583"/>
      <c r="PSQ117" s="590"/>
      <c r="PSR117" s="589"/>
      <c r="PSS117" s="585"/>
      <c r="PST117" s="577"/>
      <c r="PSU117" s="304"/>
      <c r="PSV117" s="572"/>
      <c r="PSW117" s="573"/>
      <c r="PSX117" s="574"/>
      <c r="PSY117" s="575"/>
      <c r="PSZ117" s="583"/>
      <c r="PTA117" s="590"/>
      <c r="PTB117" s="589"/>
      <c r="PTC117" s="585"/>
      <c r="PTD117" s="577"/>
      <c r="PTE117" s="304"/>
      <c r="PTF117" s="572"/>
      <c r="PTG117" s="573"/>
      <c r="PTH117" s="574"/>
      <c r="PTI117" s="575"/>
      <c r="PTJ117" s="583"/>
      <c r="PTK117" s="590"/>
      <c r="PTL117" s="589"/>
      <c r="PTM117" s="585"/>
      <c r="PTN117" s="577"/>
      <c r="PTO117" s="304"/>
      <c r="PTP117" s="572"/>
      <c r="PTQ117" s="573"/>
      <c r="PTR117" s="574"/>
      <c r="PTS117" s="575"/>
      <c r="PTT117" s="583"/>
      <c r="PTU117" s="590"/>
      <c r="PTV117" s="589"/>
      <c r="PTW117" s="585"/>
      <c r="PTX117" s="577"/>
      <c r="PTY117" s="304"/>
      <c r="PTZ117" s="572"/>
      <c r="PUA117" s="573"/>
      <c r="PUB117" s="574"/>
      <c r="PUC117" s="575"/>
      <c r="PUD117" s="583"/>
      <c r="PUE117" s="590"/>
      <c r="PUF117" s="589"/>
      <c r="PUG117" s="585"/>
      <c r="PUH117" s="577"/>
      <c r="PUI117" s="304"/>
      <c r="PUJ117" s="572"/>
      <c r="PUK117" s="573"/>
      <c r="PUL117" s="574"/>
      <c r="PUM117" s="575"/>
      <c r="PUN117" s="583"/>
      <c r="PUO117" s="590"/>
      <c r="PUP117" s="589"/>
      <c r="PUQ117" s="585"/>
      <c r="PUR117" s="577"/>
      <c r="PUS117" s="304"/>
      <c r="PUT117" s="572"/>
      <c r="PUU117" s="573"/>
      <c r="PUV117" s="574"/>
      <c r="PUW117" s="575"/>
      <c r="PUX117" s="583"/>
      <c r="PUY117" s="590"/>
      <c r="PUZ117" s="589"/>
      <c r="PVA117" s="585"/>
      <c r="PVB117" s="577"/>
      <c r="PVC117" s="304"/>
      <c r="PVD117" s="572"/>
      <c r="PVE117" s="573"/>
      <c r="PVF117" s="574"/>
      <c r="PVG117" s="575"/>
      <c r="PVH117" s="583"/>
      <c r="PVI117" s="590"/>
      <c r="PVJ117" s="589"/>
      <c r="PVK117" s="585"/>
      <c r="PVL117" s="577"/>
      <c r="PVM117" s="304"/>
      <c r="PVN117" s="572"/>
      <c r="PVO117" s="573"/>
      <c r="PVP117" s="574"/>
      <c r="PVQ117" s="575"/>
      <c r="PVR117" s="583"/>
      <c r="PVS117" s="590"/>
      <c r="PVT117" s="589"/>
      <c r="PVU117" s="585"/>
      <c r="PVV117" s="577"/>
      <c r="PVW117" s="304"/>
      <c r="PVX117" s="572"/>
      <c r="PVY117" s="573"/>
      <c r="PVZ117" s="574"/>
      <c r="PWA117" s="575"/>
      <c r="PWB117" s="583"/>
      <c r="PWC117" s="590"/>
      <c r="PWD117" s="589"/>
      <c r="PWE117" s="585"/>
      <c r="PWF117" s="577"/>
      <c r="PWG117" s="304"/>
      <c r="PWH117" s="572"/>
      <c r="PWI117" s="573"/>
      <c r="PWJ117" s="574"/>
      <c r="PWK117" s="575"/>
      <c r="PWL117" s="583"/>
      <c r="PWM117" s="590"/>
      <c r="PWN117" s="589"/>
      <c r="PWO117" s="585"/>
      <c r="PWP117" s="577"/>
      <c r="PWQ117" s="304"/>
      <c r="PWR117" s="572"/>
      <c r="PWS117" s="573"/>
      <c r="PWT117" s="574"/>
      <c r="PWU117" s="575"/>
      <c r="PWV117" s="583"/>
      <c r="PWW117" s="590"/>
      <c r="PWX117" s="589"/>
      <c r="PWY117" s="585"/>
      <c r="PWZ117" s="577"/>
      <c r="PXA117" s="304"/>
      <c r="PXB117" s="572"/>
      <c r="PXC117" s="573"/>
      <c r="PXD117" s="574"/>
      <c r="PXE117" s="575"/>
      <c r="PXF117" s="583"/>
      <c r="PXG117" s="590"/>
      <c r="PXH117" s="589"/>
      <c r="PXI117" s="585"/>
      <c r="PXJ117" s="577"/>
      <c r="PXK117" s="304"/>
      <c r="PXL117" s="572"/>
      <c r="PXM117" s="573"/>
      <c r="PXN117" s="574"/>
      <c r="PXO117" s="575"/>
      <c r="PXP117" s="583"/>
      <c r="PXQ117" s="590"/>
      <c r="PXR117" s="589"/>
      <c r="PXS117" s="585"/>
      <c r="PXT117" s="577"/>
      <c r="PXU117" s="304"/>
      <c r="PXV117" s="572"/>
      <c r="PXW117" s="573"/>
      <c r="PXX117" s="574"/>
      <c r="PXY117" s="575"/>
      <c r="PXZ117" s="583"/>
      <c r="PYA117" s="590"/>
      <c r="PYB117" s="589"/>
      <c r="PYC117" s="585"/>
      <c r="PYD117" s="577"/>
      <c r="PYE117" s="304"/>
      <c r="PYF117" s="572"/>
      <c r="PYG117" s="573"/>
      <c r="PYH117" s="574"/>
      <c r="PYI117" s="575"/>
      <c r="PYJ117" s="583"/>
      <c r="PYK117" s="590"/>
      <c r="PYL117" s="589"/>
      <c r="PYM117" s="585"/>
      <c r="PYN117" s="577"/>
      <c r="PYO117" s="304"/>
      <c r="PYP117" s="572"/>
      <c r="PYQ117" s="573"/>
      <c r="PYR117" s="574"/>
      <c r="PYS117" s="575"/>
      <c r="PYT117" s="583"/>
      <c r="PYU117" s="590"/>
      <c r="PYV117" s="589"/>
      <c r="PYW117" s="585"/>
      <c r="PYX117" s="577"/>
      <c r="PYY117" s="304"/>
      <c r="PYZ117" s="572"/>
      <c r="PZA117" s="573"/>
      <c r="PZB117" s="574"/>
      <c r="PZC117" s="575"/>
      <c r="PZD117" s="583"/>
      <c r="PZE117" s="590"/>
      <c r="PZF117" s="589"/>
      <c r="PZG117" s="585"/>
      <c r="PZH117" s="577"/>
      <c r="PZI117" s="304"/>
      <c r="PZJ117" s="572"/>
      <c r="PZK117" s="573"/>
      <c r="PZL117" s="574"/>
      <c r="PZM117" s="575"/>
      <c r="PZN117" s="583"/>
      <c r="PZO117" s="590"/>
      <c r="PZP117" s="589"/>
      <c r="PZQ117" s="585"/>
      <c r="PZR117" s="577"/>
      <c r="PZS117" s="304"/>
      <c r="PZT117" s="572"/>
      <c r="PZU117" s="573"/>
      <c r="PZV117" s="574"/>
      <c r="PZW117" s="575"/>
      <c r="PZX117" s="583"/>
      <c r="PZY117" s="590"/>
      <c r="PZZ117" s="589"/>
      <c r="QAA117" s="585"/>
      <c r="QAB117" s="577"/>
      <c r="QAC117" s="304"/>
      <c r="QAD117" s="572"/>
      <c r="QAE117" s="573"/>
      <c r="QAF117" s="574"/>
      <c r="QAG117" s="575"/>
      <c r="QAH117" s="583"/>
      <c r="QAI117" s="590"/>
      <c r="QAJ117" s="589"/>
      <c r="QAK117" s="585"/>
      <c r="QAL117" s="577"/>
      <c r="QAM117" s="304"/>
      <c r="QAN117" s="572"/>
      <c r="QAO117" s="573"/>
      <c r="QAP117" s="574"/>
      <c r="QAQ117" s="575"/>
      <c r="QAR117" s="583"/>
      <c r="QAS117" s="590"/>
      <c r="QAT117" s="589"/>
      <c r="QAU117" s="585"/>
      <c r="QAV117" s="577"/>
      <c r="QAW117" s="304"/>
      <c r="QAX117" s="572"/>
      <c r="QAY117" s="573"/>
      <c r="QAZ117" s="574"/>
      <c r="QBA117" s="575"/>
      <c r="QBB117" s="583"/>
      <c r="QBC117" s="590"/>
      <c r="QBD117" s="589"/>
      <c r="QBE117" s="585"/>
      <c r="QBF117" s="577"/>
      <c r="QBG117" s="304"/>
      <c r="QBH117" s="572"/>
      <c r="QBI117" s="573"/>
      <c r="QBJ117" s="574"/>
      <c r="QBK117" s="575"/>
      <c r="QBL117" s="583"/>
      <c r="QBM117" s="590"/>
      <c r="QBN117" s="589"/>
      <c r="QBO117" s="585"/>
      <c r="QBP117" s="577"/>
      <c r="QBQ117" s="304"/>
      <c r="QBR117" s="572"/>
      <c r="QBS117" s="573"/>
      <c r="QBT117" s="574"/>
      <c r="QBU117" s="575"/>
      <c r="QBV117" s="583"/>
      <c r="QBW117" s="590"/>
      <c r="QBX117" s="589"/>
      <c r="QBY117" s="585"/>
      <c r="QBZ117" s="577"/>
      <c r="QCA117" s="304"/>
      <c r="QCB117" s="572"/>
      <c r="QCC117" s="573"/>
      <c r="QCD117" s="574"/>
      <c r="QCE117" s="575"/>
      <c r="QCF117" s="583"/>
      <c r="QCG117" s="590"/>
      <c r="QCH117" s="589"/>
      <c r="QCI117" s="585"/>
      <c r="QCJ117" s="577"/>
      <c r="QCK117" s="304"/>
      <c r="QCL117" s="572"/>
      <c r="QCM117" s="573"/>
      <c r="QCN117" s="574"/>
      <c r="QCO117" s="575"/>
      <c r="QCP117" s="583"/>
      <c r="QCQ117" s="590"/>
      <c r="QCR117" s="589"/>
      <c r="QCS117" s="585"/>
      <c r="QCT117" s="577"/>
      <c r="QCU117" s="304"/>
      <c r="QCV117" s="572"/>
      <c r="QCW117" s="573"/>
      <c r="QCX117" s="574"/>
      <c r="QCY117" s="575"/>
      <c r="QCZ117" s="583"/>
      <c r="QDA117" s="590"/>
      <c r="QDB117" s="589"/>
      <c r="QDC117" s="585"/>
      <c r="QDD117" s="577"/>
      <c r="QDE117" s="304"/>
      <c r="QDF117" s="572"/>
      <c r="QDG117" s="573"/>
      <c r="QDH117" s="574"/>
      <c r="QDI117" s="575"/>
      <c r="QDJ117" s="583"/>
      <c r="QDK117" s="590"/>
      <c r="QDL117" s="589"/>
      <c r="QDM117" s="585"/>
      <c r="QDN117" s="577"/>
      <c r="QDO117" s="304"/>
      <c r="QDP117" s="572"/>
      <c r="QDQ117" s="573"/>
      <c r="QDR117" s="574"/>
      <c r="QDS117" s="575"/>
      <c r="QDT117" s="583"/>
      <c r="QDU117" s="590"/>
      <c r="QDV117" s="589"/>
      <c r="QDW117" s="585"/>
      <c r="QDX117" s="577"/>
      <c r="QDY117" s="304"/>
      <c r="QDZ117" s="572"/>
      <c r="QEA117" s="573"/>
      <c r="QEB117" s="574"/>
      <c r="QEC117" s="575"/>
      <c r="QED117" s="583"/>
      <c r="QEE117" s="590"/>
      <c r="QEF117" s="589"/>
      <c r="QEG117" s="585"/>
      <c r="QEH117" s="577"/>
      <c r="QEI117" s="304"/>
      <c r="QEJ117" s="572"/>
      <c r="QEK117" s="573"/>
      <c r="QEL117" s="574"/>
      <c r="QEM117" s="575"/>
      <c r="QEN117" s="583"/>
      <c r="QEO117" s="590"/>
      <c r="QEP117" s="589"/>
      <c r="QEQ117" s="585"/>
      <c r="QER117" s="577"/>
      <c r="QES117" s="304"/>
      <c r="QET117" s="572"/>
      <c r="QEU117" s="573"/>
      <c r="QEV117" s="574"/>
      <c r="QEW117" s="575"/>
      <c r="QEX117" s="583"/>
      <c r="QEY117" s="590"/>
      <c r="QEZ117" s="589"/>
      <c r="QFA117" s="585"/>
      <c r="QFB117" s="577"/>
      <c r="QFC117" s="304"/>
      <c r="QFD117" s="572"/>
      <c r="QFE117" s="573"/>
      <c r="QFF117" s="574"/>
      <c r="QFG117" s="575"/>
      <c r="QFH117" s="583"/>
      <c r="QFI117" s="590"/>
      <c r="QFJ117" s="589"/>
      <c r="QFK117" s="585"/>
      <c r="QFL117" s="577"/>
      <c r="QFM117" s="304"/>
      <c r="QFN117" s="572"/>
      <c r="QFO117" s="573"/>
      <c r="QFP117" s="574"/>
      <c r="QFQ117" s="575"/>
      <c r="QFR117" s="583"/>
      <c r="QFS117" s="590"/>
      <c r="QFT117" s="589"/>
      <c r="QFU117" s="585"/>
      <c r="QFV117" s="577"/>
      <c r="QFW117" s="304"/>
      <c r="QFX117" s="572"/>
      <c r="QFY117" s="573"/>
      <c r="QFZ117" s="574"/>
      <c r="QGA117" s="575"/>
      <c r="QGB117" s="583"/>
      <c r="QGC117" s="590"/>
      <c r="QGD117" s="589"/>
      <c r="QGE117" s="585"/>
      <c r="QGF117" s="577"/>
      <c r="QGG117" s="304"/>
      <c r="QGH117" s="572"/>
      <c r="QGI117" s="573"/>
      <c r="QGJ117" s="574"/>
      <c r="QGK117" s="575"/>
      <c r="QGL117" s="583"/>
      <c r="QGM117" s="590"/>
      <c r="QGN117" s="589"/>
      <c r="QGO117" s="585"/>
      <c r="QGP117" s="577"/>
      <c r="QGQ117" s="304"/>
      <c r="QGR117" s="572"/>
      <c r="QGS117" s="573"/>
      <c r="QGT117" s="574"/>
      <c r="QGU117" s="575"/>
      <c r="QGV117" s="583"/>
      <c r="QGW117" s="590"/>
      <c r="QGX117" s="589"/>
      <c r="QGY117" s="585"/>
      <c r="QGZ117" s="577"/>
      <c r="QHA117" s="304"/>
      <c r="QHB117" s="572"/>
      <c r="QHC117" s="573"/>
      <c r="QHD117" s="574"/>
      <c r="QHE117" s="575"/>
      <c r="QHF117" s="583"/>
      <c r="QHG117" s="590"/>
      <c r="QHH117" s="589"/>
      <c r="QHI117" s="585"/>
      <c r="QHJ117" s="577"/>
      <c r="QHK117" s="304"/>
      <c r="QHL117" s="572"/>
      <c r="QHM117" s="573"/>
      <c r="QHN117" s="574"/>
      <c r="QHO117" s="575"/>
      <c r="QHP117" s="583"/>
      <c r="QHQ117" s="590"/>
      <c r="QHR117" s="589"/>
      <c r="QHS117" s="585"/>
      <c r="QHT117" s="577"/>
      <c r="QHU117" s="304"/>
      <c r="QHV117" s="572"/>
      <c r="QHW117" s="573"/>
      <c r="QHX117" s="574"/>
      <c r="QHY117" s="575"/>
      <c r="QHZ117" s="583"/>
      <c r="QIA117" s="590"/>
      <c r="QIB117" s="589"/>
      <c r="QIC117" s="585"/>
      <c r="QID117" s="577"/>
      <c r="QIE117" s="304"/>
      <c r="QIF117" s="572"/>
      <c r="QIG117" s="573"/>
      <c r="QIH117" s="574"/>
      <c r="QII117" s="575"/>
      <c r="QIJ117" s="583"/>
      <c r="QIK117" s="590"/>
      <c r="QIL117" s="589"/>
      <c r="QIM117" s="585"/>
      <c r="QIN117" s="577"/>
      <c r="QIO117" s="304"/>
      <c r="QIP117" s="572"/>
      <c r="QIQ117" s="573"/>
      <c r="QIR117" s="574"/>
      <c r="QIS117" s="575"/>
      <c r="QIT117" s="583"/>
      <c r="QIU117" s="590"/>
      <c r="QIV117" s="589"/>
      <c r="QIW117" s="585"/>
      <c r="QIX117" s="577"/>
      <c r="QIY117" s="304"/>
      <c r="QIZ117" s="572"/>
      <c r="QJA117" s="573"/>
      <c r="QJB117" s="574"/>
      <c r="QJC117" s="575"/>
      <c r="QJD117" s="583"/>
      <c r="QJE117" s="590"/>
      <c r="QJF117" s="589"/>
      <c r="QJG117" s="585"/>
      <c r="QJH117" s="577"/>
      <c r="QJI117" s="304"/>
      <c r="QJJ117" s="572"/>
      <c r="QJK117" s="573"/>
      <c r="QJL117" s="574"/>
      <c r="QJM117" s="575"/>
      <c r="QJN117" s="583"/>
      <c r="QJO117" s="590"/>
      <c r="QJP117" s="589"/>
      <c r="QJQ117" s="585"/>
      <c r="QJR117" s="577"/>
      <c r="QJS117" s="304"/>
      <c r="QJT117" s="572"/>
      <c r="QJU117" s="573"/>
      <c r="QJV117" s="574"/>
      <c r="QJW117" s="575"/>
      <c r="QJX117" s="583"/>
      <c r="QJY117" s="590"/>
      <c r="QJZ117" s="589"/>
      <c r="QKA117" s="585"/>
      <c r="QKB117" s="577"/>
      <c r="QKC117" s="304"/>
      <c r="QKD117" s="572"/>
      <c r="QKE117" s="573"/>
      <c r="QKF117" s="574"/>
      <c r="QKG117" s="575"/>
      <c r="QKH117" s="583"/>
      <c r="QKI117" s="590"/>
      <c r="QKJ117" s="589"/>
      <c r="QKK117" s="585"/>
      <c r="QKL117" s="577"/>
      <c r="QKM117" s="304"/>
      <c r="QKN117" s="572"/>
      <c r="QKO117" s="573"/>
      <c r="QKP117" s="574"/>
      <c r="QKQ117" s="575"/>
      <c r="QKR117" s="583"/>
      <c r="QKS117" s="590"/>
      <c r="QKT117" s="589"/>
      <c r="QKU117" s="585"/>
      <c r="QKV117" s="577"/>
      <c r="QKW117" s="304"/>
      <c r="QKX117" s="572"/>
      <c r="QKY117" s="573"/>
      <c r="QKZ117" s="574"/>
      <c r="QLA117" s="575"/>
      <c r="QLB117" s="583"/>
      <c r="QLC117" s="590"/>
      <c r="QLD117" s="589"/>
      <c r="QLE117" s="585"/>
      <c r="QLF117" s="577"/>
      <c r="QLG117" s="304"/>
      <c r="QLH117" s="572"/>
      <c r="QLI117" s="573"/>
      <c r="QLJ117" s="574"/>
      <c r="QLK117" s="575"/>
      <c r="QLL117" s="583"/>
      <c r="QLM117" s="590"/>
      <c r="QLN117" s="589"/>
      <c r="QLO117" s="585"/>
      <c r="QLP117" s="577"/>
      <c r="QLQ117" s="304"/>
      <c r="QLR117" s="572"/>
      <c r="QLS117" s="573"/>
      <c r="QLT117" s="574"/>
      <c r="QLU117" s="575"/>
      <c r="QLV117" s="583"/>
      <c r="QLW117" s="590"/>
      <c r="QLX117" s="589"/>
      <c r="QLY117" s="585"/>
      <c r="QLZ117" s="577"/>
      <c r="QMA117" s="304"/>
      <c r="QMB117" s="572"/>
      <c r="QMC117" s="573"/>
      <c r="QMD117" s="574"/>
      <c r="QME117" s="575"/>
      <c r="QMF117" s="583"/>
      <c r="QMG117" s="590"/>
      <c r="QMH117" s="589"/>
      <c r="QMI117" s="585"/>
      <c r="QMJ117" s="577"/>
      <c r="QMK117" s="304"/>
      <c r="QML117" s="572"/>
      <c r="QMM117" s="573"/>
      <c r="QMN117" s="574"/>
      <c r="QMO117" s="575"/>
      <c r="QMP117" s="583"/>
      <c r="QMQ117" s="590"/>
      <c r="QMR117" s="589"/>
      <c r="QMS117" s="585"/>
      <c r="QMT117" s="577"/>
      <c r="QMU117" s="304"/>
      <c r="QMV117" s="572"/>
      <c r="QMW117" s="573"/>
      <c r="QMX117" s="574"/>
      <c r="QMY117" s="575"/>
      <c r="QMZ117" s="583"/>
      <c r="QNA117" s="590"/>
      <c r="QNB117" s="589"/>
      <c r="QNC117" s="585"/>
      <c r="QND117" s="577"/>
      <c r="QNE117" s="304"/>
      <c r="QNF117" s="572"/>
      <c r="QNG117" s="573"/>
      <c r="QNH117" s="574"/>
      <c r="QNI117" s="575"/>
      <c r="QNJ117" s="583"/>
      <c r="QNK117" s="590"/>
      <c r="QNL117" s="589"/>
      <c r="QNM117" s="585"/>
      <c r="QNN117" s="577"/>
      <c r="QNO117" s="304"/>
      <c r="QNP117" s="572"/>
      <c r="QNQ117" s="573"/>
      <c r="QNR117" s="574"/>
      <c r="QNS117" s="575"/>
      <c r="QNT117" s="583"/>
      <c r="QNU117" s="590"/>
      <c r="QNV117" s="589"/>
      <c r="QNW117" s="585"/>
      <c r="QNX117" s="577"/>
      <c r="QNY117" s="304"/>
      <c r="QNZ117" s="572"/>
      <c r="QOA117" s="573"/>
      <c r="QOB117" s="574"/>
      <c r="QOC117" s="575"/>
      <c r="QOD117" s="583"/>
      <c r="QOE117" s="590"/>
      <c r="QOF117" s="589"/>
      <c r="QOG117" s="585"/>
      <c r="QOH117" s="577"/>
      <c r="QOI117" s="304"/>
      <c r="QOJ117" s="572"/>
      <c r="QOK117" s="573"/>
      <c r="QOL117" s="574"/>
      <c r="QOM117" s="575"/>
      <c r="QON117" s="583"/>
      <c r="QOO117" s="590"/>
      <c r="QOP117" s="589"/>
      <c r="QOQ117" s="585"/>
      <c r="QOR117" s="577"/>
      <c r="QOS117" s="304"/>
      <c r="QOT117" s="572"/>
      <c r="QOU117" s="573"/>
      <c r="QOV117" s="574"/>
      <c r="QOW117" s="575"/>
      <c r="QOX117" s="583"/>
      <c r="QOY117" s="590"/>
      <c r="QOZ117" s="589"/>
      <c r="QPA117" s="585"/>
      <c r="QPB117" s="577"/>
      <c r="QPC117" s="304"/>
      <c r="QPD117" s="572"/>
      <c r="QPE117" s="573"/>
      <c r="QPF117" s="574"/>
      <c r="QPG117" s="575"/>
      <c r="QPH117" s="583"/>
      <c r="QPI117" s="590"/>
      <c r="QPJ117" s="589"/>
      <c r="QPK117" s="585"/>
      <c r="QPL117" s="577"/>
      <c r="QPM117" s="304"/>
      <c r="QPN117" s="572"/>
      <c r="QPO117" s="573"/>
      <c r="QPP117" s="574"/>
      <c r="QPQ117" s="575"/>
      <c r="QPR117" s="583"/>
      <c r="QPS117" s="590"/>
      <c r="QPT117" s="589"/>
      <c r="QPU117" s="585"/>
      <c r="QPV117" s="577"/>
      <c r="QPW117" s="304"/>
      <c r="QPX117" s="572"/>
      <c r="QPY117" s="573"/>
      <c r="QPZ117" s="574"/>
      <c r="QQA117" s="575"/>
      <c r="QQB117" s="583"/>
      <c r="QQC117" s="590"/>
      <c r="QQD117" s="589"/>
      <c r="QQE117" s="585"/>
      <c r="QQF117" s="577"/>
      <c r="QQG117" s="304"/>
      <c r="QQH117" s="572"/>
      <c r="QQI117" s="573"/>
      <c r="QQJ117" s="574"/>
      <c r="QQK117" s="575"/>
      <c r="QQL117" s="583"/>
      <c r="QQM117" s="590"/>
      <c r="QQN117" s="589"/>
      <c r="QQO117" s="585"/>
      <c r="QQP117" s="577"/>
      <c r="QQQ117" s="304"/>
      <c r="QQR117" s="572"/>
      <c r="QQS117" s="573"/>
      <c r="QQT117" s="574"/>
      <c r="QQU117" s="575"/>
      <c r="QQV117" s="583"/>
      <c r="QQW117" s="590"/>
      <c r="QQX117" s="589"/>
      <c r="QQY117" s="585"/>
      <c r="QQZ117" s="577"/>
      <c r="QRA117" s="304"/>
      <c r="QRB117" s="572"/>
      <c r="QRC117" s="573"/>
      <c r="QRD117" s="574"/>
      <c r="QRE117" s="575"/>
      <c r="QRF117" s="583"/>
      <c r="QRG117" s="590"/>
      <c r="QRH117" s="589"/>
      <c r="QRI117" s="585"/>
      <c r="QRJ117" s="577"/>
      <c r="QRK117" s="304"/>
      <c r="QRL117" s="572"/>
      <c r="QRM117" s="573"/>
      <c r="QRN117" s="574"/>
      <c r="QRO117" s="575"/>
      <c r="QRP117" s="583"/>
      <c r="QRQ117" s="590"/>
      <c r="QRR117" s="589"/>
      <c r="QRS117" s="585"/>
      <c r="QRT117" s="577"/>
      <c r="QRU117" s="304"/>
      <c r="QRV117" s="572"/>
      <c r="QRW117" s="573"/>
      <c r="QRX117" s="574"/>
      <c r="QRY117" s="575"/>
      <c r="QRZ117" s="583"/>
      <c r="QSA117" s="590"/>
      <c r="QSB117" s="589"/>
      <c r="QSC117" s="585"/>
      <c r="QSD117" s="577"/>
      <c r="QSE117" s="304"/>
      <c r="QSF117" s="572"/>
      <c r="QSG117" s="573"/>
      <c r="QSH117" s="574"/>
      <c r="QSI117" s="575"/>
      <c r="QSJ117" s="583"/>
      <c r="QSK117" s="590"/>
      <c r="QSL117" s="589"/>
      <c r="QSM117" s="585"/>
      <c r="QSN117" s="577"/>
      <c r="QSO117" s="304"/>
      <c r="QSP117" s="572"/>
      <c r="QSQ117" s="573"/>
      <c r="QSR117" s="574"/>
      <c r="QSS117" s="575"/>
      <c r="QST117" s="583"/>
      <c r="QSU117" s="590"/>
      <c r="QSV117" s="589"/>
      <c r="QSW117" s="585"/>
      <c r="QSX117" s="577"/>
      <c r="QSY117" s="304"/>
      <c r="QSZ117" s="572"/>
      <c r="QTA117" s="573"/>
      <c r="QTB117" s="574"/>
      <c r="QTC117" s="575"/>
      <c r="QTD117" s="583"/>
      <c r="QTE117" s="590"/>
      <c r="QTF117" s="589"/>
      <c r="QTG117" s="585"/>
      <c r="QTH117" s="577"/>
      <c r="QTI117" s="304"/>
      <c r="QTJ117" s="572"/>
      <c r="QTK117" s="573"/>
      <c r="QTL117" s="574"/>
      <c r="QTM117" s="575"/>
      <c r="QTN117" s="583"/>
      <c r="QTO117" s="590"/>
      <c r="QTP117" s="589"/>
      <c r="QTQ117" s="585"/>
      <c r="QTR117" s="577"/>
      <c r="QTS117" s="304"/>
      <c r="QTT117" s="572"/>
      <c r="QTU117" s="573"/>
      <c r="QTV117" s="574"/>
      <c r="QTW117" s="575"/>
      <c r="QTX117" s="583"/>
      <c r="QTY117" s="590"/>
      <c r="QTZ117" s="589"/>
      <c r="QUA117" s="585"/>
      <c r="QUB117" s="577"/>
      <c r="QUC117" s="304"/>
      <c r="QUD117" s="572"/>
      <c r="QUE117" s="573"/>
      <c r="QUF117" s="574"/>
      <c r="QUG117" s="575"/>
      <c r="QUH117" s="583"/>
      <c r="QUI117" s="590"/>
      <c r="QUJ117" s="589"/>
      <c r="QUK117" s="585"/>
      <c r="QUL117" s="577"/>
      <c r="QUM117" s="304"/>
      <c r="QUN117" s="572"/>
      <c r="QUO117" s="573"/>
      <c r="QUP117" s="574"/>
      <c r="QUQ117" s="575"/>
      <c r="QUR117" s="583"/>
      <c r="QUS117" s="590"/>
      <c r="QUT117" s="589"/>
      <c r="QUU117" s="585"/>
      <c r="QUV117" s="577"/>
      <c r="QUW117" s="304"/>
      <c r="QUX117" s="572"/>
      <c r="QUY117" s="573"/>
      <c r="QUZ117" s="574"/>
      <c r="QVA117" s="575"/>
      <c r="QVB117" s="583"/>
      <c r="QVC117" s="590"/>
      <c r="QVD117" s="589"/>
      <c r="QVE117" s="585"/>
      <c r="QVF117" s="577"/>
      <c r="QVG117" s="304"/>
      <c r="QVH117" s="572"/>
      <c r="QVI117" s="573"/>
      <c r="QVJ117" s="574"/>
      <c r="QVK117" s="575"/>
      <c r="QVL117" s="583"/>
      <c r="QVM117" s="590"/>
      <c r="QVN117" s="589"/>
      <c r="QVO117" s="585"/>
      <c r="QVP117" s="577"/>
      <c r="QVQ117" s="304"/>
      <c r="QVR117" s="572"/>
      <c r="QVS117" s="573"/>
      <c r="QVT117" s="574"/>
      <c r="QVU117" s="575"/>
      <c r="QVV117" s="583"/>
      <c r="QVW117" s="590"/>
      <c r="QVX117" s="589"/>
      <c r="QVY117" s="585"/>
      <c r="QVZ117" s="577"/>
      <c r="QWA117" s="304"/>
      <c r="QWB117" s="572"/>
      <c r="QWC117" s="573"/>
      <c r="QWD117" s="574"/>
      <c r="QWE117" s="575"/>
      <c r="QWF117" s="583"/>
      <c r="QWG117" s="590"/>
      <c r="QWH117" s="589"/>
      <c r="QWI117" s="585"/>
      <c r="QWJ117" s="577"/>
      <c r="QWK117" s="304"/>
      <c r="QWL117" s="572"/>
      <c r="QWM117" s="573"/>
      <c r="QWN117" s="574"/>
      <c r="QWO117" s="575"/>
      <c r="QWP117" s="583"/>
      <c r="QWQ117" s="590"/>
      <c r="QWR117" s="589"/>
      <c r="QWS117" s="585"/>
      <c r="QWT117" s="577"/>
      <c r="QWU117" s="304"/>
      <c r="QWV117" s="572"/>
      <c r="QWW117" s="573"/>
      <c r="QWX117" s="574"/>
      <c r="QWY117" s="575"/>
      <c r="QWZ117" s="583"/>
      <c r="QXA117" s="590"/>
      <c r="QXB117" s="589"/>
      <c r="QXC117" s="585"/>
      <c r="QXD117" s="577"/>
      <c r="QXE117" s="304"/>
      <c r="QXF117" s="572"/>
      <c r="QXG117" s="573"/>
      <c r="QXH117" s="574"/>
      <c r="QXI117" s="575"/>
      <c r="QXJ117" s="583"/>
      <c r="QXK117" s="590"/>
      <c r="QXL117" s="589"/>
      <c r="QXM117" s="585"/>
      <c r="QXN117" s="577"/>
      <c r="QXO117" s="304"/>
      <c r="QXP117" s="572"/>
      <c r="QXQ117" s="573"/>
      <c r="QXR117" s="574"/>
      <c r="QXS117" s="575"/>
      <c r="QXT117" s="583"/>
      <c r="QXU117" s="590"/>
      <c r="QXV117" s="589"/>
      <c r="QXW117" s="585"/>
      <c r="QXX117" s="577"/>
      <c r="QXY117" s="304"/>
      <c r="QXZ117" s="572"/>
      <c r="QYA117" s="573"/>
      <c r="QYB117" s="574"/>
      <c r="QYC117" s="575"/>
      <c r="QYD117" s="583"/>
      <c r="QYE117" s="590"/>
      <c r="QYF117" s="589"/>
      <c r="QYG117" s="585"/>
      <c r="QYH117" s="577"/>
      <c r="QYI117" s="304"/>
      <c r="QYJ117" s="572"/>
      <c r="QYK117" s="573"/>
      <c r="QYL117" s="574"/>
      <c r="QYM117" s="575"/>
      <c r="QYN117" s="583"/>
      <c r="QYO117" s="590"/>
      <c r="QYP117" s="589"/>
      <c r="QYQ117" s="585"/>
      <c r="QYR117" s="577"/>
      <c r="QYS117" s="304"/>
      <c r="QYT117" s="572"/>
      <c r="QYU117" s="573"/>
      <c r="QYV117" s="574"/>
      <c r="QYW117" s="575"/>
      <c r="QYX117" s="583"/>
      <c r="QYY117" s="590"/>
      <c r="QYZ117" s="589"/>
      <c r="QZA117" s="585"/>
      <c r="QZB117" s="577"/>
      <c r="QZC117" s="304"/>
      <c r="QZD117" s="572"/>
      <c r="QZE117" s="573"/>
      <c r="QZF117" s="574"/>
      <c r="QZG117" s="575"/>
      <c r="QZH117" s="583"/>
      <c r="QZI117" s="590"/>
      <c r="QZJ117" s="589"/>
      <c r="QZK117" s="585"/>
      <c r="QZL117" s="577"/>
      <c r="QZM117" s="304"/>
      <c r="QZN117" s="572"/>
      <c r="QZO117" s="573"/>
      <c r="QZP117" s="574"/>
      <c r="QZQ117" s="575"/>
      <c r="QZR117" s="583"/>
      <c r="QZS117" s="590"/>
      <c r="QZT117" s="589"/>
      <c r="QZU117" s="585"/>
      <c r="QZV117" s="577"/>
      <c r="QZW117" s="304"/>
      <c r="QZX117" s="572"/>
      <c r="QZY117" s="573"/>
      <c r="QZZ117" s="574"/>
      <c r="RAA117" s="575"/>
      <c r="RAB117" s="583"/>
      <c r="RAC117" s="590"/>
      <c r="RAD117" s="589"/>
      <c r="RAE117" s="585"/>
      <c r="RAF117" s="577"/>
      <c r="RAG117" s="304"/>
      <c r="RAH117" s="572"/>
      <c r="RAI117" s="573"/>
      <c r="RAJ117" s="574"/>
      <c r="RAK117" s="575"/>
      <c r="RAL117" s="583"/>
      <c r="RAM117" s="590"/>
      <c r="RAN117" s="589"/>
      <c r="RAO117" s="585"/>
      <c r="RAP117" s="577"/>
      <c r="RAQ117" s="304"/>
      <c r="RAR117" s="572"/>
      <c r="RAS117" s="573"/>
      <c r="RAT117" s="574"/>
      <c r="RAU117" s="575"/>
      <c r="RAV117" s="583"/>
      <c r="RAW117" s="590"/>
      <c r="RAX117" s="589"/>
      <c r="RAY117" s="585"/>
      <c r="RAZ117" s="577"/>
      <c r="RBA117" s="304"/>
      <c r="RBB117" s="572"/>
      <c r="RBC117" s="573"/>
      <c r="RBD117" s="574"/>
      <c r="RBE117" s="575"/>
      <c r="RBF117" s="583"/>
      <c r="RBG117" s="590"/>
      <c r="RBH117" s="589"/>
      <c r="RBI117" s="585"/>
      <c r="RBJ117" s="577"/>
      <c r="RBK117" s="304"/>
      <c r="RBL117" s="572"/>
      <c r="RBM117" s="573"/>
      <c r="RBN117" s="574"/>
      <c r="RBO117" s="575"/>
      <c r="RBP117" s="583"/>
      <c r="RBQ117" s="590"/>
      <c r="RBR117" s="589"/>
      <c r="RBS117" s="585"/>
      <c r="RBT117" s="577"/>
      <c r="RBU117" s="304"/>
      <c r="RBV117" s="572"/>
      <c r="RBW117" s="573"/>
      <c r="RBX117" s="574"/>
      <c r="RBY117" s="575"/>
      <c r="RBZ117" s="583"/>
      <c r="RCA117" s="590"/>
      <c r="RCB117" s="589"/>
      <c r="RCC117" s="585"/>
      <c r="RCD117" s="577"/>
      <c r="RCE117" s="304"/>
      <c r="RCF117" s="572"/>
      <c r="RCG117" s="573"/>
      <c r="RCH117" s="574"/>
      <c r="RCI117" s="575"/>
      <c r="RCJ117" s="583"/>
      <c r="RCK117" s="590"/>
      <c r="RCL117" s="589"/>
      <c r="RCM117" s="585"/>
      <c r="RCN117" s="577"/>
      <c r="RCO117" s="304"/>
      <c r="RCP117" s="572"/>
      <c r="RCQ117" s="573"/>
      <c r="RCR117" s="574"/>
      <c r="RCS117" s="575"/>
      <c r="RCT117" s="583"/>
      <c r="RCU117" s="590"/>
      <c r="RCV117" s="589"/>
      <c r="RCW117" s="585"/>
      <c r="RCX117" s="577"/>
      <c r="RCY117" s="304"/>
      <c r="RCZ117" s="572"/>
      <c r="RDA117" s="573"/>
      <c r="RDB117" s="574"/>
      <c r="RDC117" s="575"/>
      <c r="RDD117" s="583"/>
      <c r="RDE117" s="590"/>
      <c r="RDF117" s="589"/>
      <c r="RDG117" s="585"/>
      <c r="RDH117" s="577"/>
      <c r="RDI117" s="304"/>
      <c r="RDJ117" s="572"/>
      <c r="RDK117" s="573"/>
      <c r="RDL117" s="574"/>
      <c r="RDM117" s="575"/>
      <c r="RDN117" s="583"/>
      <c r="RDO117" s="590"/>
      <c r="RDP117" s="589"/>
      <c r="RDQ117" s="585"/>
      <c r="RDR117" s="577"/>
      <c r="RDS117" s="304"/>
      <c r="RDT117" s="572"/>
      <c r="RDU117" s="573"/>
      <c r="RDV117" s="574"/>
      <c r="RDW117" s="575"/>
      <c r="RDX117" s="583"/>
      <c r="RDY117" s="590"/>
      <c r="RDZ117" s="589"/>
      <c r="REA117" s="585"/>
      <c r="REB117" s="577"/>
      <c r="REC117" s="304"/>
      <c r="RED117" s="572"/>
      <c r="REE117" s="573"/>
      <c r="REF117" s="574"/>
      <c r="REG117" s="575"/>
      <c r="REH117" s="583"/>
      <c r="REI117" s="590"/>
      <c r="REJ117" s="589"/>
      <c r="REK117" s="585"/>
      <c r="REL117" s="577"/>
      <c r="REM117" s="304"/>
      <c r="REN117" s="572"/>
      <c r="REO117" s="573"/>
      <c r="REP117" s="574"/>
      <c r="REQ117" s="575"/>
      <c r="RER117" s="583"/>
      <c r="RES117" s="590"/>
      <c r="RET117" s="589"/>
      <c r="REU117" s="585"/>
      <c r="REV117" s="577"/>
      <c r="REW117" s="304"/>
      <c r="REX117" s="572"/>
      <c r="REY117" s="573"/>
      <c r="REZ117" s="574"/>
      <c r="RFA117" s="575"/>
      <c r="RFB117" s="583"/>
      <c r="RFC117" s="590"/>
      <c r="RFD117" s="589"/>
      <c r="RFE117" s="585"/>
      <c r="RFF117" s="577"/>
      <c r="RFG117" s="304"/>
      <c r="RFH117" s="572"/>
      <c r="RFI117" s="573"/>
      <c r="RFJ117" s="574"/>
      <c r="RFK117" s="575"/>
      <c r="RFL117" s="583"/>
      <c r="RFM117" s="590"/>
      <c r="RFN117" s="589"/>
      <c r="RFO117" s="585"/>
      <c r="RFP117" s="577"/>
      <c r="RFQ117" s="304"/>
      <c r="RFR117" s="572"/>
      <c r="RFS117" s="573"/>
      <c r="RFT117" s="574"/>
      <c r="RFU117" s="575"/>
      <c r="RFV117" s="583"/>
      <c r="RFW117" s="590"/>
      <c r="RFX117" s="589"/>
      <c r="RFY117" s="585"/>
      <c r="RFZ117" s="577"/>
      <c r="RGA117" s="304"/>
      <c r="RGB117" s="572"/>
      <c r="RGC117" s="573"/>
      <c r="RGD117" s="574"/>
      <c r="RGE117" s="575"/>
      <c r="RGF117" s="583"/>
      <c r="RGG117" s="590"/>
      <c r="RGH117" s="589"/>
      <c r="RGI117" s="585"/>
      <c r="RGJ117" s="577"/>
      <c r="RGK117" s="304"/>
      <c r="RGL117" s="572"/>
      <c r="RGM117" s="573"/>
      <c r="RGN117" s="574"/>
      <c r="RGO117" s="575"/>
      <c r="RGP117" s="583"/>
      <c r="RGQ117" s="590"/>
      <c r="RGR117" s="589"/>
      <c r="RGS117" s="585"/>
      <c r="RGT117" s="577"/>
      <c r="RGU117" s="304"/>
      <c r="RGV117" s="572"/>
      <c r="RGW117" s="573"/>
      <c r="RGX117" s="574"/>
      <c r="RGY117" s="575"/>
      <c r="RGZ117" s="583"/>
      <c r="RHA117" s="590"/>
      <c r="RHB117" s="589"/>
      <c r="RHC117" s="585"/>
      <c r="RHD117" s="577"/>
      <c r="RHE117" s="304"/>
      <c r="RHF117" s="572"/>
      <c r="RHG117" s="573"/>
      <c r="RHH117" s="574"/>
      <c r="RHI117" s="575"/>
      <c r="RHJ117" s="583"/>
      <c r="RHK117" s="590"/>
      <c r="RHL117" s="589"/>
      <c r="RHM117" s="585"/>
      <c r="RHN117" s="577"/>
      <c r="RHO117" s="304"/>
      <c r="RHP117" s="572"/>
      <c r="RHQ117" s="573"/>
      <c r="RHR117" s="574"/>
      <c r="RHS117" s="575"/>
      <c r="RHT117" s="583"/>
      <c r="RHU117" s="590"/>
      <c r="RHV117" s="589"/>
      <c r="RHW117" s="585"/>
      <c r="RHX117" s="577"/>
      <c r="RHY117" s="304"/>
      <c r="RHZ117" s="572"/>
      <c r="RIA117" s="573"/>
      <c r="RIB117" s="574"/>
      <c r="RIC117" s="575"/>
      <c r="RID117" s="583"/>
      <c r="RIE117" s="590"/>
      <c r="RIF117" s="589"/>
      <c r="RIG117" s="585"/>
      <c r="RIH117" s="577"/>
      <c r="RII117" s="304"/>
      <c r="RIJ117" s="572"/>
      <c r="RIK117" s="573"/>
      <c r="RIL117" s="574"/>
      <c r="RIM117" s="575"/>
      <c r="RIN117" s="583"/>
      <c r="RIO117" s="590"/>
      <c r="RIP117" s="589"/>
      <c r="RIQ117" s="585"/>
      <c r="RIR117" s="577"/>
      <c r="RIS117" s="304"/>
      <c r="RIT117" s="572"/>
      <c r="RIU117" s="573"/>
      <c r="RIV117" s="574"/>
      <c r="RIW117" s="575"/>
      <c r="RIX117" s="583"/>
      <c r="RIY117" s="590"/>
      <c r="RIZ117" s="589"/>
      <c r="RJA117" s="585"/>
      <c r="RJB117" s="577"/>
      <c r="RJC117" s="304"/>
      <c r="RJD117" s="572"/>
      <c r="RJE117" s="573"/>
      <c r="RJF117" s="574"/>
      <c r="RJG117" s="575"/>
      <c r="RJH117" s="583"/>
      <c r="RJI117" s="590"/>
      <c r="RJJ117" s="589"/>
      <c r="RJK117" s="585"/>
      <c r="RJL117" s="577"/>
      <c r="RJM117" s="304"/>
      <c r="RJN117" s="572"/>
      <c r="RJO117" s="573"/>
      <c r="RJP117" s="574"/>
      <c r="RJQ117" s="575"/>
      <c r="RJR117" s="583"/>
      <c r="RJS117" s="590"/>
      <c r="RJT117" s="589"/>
      <c r="RJU117" s="585"/>
      <c r="RJV117" s="577"/>
      <c r="RJW117" s="304"/>
      <c r="RJX117" s="572"/>
      <c r="RJY117" s="573"/>
      <c r="RJZ117" s="574"/>
      <c r="RKA117" s="575"/>
      <c r="RKB117" s="583"/>
      <c r="RKC117" s="590"/>
      <c r="RKD117" s="589"/>
      <c r="RKE117" s="585"/>
      <c r="RKF117" s="577"/>
      <c r="RKG117" s="304"/>
      <c r="RKH117" s="572"/>
      <c r="RKI117" s="573"/>
      <c r="RKJ117" s="574"/>
      <c r="RKK117" s="575"/>
      <c r="RKL117" s="583"/>
      <c r="RKM117" s="590"/>
      <c r="RKN117" s="589"/>
      <c r="RKO117" s="585"/>
      <c r="RKP117" s="577"/>
      <c r="RKQ117" s="304"/>
      <c r="RKR117" s="572"/>
      <c r="RKS117" s="573"/>
      <c r="RKT117" s="574"/>
      <c r="RKU117" s="575"/>
      <c r="RKV117" s="583"/>
      <c r="RKW117" s="590"/>
      <c r="RKX117" s="589"/>
      <c r="RKY117" s="585"/>
      <c r="RKZ117" s="577"/>
      <c r="RLA117" s="304"/>
      <c r="RLB117" s="572"/>
      <c r="RLC117" s="573"/>
      <c r="RLD117" s="574"/>
      <c r="RLE117" s="575"/>
      <c r="RLF117" s="583"/>
      <c r="RLG117" s="590"/>
      <c r="RLH117" s="589"/>
      <c r="RLI117" s="585"/>
      <c r="RLJ117" s="577"/>
      <c r="RLK117" s="304"/>
      <c r="RLL117" s="572"/>
      <c r="RLM117" s="573"/>
      <c r="RLN117" s="574"/>
      <c r="RLO117" s="575"/>
      <c r="RLP117" s="583"/>
      <c r="RLQ117" s="590"/>
      <c r="RLR117" s="589"/>
      <c r="RLS117" s="585"/>
      <c r="RLT117" s="577"/>
      <c r="RLU117" s="304"/>
      <c r="RLV117" s="572"/>
      <c r="RLW117" s="573"/>
      <c r="RLX117" s="574"/>
      <c r="RLY117" s="575"/>
      <c r="RLZ117" s="583"/>
      <c r="RMA117" s="590"/>
      <c r="RMB117" s="589"/>
      <c r="RMC117" s="585"/>
      <c r="RMD117" s="577"/>
      <c r="RME117" s="304"/>
      <c r="RMF117" s="572"/>
      <c r="RMG117" s="573"/>
      <c r="RMH117" s="574"/>
      <c r="RMI117" s="575"/>
      <c r="RMJ117" s="583"/>
      <c r="RMK117" s="590"/>
      <c r="RML117" s="589"/>
      <c r="RMM117" s="585"/>
      <c r="RMN117" s="577"/>
      <c r="RMO117" s="304"/>
      <c r="RMP117" s="572"/>
      <c r="RMQ117" s="573"/>
      <c r="RMR117" s="574"/>
      <c r="RMS117" s="575"/>
      <c r="RMT117" s="583"/>
      <c r="RMU117" s="590"/>
      <c r="RMV117" s="589"/>
      <c r="RMW117" s="585"/>
      <c r="RMX117" s="577"/>
      <c r="RMY117" s="304"/>
      <c r="RMZ117" s="572"/>
      <c r="RNA117" s="573"/>
      <c r="RNB117" s="574"/>
      <c r="RNC117" s="575"/>
      <c r="RND117" s="583"/>
      <c r="RNE117" s="590"/>
      <c r="RNF117" s="589"/>
      <c r="RNG117" s="585"/>
      <c r="RNH117" s="577"/>
      <c r="RNI117" s="304"/>
      <c r="RNJ117" s="572"/>
      <c r="RNK117" s="573"/>
      <c r="RNL117" s="574"/>
      <c r="RNM117" s="575"/>
      <c r="RNN117" s="583"/>
      <c r="RNO117" s="590"/>
      <c r="RNP117" s="589"/>
      <c r="RNQ117" s="585"/>
      <c r="RNR117" s="577"/>
      <c r="RNS117" s="304"/>
      <c r="RNT117" s="572"/>
      <c r="RNU117" s="573"/>
      <c r="RNV117" s="574"/>
      <c r="RNW117" s="575"/>
      <c r="RNX117" s="583"/>
      <c r="RNY117" s="590"/>
      <c r="RNZ117" s="589"/>
      <c r="ROA117" s="585"/>
      <c r="ROB117" s="577"/>
      <c r="ROC117" s="304"/>
      <c r="ROD117" s="572"/>
      <c r="ROE117" s="573"/>
      <c r="ROF117" s="574"/>
      <c r="ROG117" s="575"/>
      <c r="ROH117" s="583"/>
      <c r="ROI117" s="590"/>
      <c r="ROJ117" s="589"/>
      <c r="ROK117" s="585"/>
      <c r="ROL117" s="577"/>
      <c r="ROM117" s="304"/>
      <c r="RON117" s="572"/>
      <c r="ROO117" s="573"/>
      <c r="ROP117" s="574"/>
      <c r="ROQ117" s="575"/>
      <c r="ROR117" s="583"/>
      <c r="ROS117" s="590"/>
      <c r="ROT117" s="589"/>
      <c r="ROU117" s="585"/>
      <c r="ROV117" s="577"/>
      <c r="ROW117" s="304"/>
      <c r="ROX117" s="572"/>
      <c r="ROY117" s="573"/>
      <c r="ROZ117" s="574"/>
      <c r="RPA117" s="575"/>
      <c r="RPB117" s="583"/>
      <c r="RPC117" s="590"/>
      <c r="RPD117" s="589"/>
      <c r="RPE117" s="585"/>
      <c r="RPF117" s="577"/>
      <c r="RPG117" s="304"/>
      <c r="RPH117" s="572"/>
      <c r="RPI117" s="573"/>
      <c r="RPJ117" s="574"/>
      <c r="RPK117" s="575"/>
      <c r="RPL117" s="583"/>
      <c r="RPM117" s="590"/>
      <c r="RPN117" s="589"/>
      <c r="RPO117" s="585"/>
      <c r="RPP117" s="577"/>
      <c r="RPQ117" s="304"/>
      <c r="RPR117" s="572"/>
      <c r="RPS117" s="573"/>
      <c r="RPT117" s="574"/>
      <c r="RPU117" s="575"/>
      <c r="RPV117" s="583"/>
      <c r="RPW117" s="590"/>
      <c r="RPX117" s="589"/>
      <c r="RPY117" s="585"/>
      <c r="RPZ117" s="577"/>
      <c r="RQA117" s="304"/>
      <c r="RQB117" s="572"/>
      <c r="RQC117" s="573"/>
      <c r="RQD117" s="574"/>
      <c r="RQE117" s="575"/>
      <c r="RQF117" s="583"/>
      <c r="RQG117" s="590"/>
      <c r="RQH117" s="589"/>
      <c r="RQI117" s="585"/>
      <c r="RQJ117" s="577"/>
      <c r="RQK117" s="304"/>
      <c r="RQL117" s="572"/>
      <c r="RQM117" s="573"/>
      <c r="RQN117" s="574"/>
      <c r="RQO117" s="575"/>
      <c r="RQP117" s="583"/>
      <c r="RQQ117" s="590"/>
      <c r="RQR117" s="589"/>
      <c r="RQS117" s="585"/>
      <c r="RQT117" s="577"/>
      <c r="RQU117" s="304"/>
      <c r="RQV117" s="572"/>
      <c r="RQW117" s="573"/>
      <c r="RQX117" s="574"/>
      <c r="RQY117" s="575"/>
      <c r="RQZ117" s="583"/>
      <c r="RRA117" s="590"/>
      <c r="RRB117" s="589"/>
      <c r="RRC117" s="585"/>
      <c r="RRD117" s="577"/>
      <c r="RRE117" s="304"/>
      <c r="RRF117" s="572"/>
      <c r="RRG117" s="573"/>
      <c r="RRH117" s="574"/>
      <c r="RRI117" s="575"/>
      <c r="RRJ117" s="583"/>
      <c r="RRK117" s="590"/>
      <c r="RRL117" s="589"/>
      <c r="RRM117" s="585"/>
      <c r="RRN117" s="577"/>
      <c r="RRO117" s="304"/>
      <c r="RRP117" s="572"/>
      <c r="RRQ117" s="573"/>
      <c r="RRR117" s="574"/>
      <c r="RRS117" s="575"/>
      <c r="RRT117" s="583"/>
      <c r="RRU117" s="590"/>
      <c r="RRV117" s="589"/>
      <c r="RRW117" s="585"/>
      <c r="RRX117" s="577"/>
      <c r="RRY117" s="304"/>
      <c r="RRZ117" s="572"/>
      <c r="RSA117" s="573"/>
      <c r="RSB117" s="574"/>
      <c r="RSC117" s="575"/>
      <c r="RSD117" s="583"/>
      <c r="RSE117" s="590"/>
      <c r="RSF117" s="589"/>
      <c r="RSG117" s="585"/>
      <c r="RSH117" s="577"/>
      <c r="RSI117" s="304"/>
      <c r="RSJ117" s="572"/>
      <c r="RSK117" s="573"/>
      <c r="RSL117" s="574"/>
      <c r="RSM117" s="575"/>
      <c r="RSN117" s="583"/>
      <c r="RSO117" s="590"/>
      <c r="RSP117" s="589"/>
      <c r="RSQ117" s="585"/>
      <c r="RSR117" s="577"/>
      <c r="RSS117" s="304"/>
      <c r="RST117" s="572"/>
      <c r="RSU117" s="573"/>
      <c r="RSV117" s="574"/>
      <c r="RSW117" s="575"/>
      <c r="RSX117" s="583"/>
      <c r="RSY117" s="590"/>
      <c r="RSZ117" s="589"/>
      <c r="RTA117" s="585"/>
      <c r="RTB117" s="577"/>
      <c r="RTC117" s="304"/>
      <c r="RTD117" s="572"/>
      <c r="RTE117" s="573"/>
      <c r="RTF117" s="574"/>
      <c r="RTG117" s="575"/>
      <c r="RTH117" s="583"/>
      <c r="RTI117" s="590"/>
      <c r="RTJ117" s="589"/>
      <c r="RTK117" s="585"/>
      <c r="RTL117" s="577"/>
      <c r="RTM117" s="304"/>
      <c r="RTN117" s="572"/>
      <c r="RTO117" s="573"/>
      <c r="RTP117" s="574"/>
      <c r="RTQ117" s="575"/>
      <c r="RTR117" s="583"/>
      <c r="RTS117" s="590"/>
      <c r="RTT117" s="589"/>
      <c r="RTU117" s="585"/>
      <c r="RTV117" s="577"/>
      <c r="RTW117" s="304"/>
      <c r="RTX117" s="572"/>
      <c r="RTY117" s="573"/>
      <c r="RTZ117" s="574"/>
      <c r="RUA117" s="575"/>
      <c r="RUB117" s="583"/>
      <c r="RUC117" s="590"/>
      <c r="RUD117" s="589"/>
      <c r="RUE117" s="585"/>
      <c r="RUF117" s="577"/>
      <c r="RUG117" s="304"/>
      <c r="RUH117" s="572"/>
      <c r="RUI117" s="573"/>
      <c r="RUJ117" s="574"/>
      <c r="RUK117" s="575"/>
      <c r="RUL117" s="583"/>
      <c r="RUM117" s="590"/>
      <c r="RUN117" s="589"/>
      <c r="RUO117" s="585"/>
      <c r="RUP117" s="577"/>
      <c r="RUQ117" s="304"/>
      <c r="RUR117" s="572"/>
      <c r="RUS117" s="573"/>
      <c r="RUT117" s="574"/>
      <c r="RUU117" s="575"/>
      <c r="RUV117" s="583"/>
      <c r="RUW117" s="590"/>
      <c r="RUX117" s="589"/>
      <c r="RUY117" s="585"/>
      <c r="RUZ117" s="577"/>
      <c r="RVA117" s="304"/>
      <c r="RVB117" s="572"/>
      <c r="RVC117" s="573"/>
      <c r="RVD117" s="574"/>
      <c r="RVE117" s="575"/>
      <c r="RVF117" s="583"/>
      <c r="RVG117" s="590"/>
      <c r="RVH117" s="589"/>
      <c r="RVI117" s="585"/>
      <c r="RVJ117" s="577"/>
      <c r="RVK117" s="304"/>
      <c r="RVL117" s="572"/>
      <c r="RVM117" s="573"/>
      <c r="RVN117" s="574"/>
      <c r="RVO117" s="575"/>
      <c r="RVP117" s="583"/>
      <c r="RVQ117" s="590"/>
      <c r="RVR117" s="589"/>
      <c r="RVS117" s="585"/>
      <c r="RVT117" s="577"/>
      <c r="RVU117" s="304"/>
      <c r="RVV117" s="572"/>
      <c r="RVW117" s="573"/>
      <c r="RVX117" s="574"/>
      <c r="RVY117" s="575"/>
      <c r="RVZ117" s="583"/>
      <c r="RWA117" s="590"/>
      <c r="RWB117" s="589"/>
      <c r="RWC117" s="585"/>
      <c r="RWD117" s="577"/>
      <c r="RWE117" s="304"/>
      <c r="RWF117" s="572"/>
      <c r="RWG117" s="573"/>
      <c r="RWH117" s="574"/>
      <c r="RWI117" s="575"/>
      <c r="RWJ117" s="583"/>
      <c r="RWK117" s="590"/>
      <c r="RWL117" s="589"/>
      <c r="RWM117" s="585"/>
      <c r="RWN117" s="577"/>
      <c r="RWO117" s="304"/>
      <c r="RWP117" s="572"/>
      <c r="RWQ117" s="573"/>
      <c r="RWR117" s="574"/>
      <c r="RWS117" s="575"/>
      <c r="RWT117" s="583"/>
      <c r="RWU117" s="590"/>
      <c r="RWV117" s="589"/>
      <c r="RWW117" s="585"/>
      <c r="RWX117" s="577"/>
      <c r="RWY117" s="304"/>
      <c r="RWZ117" s="572"/>
      <c r="RXA117" s="573"/>
      <c r="RXB117" s="574"/>
      <c r="RXC117" s="575"/>
      <c r="RXD117" s="583"/>
      <c r="RXE117" s="590"/>
      <c r="RXF117" s="589"/>
      <c r="RXG117" s="585"/>
      <c r="RXH117" s="577"/>
      <c r="RXI117" s="304"/>
      <c r="RXJ117" s="572"/>
      <c r="RXK117" s="573"/>
      <c r="RXL117" s="574"/>
      <c r="RXM117" s="575"/>
      <c r="RXN117" s="583"/>
      <c r="RXO117" s="590"/>
      <c r="RXP117" s="589"/>
      <c r="RXQ117" s="585"/>
      <c r="RXR117" s="577"/>
      <c r="RXS117" s="304"/>
      <c r="RXT117" s="572"/>
      <c r="RXU117" s="573"/>
      <c r="RXV117" s="574"/>
      <c r="RXW117" s="575"/>
      <c r="RXX117" s="583"/>
      <c r="RXY117" s="590"/>
      <c r="RXZ117" s="589"/>
      <c r="RYA117" s="585"/>
      <c r="RYB117" s="577"/>
      <c r="RYC117" s="304"/>
      <c r="RYD117" s="572"/>
      <c r="RYE117" s="573"/>
      <c r="RYF117" s="574"/>
      <c r="RYG117" s="575"/>
      <c r="RYH117" s="583"/>
      <c r="RYI117" s="590"/>
      <c r="RYJ117" s="589"/>
      <c r="RYK117" s="585"/>
      <c r="RYL117" s="577"/>
      <c r="RYM117" s="304"/>
      <c r="RYN117" s="572"/>
      <c r="RYO117" s="573"/>
      <c r="RYP117" s="574"/>
      <c r="RYQ117" s="575"/>
      <c r="RYR117" s="583"/>
      <c r="RYS117" s="590"/>
      <c r="RYT117" s="589"/>
      <c r="RYU117" s="585"/>
      <c r="RYV117" s="577"/>
      <c r="RYW117" s="304"/>
      <c r="RYX117" s="572"/>
      <c r="RYY117" s="573"/>
      <c r="RYZ117" s="574"/>
      <c r="RZA117" s="575"/>
      <c r="RZB117" s="583"/>
      <c r="RZC117" s="590"/>
      <c r="RZD117" s="589"/>
      <c r="RZE117" s="585"/>
      <c r="RZF117" s="577"/>
      <c r="RZG117" s="304"/>
      <c r="RZH117" s="572"/>
      <c r="RZI117" s="573"/>
      <c r="RZJ117" s="574"/>
      <c r="RZK117" s="575"/>
      <c r="RZL117" s="583"/>
      <c r="RZM117" s="590"/>
      <c r="RZN117" s="589"/>
      <c r="RZO117" s="585"/>
      <c r="RZP117" s="577"/>
      <c r="RZQ117" s="304"/>
      <c r="RZR117" s="572"/>
      <c r="RZS117" s="573"/>
      <c r="RZT117" s="574"/>
      <c r="RZU117" s="575"/>
      <c r="RZV117" s="583"/>
      <c r="RZW117" s="590"/>
      <c r="RZX117" s="589"/>
      <c r="RZY117" s="585"/>
      <c r="RZZ117" s="577"/>
      <c r="SAA117" s="304"/>
      <c r="SAB117" s="572"/>
      <c r="SAC117" s="573"/>
      <c r="SAD117" s="574"/>
      <c r="SAE117" s="575"/>
      <c r="SAF117" s="583"/>
      <c r="SAG117" s="590"/>
      <c r="SAH117" s="589"/>
      <c r="SAI117" s="585"/>
      <c r="SAJ117" s="577"/>
      <c r="SAK117" s="304"/>
      <c r="SAL117" s="572"/>
      <c r="SAM117" s="573"/>
      <c r="SAN117" s="574"/>
      <c r="SAO117" s="575"/>
      <c r="SAP117" s="583"/>
      <c r="SAQ117" s="590"/>
      <c r="SAR117" s="589"/>
      <c r="SAS117" s="585"/>
      <c r="SAT117" s="577"/>
      <c r="SAU117" s="304"/>
      <c r="SAV117" s="572"/>
      <c r="SAW117" s="573"/>
      <c r="SAX117" s="574"/>
      <c r="SAY117" s="575"/>
      <c r="SAZ117" s="583"/>
      <c r="SBA117" s="590"/>
      <c r="SBB117" s="589"/>
      <c r="SBC117" s="585"/>
      <c r="SBD117" s="577"/>
      <c r="SBE117" s="304"/>
      <c r="SBF117" s="572"/>
      <c r="SBG117" s="573"/>
      <c r="SBH117" s="574"/>
      <c r="SBI117" s="575"/>
      <c r="SBJ117" s="583"/>
      <c r="SBK117" s="590"/>
      <c r="SBL117" s="589"/>
      <c r="SBM117" s="585"/>
      <c r="SBN117" s="577"/>
      <c r="SBO117" s="304"/>
      <c r="SBP117" s="572"/>
      <c r="SBQ117" s="573"/>
      <c r="SBR117" s="574"/>
      <c r="SBS117" s="575"/>
      <c r="SBT117" s="583"/>
      <c r="SBU117" s="590"/>
      <c r="SBV117" s="589"/>
      <c r="SBW117" s="585"/>
      <c r="SBX117" s="577"/>
      <c r="SBY117" s="304"/>
      <c r="SBZ117" s="572"/>
      <c r="SCA117" s="573"/>
      <c r="SCB117" s="574"/>
      <c r="SCC117" s="575"/>
      <c r="SCD117" s="583"/>
      <c r="SCE117" s="590"/>
      <c r="SCF117" s="589"/>
      <c r="SCG117" s="585"/>
      <c r="SCH117" s="577"/>
      <c r="SCI117" s="304"/>
      <c r="SCJ117" s="572"/>
      <c r="SCK117" s="573"/>
      <c r="SCL117" s="574"/>
      <c r="SCM117" s="575"/>
      <c r="SCN117" s="583"/>
      <c r="SCO117" s="590"/>
      <c r="SCP117" s="589"/>
      <c r="SCQ117" s="585"/>
      <c r="SCR117" s="577"/>
      <c r="SCS117" s="304"/>
      <c r="SCT117" s="572"/>
      <c r="SCU117" s="573"/>
      <c r="SCV117" s="574"/>
      <c r="SCW117" s="575"/>
      <c r="SCX117" s="583"/>
      <c r="SCY117" s="590"/>
      <c r="SCZ117" s="589"/>
      <c r="SDA117" s="585"/>
      <c r="SDB117" s="577"/>
      <c r="SDC117" s="304"/>
      <c r="SDD117" s="572"/>
      <c r="SDE117" s="573"/>
      <c r="SDF117" s="574"/>
      <c r="SDG117" s="575"/>
      <c r="SDH117" s="583"/>
      <c r="SDI117" s="590"/>
      <c r="SDJ117" s="589"/>
      <c r="SDK117" s="585"/>
      <c r="SDL117" s="577"/>
      <c r="SDM117" s="304"/>
      <c r="SDN117" s="572"/>
      <c r="SDO117" s="573"/>
      <c r="SDP117" s="574"/>
      <c r="SDQ117" s="575"/>
      <c r="SDR117" s="583"/>
      <c r="SDS117" s="590"/>
      <c r="SDT117" s="589"/>
      <c r="SDU117" s="585"/>
      <c r="SDV117" s="577"/>
      <c r="SDW117" s="304"/>
      <c r="SDX117" s="572"/>
      <c r="SDY117" s="573"/>
      <c r="SDZ117" s="574"/>
      <c r="SEA117" s="575"/>
      <c r="SEB117" s="583"/>
      <c r="SEC117" s="590"/>
      <c r="SED117" s="589"/>
      <c r="SEE117" s="585"/>
      <c r="SEF117" s="577"/>
      <c r="SEG117" s="304"/>
      <c r="SEH117" s="572"/>
      <c r="SEI117" s="573"/>
      <c r="SEJ117" s="574"/>
      <c r="SEK117" s="575"/>
      <c r="SEL117" s="583"/>
      <c r="SEM117" s="590"/>
      <c r="SEN117" s="589"/>
      <c r="SEO117" s="585"/>
      <c r="SEP117" s="577"/>
      <c r="SEQ117" s="304"/>
      <c r="SER117" s="572"/>
      <c r="SES117" s="573"/>
      <c r="SET117" s="574"/>
      <c r="SEU117" s="575"/>
      <c r="SEV117" s="583"/>
      <c r="SEW117" s="590"/>
      <c r="SEX117" s="589"/>
      <c r="SEY117" s="585"/>
      <c r="SEZ117" s="577"/>
      <c r="SFA117" s="304"/>
      <c r="SFB117" s="572"/>
      <c r="SFC117" s="573"/>
      <c r="SFD117" s="574"/>
      <c r="SFE117" s="575"/>
      <c r="SFF117" s="583"/>
      <c r="SFG117" s="590"/>
      <c r="SFH117" s="589"/>
      <c r="SFI117" s="585"/>
      <c r="SFJ117" s="577"/>
      <c r="SFK117" s="304"/>
      <c r="SFL117" s="572"/>
      <c r="SFM117" s="573"/>
      <c r="SFN117" s="574"/>
      <c r="SFO117" s="575"/>
      <c r="SFP117" s="583"/>
      <c r="SFQ117" s="590"/>
      <c r="SFR117" s="589"/>
      <c r="SFS117" s="585"/>
      <c r="SFT117" s="577"/>
      <c r="SFU117" s="304"/>
      <c r="SFV117" s="572"/>
      <c r="SFW117" s="573"/>
      <c r="SFX117" s="574"/>
      <c r="SFY117" s="575"/>
      <c r="SFZ117" s="583"/>
      <c r="SGA117" s="590"/>
      <c r="SGB117" s="589"/>
      <c r="SGC117" s="585"/>
      <c r="SGD117" s="577"/>
      <c r="SGE117" s="304"/>
      <c r="SGF117" s="572"/>
      <c r="SGG117" s="573"/>
      <c r="SGH117" s="574"/>
      <c r="SGI117" s="575"/>
      <c r="SGJ117" s="583"/>
      <c r="SGK117" s="590"/>
      <c r="SGL117" s="589"/>
      <c r="SGM117" s="585"/>
      <c r="SGN117" s="577"/>
      <c r="SGO117" s="304"/>
      <c r="SGP117" s="572"/>
      <c r="SGQ117" s="573"/>
      <c r="SGR117" s="574"/>
      <c r="SGS117" s="575"/>
      <c r="SGT117" s="583"/>
      <c r="SGU117" s="590"/>
      <c r="SGV117" s="589"/>
      <c r="SGW117" s="585"/>
      <c r="SGX117" s="577"/>
      <c r="SGY117" s="304"/>
      <c r="SGZ117" s="572"/>
      <c r="SHA117" s="573"/>
      <c r="SHB117" s="574"/>
      <c r="SHC117" s="575"/>
      <c r="SHD117" s="583"/>
      <c r="SHE117" s="590"/>
      <c r="SHF117" s="589"/>
      <c r="SHG117" s="585"/>
      <c r="SHH117" s="577"/>
      <c r="SHI117" s="304"/>
      <c r="SHJ117" s="572"/>
      <c r="SHK117" s="573"/>
      <c r="SHL117" s="574"/>
      <c r="SHM117" s="575"/>
      <c r="SHN117" s="583"/>
      <c r="SHO117" s="590"/>
      <c r="SHP117" s="589"/>
      <c r="SHQ117" s="585"/>
      <c r="SHR117" s="577"/>
      <c r="SHS117" s="304"/>
      <c r="SHT117" s="572"/>
      <c r="SHU117" s="573"/>
      <c r="SHV117" s="574"/>
      <c r="SHW117" s="575"/>
      <c r="SHX117" s="583"/>
      <c r="SHY117" s="590"/>
      <c r="SHZ117" s="589"/>
      <c r="SIA117" s="585"/>
      <c r="SIB117" s="577"/>
      <c r="SIC117" s="304"/>
      <c r="SID117" s="572"/>
      <c r="SIE117" s="573"/>
      <c r="SIF117" s="574"/>
      <c r="SIG117" s="575"/>
      <c r="SIH117" s="583"/>
      <c r="SII117" s="590"/>
      <c r="SIJ117" s="589"/>
      <c r="SIK117" s="585"/>
      <c r="SIL117" s="577"/>
      <c r="SIM117" s="304"/>
      <c r="SIN117" s="572"/>
      <c r="SIO117" s="573"/>
      <c r="SIP117" s="574"/>
      <c r="SIQ117" s="575"/>
      <c r="SIR117" s="583"/>
      <c r="SIS117" s="590"/>
      <c r="SIT117" s="589"/>
      <c r="SIU117" s="585"/>
      <c r="SIV117" s="577"/>
      <c r="SIW117" s="304"/>
      <c r="SIX117" s="572"/>
      <c r="SIY117" s="573"/>
      <c r="SIZ117" s="574"/>
      <c r="SJA117" s="575"/>
      <c r="SJB117" s="583"/>
      <c r="SJC117" s="590"/>
      <c r="SJD117" s="589"/>
      <c r="SJE117" s="585"/>
      <c r="SJF117" s="577"/>
      <c r="SJG117" s="304"/>
      <c r="SJH117" s="572"/>
      <c r="SJI117" s="573"/>
      <c r="SJJ117" s="574"/>
      <c r="SJK117" s="575"/>
      <c r="SJL117" s="583"/>
      <c r="SJM117" s="590"/>
      <c r="SJN117" s="589"/>
      <c r="SJO117" s="585"/>
      <c r="SJP117" s="577"/>
      <c r="SJQ117" s="304"/>
      <c r="SJR117" s="572"/>
      <c r="SJS117" s="573"/>
      <c r="SJT117" s="574"/>
      <c r="SJU117" s="575"/>
      <c r="SJV117" s="583"/>
      <c r="SJW117" s="590"/>
      <c r="SJX117" s="589"/>
      <c r="SJY117" s="585"/>
      <c r="SJZ117" s="577"/>
      <c r="SKA117" s="304"/>
      <c r="SKB117" s="572"/>
      <c r="SKC117" s="573"/>
      <c r="SKD117" s="574"/>
      <c r="SKE117" s="575"/>
      <c r="SKF117" s="583"/>
      <c r="SKG117" s="590"/>
      <c r="SKH117" s="589"/>
      <c r="SKI117" s="585"/>
      <c r="SKJ117" s="577"/>
      <c r="SKK117" s="304"/>
      <c r="SKL117" s="572"/>
      <c r="SKM117" s="573"/>
      <c r="SKN117" s="574"/>
      <c r="SKO117" s="575"/>
      <c r="SKP117" s="583"/>
      <c r="SKQ117" s="590"/>
      <c r="SKR117" s="589"/>
      <c r="SKS117" s="585"/>
      <c r="SKT117" s="577"/>
      <c r="SKU117" s="304"/>
      <c r="SKV117" s="572"/>
      <c r="SKW117" s="573"/>
      <c r="SKX117" s="574"/>
      <c r="SKY117" s="575"/>
      <c r="SKZ117" s="583"/>
      <c r="SLA117" s="590"/>
      <c r="SLB117" s="589"/>
      <c r="SLC117" s="585"/>
      <c r="SLD117" s="577"/>
      <c r="SLE117" s="304"/>
      <c r="SLF117" s="572"/>
      <c r="SLG117" s="573"/>
      <c r="SLH117" s="574"/>
      <c r="SLI117" s="575"/>
      <c r="SLJ117" s="583"/>
      <c r="SLK117" s="590"/>
      <c r="SLL117" s="589"/>
      <c r="SLM117" s="585"/>
      <c r="SLN117" s="577"/>
      <c r="SLO117" s="304"/>
      <c r="SLP117" s="572"/>
      <c r="SLQ117" s="573"/>
      <c r="SLR117" s="574"/>
      <c r="SLS117" s="575"/>
      <c r="SLT117" s="583"/>
      <c r="SLU117" s="590"/>
      <c r="SLV117" s="589"/>
      <c r="SLW117" s="585"/>
      <c r="SLX117" s="577"/>
      <c r="SLY117" s="304"/>
      <c r="SLZ117" s="572"/>
      <c r="SMA117" s="573"/>
      <c r="SMB117" s="574"/>
      <c r="SMC117" s="575"/>
      <c r="SMD117" s="583"/>
      <c r="SME117" s="590"/>
      <c r="SMF117" s="589"/>
      <c r="SMG117" s="585"/>
      <c r="SMH117" s="577"/>
      <c r="SMI117" s="304"/>
      <c r="SMJ117" s="572"/>
      <c r="SMK117" s="573"/>
      <c r="SML117" s="574"/>
      <c r="SMM117" s="575"/>
      <c r="SMN117" s="583"/>
      <c r="SMO117" s="590"/>
      <c r="SMP117" s="589"/>
      <c r="SMQ117" s="585"/>
      <c r="SMR117" s="577"/>
      <c r="SMS117" s="304"/>
      <c r="SMT117" s="572"/>
      <c r="SMU117" s="573"/>
      <c r="SMV117" s="574"/>
      <c r="SMW117" s="575"/>
      <c r="SMX117" s="583"/>
      <c r="SMY117" s="590"/>
      <c r="SMZ117" s="589"/>
      <c r="SNA117" s="585"/>
      <c r="SNB117" s="577"/>
      <c r="SNC117" s="304"/>
      <c r="SND117" s="572"/>
      <c r="SNE117" s="573"/>
      <c r="SNF117" s="574"/>
      <c r="SNG117" s="575"/>
      <c r="SNH117" s="583"/>
      <c r="SNI117" s="590"/>
      <c r="SNJ117" s="589"/>
      <c r="SNK117" s="585"/>
      <c r="SNL117" s="577"/>
      <c r="SNM117" s="304"/>
      <c r="SNN117" s="572"/>
      <c r="SNO117" s="573"/>
      <c r="SNP117" s="574"/>
      <c r="SNQ117" s="575"/>
      <c r="SNR117" s="583"/>
      <c r="SNS117" s="590"/>
      <c r="SNT117" s="589"/>
      <c r="SNU117" s="585"/>
      <c r="SNV117" s="577"/>
      <c r="SNW117" s="304"/>
      <c r="SNX117" s="572"/>
      <c r="SNY117" s="573"/>
      <c r="SNZ117" s="574"/>
      <c r="SOA117" s="575"/>
      <c r="SOB117" s="583"/>
      <c r="SOC117" s="590"/>
      <c r="SOD117" s="589"/>
      <c r="SOE117" s="585"/>
      <c r="SOF117" s="577"/>
      <c r="SOG117" s="304"/>
      <c r="SOH117" s="572"/>
      <c r="SOI117" s="573"/>
      <c r="SOJ117" s="574"/>
      <c r="SOK117" s="575"/>
      <c r="SOL117" s="583"/>
      <c r="SOM117" s="590"/>
      <c r="SON117" s="589"/>
      <c r="SOO117" s="585"/>
      <c r="SOP117" s="577"/>
      <c r="SOQ117" s="304"/>
      <c r="SOR117" s="572"/>
      <c r="SOS117" s="573"/>
      <c r="SOT117" s="574"/>
      <c r="SOU117" s="575"/>
      <c r="SOV117" s="583"/>
      <c r="SOW117" s="590"/>
      <c r="SOX117" s="589"/>
      <c r="SOY117" s="585"/>
      <c r="SOZ117" s="577"/>
      <c r="SPA117" s="304"/>
      <c r="SPB117" s="572"/>
      <c r="SPC117" s="573"/>
      <c r="SPD117" s="574"/>
      <c r="SPE117" s="575"/>
      <c r="SPF117" s="583"/>
      <c r="SPG117" s="590"/>
      <c r="SPH117" s="589"/>
      <c r="SPI117" s="585"/>
      <c r="SPJ117" s="577"/>
      <c r="SPK117" s="304"/>
      <c r="SPL117" s="572"/>
      <c r="SPM117" s="573"/>
      <c r="SPN117" s="574"/>
      <c r="SPO117" s="575"/>
      <c r="SPP117" s="583"/>
      <c r="SPQ117" s="590"/>
      <c r="SPR117" s="589"/>
      <c r="SPS117" s="585"/>
      <c r="SPT117" s="577"/>
      <c r="SPU117" s="304"/>
      <c r="SPV117" s="572"/>
      <c r="SPW117" s="573"/>
      <c r="SPX117" s="574"/>
      <c r="SPY117" s="575"/>
      <c r="SPZ117" s="583"/>
      <c r="SQA117" s="590"/>
      <c r="SQB117" s="589"/>
      <c r="SQC117" s="585"/>
      <c r="SQD117" s="577"/>
      <c r="SQE117" s="304"/>
      <c r="SQF117" s="572"/>
      <c r="SQG117" s="573"/>
      <c r="SQH117" s="574"/>
      <c r="SQI117" s="575"/>
      <c r="SQJ117" s="583"/>
      <c r="SQK117" s="590"/>
      <c r="SQL117" s="589"/>
      <c r="SQM117" s="585"/>
      <c r="SQN117" s="577"/>
      <c r="SQO117" s="304"/>
      <c r="SQP117" s="572"/>
      <c r="SQQ117" s="573"/>
      <c r="SQR117" s="574"/>
      <c r="SQS117" s="575"/>
      <c r="SQT117" s="583"/>
      <c r="SQU117" s="590"/>
      <c r="SQV117" s="589"/>
      <c r="SQW117" s="585"/>
      <c r="SQX117" s="577"/>
      <c r="SQY117" s="304"/>
      <c r="SQZ117" s="572"/>
      <c r="SRA117" s="573"/>
      <c r="SRB117" s="574"/>
      <c r="SRC117" s="575"/>
      <c r="SRD117" s="583"/>
      <c r="SRE117" s="590"/>
      <c r="SRF117" s="589"/>
      <c r="SRG117" s="585"/>
      <c r="SRH117" s="577"/>
      <c r="SRI117" s="304"/>
      <c r="SRJ117" s="572"/>
      <c r="SRK117" s="573"/>
      <c r="SRL117" s="574"/>
      <c r="SRM117" s="575"/>
      <c r="SRN117" s="583"/>
      <c r="SRO117" s="590"/>
      <c r="SRP117" s="589"/>
      <c r="SRQ117" s="585"/>
      <c r="SRR117" s="577"/>
      <c r="SRS117" s="304"/>
      <c r="SRT117" s="572"/>
      <c r="SRU117" s="573"/>
      <c r="SRV117" s="574"/>
      <c r="SRW117" s="575"/>
      <c r="SRX117" s="583"/>
      <c r="SRY117" s="590"/>
      <c r="SRZ117" s="589"/>
      <c r="SSA117" s="585"/>
      <c r="SSB117" s="577"/>
      <c r="SSC117" s="304"/>
      <c r="SSD117" s="572"/>
      <c r="SSE117" s="573"/>
      <c r="SSF117" s="574"/>
      <c r="SSG117" s="575"/>
      <c r="SSH117" s="583"/>
      <c r="SSI117" s="590"/>
      <c r="SSJ117" s="589"/>
      <c r="SSK117" s="585"/>
      <c r="SSL117" s="577"/>
      <c r="SSM117" s="304"/>
      <c r="SSN117" s="572"/>
      <c r="SSO117" s="573"/>
      <c r="SSP117" s="574"/>
      <c r="SSQ117" s="575"/>
      <c r="SSR117" s="583"/>
      <c r="SSS117" s="590"/>
      <c r="SST117" s="589"/>
      <c r="SSU117" s="585"/>
      <c r="SSV117" s="577"/>
      <c r="SSW117" s="304"/>
      <c r="SSX117" s="572"/>
      <c r="SSY117" s="573"/>
      <c r="SSZ117" s="574"/>
      <c r="STA117" s="575"/>
      <c r="STB117" s="583"/>
      <c r="STC117" s="590"/>
      <c r="STD117" s="589"/>
      <c r="STE117" s="585"/>
      <c r="STF117" s="577"/>
      <c r="STG117" s="304"/>
      <c r="STH117" s="572"/>
      <c r="STI117" s="573"/>
      <c r="STJ117" s="574"/>
      <c r="STK117" s="575"/>
      <c r="STL117" s="583"/>
      <c r="STM117" s="590"/>
      <c r="STN117" s="589"/>
      <c r="STO117" s="585"/>
      <c r="STP117" s="577"/>
      <c r="STQ117" s="304"/>
      <c r="STR117" s="572"/>
      <c r="STS117" s="573"/>
      <c r="STT117" s="574"/>
      <c r="STU117" s="575"/>
      <c r="STV117" s="583"/>
      <c r="STW117" s="590"/>
      <c r="STX117" s="589"/>
      <c r="STY117" s="585"/>
      <c r="STZ117" s="577"/>
      <c r="SUA117" s="304"/>
      <c r="SUB117" s="572"/>
      <c r="SUC117" s="573"/>
      <c r="SUD117" s="574"/>
      <c r="SUE117" s="575"/>
      <c r="SUF117" s="583"/>
      <c r="SUG117" s="590"/>
      <c r="SUH117" s="589"/>
      <c r="SUI117" s="585"/>
      <c r="SUJ117" s="577"/>
      <c r="SUK117" s="304"/>
      <c r="SUL117" s="572"/>
      <c r="SUM117" s="573"/>
      <c r="SUN117" s="574"/>
      <c r="SUO117" s="575"/>
      <c r="SUP117" s="583"/>
      <c r="SUQ117" s="590"/>
      <c r="SUR117" s="589"/>
      <c r="SUS117" s="585"/>
      <c r="SUT117" s="577"/>
      <c r="SUU117" s="304"/>
      <c r="SUV117" s="572"/>
      <c r="SUW117" s="573"/>
      <c r="SUX117" s="574"/>
      <c r="SUY117" s="575"/>
      <c r="SUZ117" s="583"/>
      <c r="SVA117" s="590"/>
      <c r="SVB117" s="589"/>
      <c r="SVC117" s="585"/>
      <c r="SVD117" s="577"/>
      <c r="SVE117" s="304"/>
      <c r="SVF117" s="572"/>
      <c r="SVG117" s="573"/>
      <c r="SVH117" s="574"/>
      <c r="SVI117" s="575"/>
      <c r="SVJ117" s="583"/>
      <c r="SVK117" s="590"/>
      <c r="SVL117" s="589"/>
      <c r="SVM117" s="585"/>
      <c r="SVN117" s="577"/>
      <c r="SVO117" s="304"/>
      <c r="SVP117" s="572"/>
      <c r="SVQ117" s="573"/>
      <c r="SVR117" s="574"/>
      <c r="SVS117" s="575"/>
      <c r="SVT117" s="583"/>
      <c r="SVU117" s="590"/>
      <c r="SVV117" s="589"/>
      <c r="SVW117" s="585"/>
      <c r="SVX117" s="577"/>
      <c r="SVY117" s="304"/>
      <c r="SVZ117" s="572"/>
      <c r="SWA117" s="573"/>
      <c r="SWB117" s="574"/>
      <c r="SWC117" s="575"/>
      <c r="SWD117" s="583"/>
      <c r="SWE117" s="590"/>
      <c r="SWF117" s="589"/>
      <c r="SWG117" s="585"/>
      <c r="SWH117" s="577"/>
      <c r="SWI117" s="304"/>
      <c r="SWJ117" s="572"/>
      <c r="SWK117" s="573"/>
      <c r="SWL117" s="574"/>
      <c r="SWM117" s="575"/>
      <c r="SWN117" s="583"/>
      <c r="SWO117" s="590"/>
      <c r="SWP117" s="589"/>
      <c r="SWQ117" s="585"/>
      <c r="SWR117" s="577"/>
      <c r="SWS117" s="304"/>
      <c r="SWT117" s="572"/>
      <c r="SWU117" s="573"/>
      <c r="SWV117" s="574"/>
      <c r="SWW117" s="575"/>
      <c r="SWX117" s="583"/>
      <c r="SWY117" s="590"/>
      <c r="SWZ117" s="589"/>
      <c r="SXA117" s="585"/>
      <c r="SXB117" s="577"/>
      <c r="SXC117" s="304"/>
      <c r="SXD117" s="572"/>
      <c r="SXE117" s="573"/>
      <c r="SXF117" s="574"/>
      <c r="SXG117" s="575"/>
      <c r="SXH117" s="583"/>
      <c r="SXI117" s="590"/>
      <c r="SXJ117" s="589"/>
      <c r="SXK117" s="585"/>
      <c r="SXL117" s="577"/>
      <c r="SXM117" s="304"/>
      <c r="SXN117" s="572"/>
      <c r="SXO117" s="573"/>
      <c r="SXP117" s="574"/>
      <c r="SXQ117" s="575"/>
      <c r="SXR117" s="583"/>
      <c r="SXS117" s="590"/>
      <c r="SXT117" s="589"/>
      <c r="SXU117" s="585"/>
      <c r="SXV117" s="577"/>
      <c r="SXW117" s="304"/>
      <c r="SXX117" s="572"/>
      <c r="SXY117" s="573"/>
      <c r="SXZ117" s="574"/>
      <c r="SYA117" s="575"/>
      <c r="SYB117" s="583"/>
      <c r="SYC117" s="590"/>
      <c r="SYD117" s="589"/>
      <c r="SYE117" s="585"/>
      <c r="SYF117" s="577"/>
      <c r="SYG117" s="304"/>
      <c r="SYH117" s="572"/>
      <c r="SYI117" s="573"/>
      <c r="SYJ117" s="574"/>
      <c r="SYK117" s="575"/>
      <c r="SYL117" s="583"/>
      <c r="SYM117" s="590"/>
      <c r="SYN117" s="589"/>
      <c r="SYO117" s="585"/>
      <c r="SYP117" s="577"/>
      <c r="SYQ117" s="304"/>
      <c r="SYR117" s="572"/>
      <c r="SYS117" s="573"/>
      <c r="SYT117" s="574"/>
      <c r="SYU117" s="575"/>
      <c r="SYV117" s="583"/>
      <c r="SYW117" s="590"/>
      <c r="SYX117" s="589"/>
      <c r="SYY117" s="585"/>
      <c r="SYZ117" s="577"/>
      <c r="SZA117" s="304"/>
      <c r="SZB117" s="572"/>
      <c r="SZC117" s="573"/>
      <c r="SZD117" s="574"/>
      <c r="SZE117" s="575"/>
      <c r="SZF117" s="583"/>
      <c r="SZG117" s="590"/>
      <c r="SZH117" s="589"/>
      <c r="SZI117" s="585"/>
      <c r="SZJ117" s="577"/>
      <c r="SZK117" s="304"/>
      <c r="SZL117" s="572"/>
      <c r="SZM117" s="573"/>
      <c r="SZN117" s="574"/>
      <c r="SZO117" s="575"/>
      <c r="SZP117" s="583"/>
      <c r="SZQ117" s="590"/>
      <c r="SZR117" s="589"/>
      <c r="SZS117" s="585"/>
      <c r="SZT117" s="577"/>
      <c r="SZU117" s="304"/>
      <c r="SZV117" s="572"/>
      <c r="SZW117" s="573"/>
      <c r="SZX117" s="574"/>
      <c r="SZY117" s="575"/>
      <c r="SZZ117" s="583"/>
      <c r="TAA117" s="590"/>
      <c r="TAB117" s="589"/>
      <c r="TAC117" s="585"/>
      <c r="TAD117" s="577"/>
      <c r="TAE117" s="304"/>
      <c r="TAF117" s="572"/>
      <c r="TAG117" s="573"/>
      <c r="TAH117" s="574"/>
      <c r="TAI117" s="575"/>
      <c r="TAJ117" s="583"/>
      <c r="TAK117" s="590"/>
      <c r="TAL117" s="589"/>
      <c r="TAM117" s="585"/>
      <c r="TAN117" s="577"/>
      <c r="TAO117" s="304"/>
      <c r="TAP117" s="572"/>
      <c r="TAQ117" s="573"/>
      <c r="TAR117" s="574"/>
      <c r="TAS117" s="575"/>
      <c r="TAT117" s="583"/>
      <c r="TAU117" s="590"/>
      <c r="TAV117" s="589"/>
      <c r="TAW117" s="585"/>
      <c r="TAX117" s="577"/>
      <c r="TAY117" s="304"/>
      <c r="TAZ117" s="572"/>
      <c r="TBA117" s="573"/>
      <c r="TBB117" s="574"/>
      <c r="TBC117" s="575"/>
      <c r="TBD117" s="583"/>
      <c r="TBE117" s="590"/>
      <c r="TBF117" s="589"/>
      <c r="TBG117" s="585"/>
      <c r="TBH117" s="577"/>
      <c r="TBI117" s="304"/>
      <c r="TBJ117" s="572"/>
      <c r="TBK117" s="573"/>
      <c r="TBL117" s="574"/>
      <c r="TBM117" s="575"/>
      <c r="TBN117" s="583"/>
      <c r="TBO117" s="590"/>
      <c r="TBP117" s="589"/>
      <c r="TBQ117" s="585"/>
      <c r="TBR117" s="577"/>
      <c r="TBS117" s="304"/>
      <c r="TBT117" s="572"/>
      <c r="TBU117" s="573"/>
      <c r="TBV117" s="574"/>
      <c r="TBW117" s="575"/>
      <c r="TBX117" s="583"/>
      <c r="TBY117" s="590"/>
      <c r="TBZ117" s="589"/>
      <c r="TCA117" s="585"/>
      <c r="TCB117" s="577"/>
      <c r="TCC117" s="304"/>
      <c r="TCD117" s="572"/>
      <c r="TCE117" s="573"/>
      <c r="TCF117" s="574"/>
      <c r="TCG117" s="575"/>
      <c r="TCH117" s="583"/>
      <c r="TCI117" s="590"/>
      <c r="TCJ117" s="589"/>
      <c r="TCK117" s="585"/>
      <c r="TCL117" s="577"/>
      <c r="TCM117" s="304"/>
      <c r="TCN117" s="572"/>
      <c r="TCO117" s="573"/>
      <c r="TCP117" s="574"/>
      <c r="TCQ117" s="575"/>
      <c r="TCR117" s="583"/>
      <c r="TCS117" s="590"/>
      <c r="TCT117" s="589"/>
      <c r="TCU117" s="585"/>
      <c r="TCV117" s="577"/>
      <c r="TCW117" s="304"/>
      <c r="TCX117" s="572"/>
      <c r="TCY117" s="573"/>
      <c r="TCZ117" s="574"/>
      <c r="TDA117" s="575"/>
      <c r="TDB117" s="583"/>
      <c r="TDC117" s="590"/>
      <c r="TDD117" s="589"/>
      <c r="TDE117" s="585"/>
      <c r="TDF117" s="577"/>
      <c r="TDG117" s="304"/>
      <c r="TDH117" s="572"/>
      <c r="TDI117" s="573"/>
      <c r="TDJ117" s="574"/>
      <c r="TDK117" s="575"/>
      <c r="TDL117" s="583"/>
      <c r="TDM117" s="590"/>
      <c r="TDN117" s="589"/>
      <c r="TDO117" s="585"/>
      <c r="TDP117" s="577"/>
      <c r="TDQ117" s="304"/>
      <c r="TDR117" s="572"/>
      <c r="TDS117" s="573"/>
      <c r="TDT117" s="574"/>
      <c r="TDU117" s="575"/>
      <c r="TDV117" s="583"/>
      <c r="TDW117" s="590"/>
      <c r="TDX117" s="589"/>
      <c r="TDY117" s="585"/>
      <c r="TDZ117" s="577"/>
      <c r="TEA117" s="304"/>
      <c r="TEB117" s="572"/>
      <c r="TEC117" s="573"/>
      <c r="TED117" s="574"/>
      <c r="TEE117" s="575"/>
      <c r="TEF117" s="583"/>
      <c r="TEG117" s="590"/>
      <c r="TEH117" s="589"/>
      <c r="TEI117" s="585"/>
      <c r="TEJ117" s="577"/>
      <c r="TEK117" s="304"/>
      <c r="TEL117" s="572"/>
      <c r="TEM117" s="573"/>
      <c r="TEN117" s="574"/>
      <c r="TEO117" s="575"/>
      <c r="TEP117" s="583"/>
      <c r="TEQ117" s="590"/>
      <c r="TER117" s="589"/>
      <c r="TES117" s="585"/>
      <c r="TET117" s="577"/>
      <c r="TEU117" s="304"/>
      <c r="TEV117" s="572"/>
      <c r="TEW117" s="573"/>
      <c r="TEX117" s="574"/>
      <c r="TEY117" s="575"/>
      <c r="TEZ117" s="583"/>
      <c r="TFA117" s="590"/>
      <c r="TFB117" s="589"/>
      <c r="TFC117" s="585"/>
      <c r="TFD117" s="577"/>
      <c r="TFE117" s="304"/>
      <c r="TFF117" s="572"/>
      <c r="TFG117" s="573"/>
      <c r="TFH117" s="574"/>
      <c r="TFI117" s="575"/>
      <c r="TFJ117" s="583"/>
      <c r="TFK117" s="590"/>
      <c r="TFL117" s="589"/>
      <c r="TFM117" s="585"/>
      <c r="TFN117" s="577"/>
      <c r="TFO117" s="304"/>
      <c r="TFP117" s="572"/>
      <c r="TFQ117" s="573"/>
      <c r="TFR117" s="574"/>
      <c r="TFS117" s="575"/>
      <c r="TFT117" s="583"/>
      <c r="TFU117" s="590"/>
      <c r="TFV117" s="589"/>
      <c r="TFW117" s="585"/>
      <c r="TFX117" s="577"/>
      <c r="TFY117" s="304"/>
      <c r="TFZ117" s="572"/>
      <c r="TGA117" s="573"/>
      <c r="TGB117" s="574"/>
      <c r="TGC117" s="575"/>
      <c r="TGD117" s="583"/>
      <c r="TGE117" s="590"/>
      <c r="TGF117" s="589"/>
      <c r="TGG117" s="585"/>
      <c r="TGH117" s="577"/>
      <c r="TGI117" s="304"/>
      <c r="TGJ117" s="572"/>
      <c r="TGK117" s="573"/>
      <c r="TGL117" s="574"/>
      <c r="TGM117" s="575"/>
      <c r="TGN117" s="583"/>
      <c r="TGO117" s="590"/>
      <c r="TGP117" s="589"/>
      <c r="TGQ117" s="585"/>
      <c r="TGR117" s="577"/>
      <c r="TGS117" s="304"/>
      <c r="TGT117" s="572"/>
      <c r="TGU117" s="573"/>
      <c r="TGV117" s="574"/>
      <c r="TGW117" s="575"/>
      <c r="TGX117" s="583"/>
      <c r="TGY117" s="590"/>
      <c r="TGZ117" s="589"/>
      <c r="THA117" s="585"/>
      <c r="THB117" s="577"/>
      <c r="THC117" s="304"/>
      <c r="THD117" s="572"/>
      <c r="THE117" s="573"/>
      <c r="THF117" s="574"/>
      <c r="THG117" s="575"/>
      <c r="THH117" s="583"/>
      <c r="THI117" s="590"/>
      <c r="THJ117" s="589"/>
      <c r="THK117" s="585"/>
      <c r="THL117" s="577"/>
      <c r="THM117" s="304"/>
      <c r="THN117" s="572"/>
      <c r="THO117" s="573"/>
      <c r="THP117" s="574"/>
      <c r="THQ117" s="575"/>
      <c r="THR117" s="583"/>
      <c r="THS117" s="590"/>
      <c r="THT117" s="589"/>
      <c r="THU117" s="585"/>
      <c r="THV117" s="577"/>
      <c r="THW117" s="304"/>
      <c r="THX117" s="572"/>
      <c r="THY117" s="573"/>
      <c r="THZ117" s="574"/>
      <c r="TIA117" s="575"/>
      <c r="TIB117" s="583"/>
      <c r="TIC117" s="590"/>
      <c r="TID117" s="589"/>
      <c r="TIE117" s="585"/>
      <c r="TIF117" s="577"/>
      <c r="TIG117" s="304"/>
      <c r="TIH117" s="572"/>
      <c r="TII117" s="573"/>
      <c r="TIJ117" s="574"/>
      <c r="TIK117" s="575"/>
      <c r="TIL117" s="583"/>
      <c r="TIM117" s="590"/>
      <c r="TIN117" s="589"/>
      <c r="TIO117" s="585"/>
      <c r="TIP117" s="577"/>
      <c r="TIQ117" s="304"/>
      <c r="TIR117" s="572"/>
      <c r="TIS117" s="573"/>
      <c r="TIT117" s="574"/>
      <c r="TIU117" s="575"/>
      <c r="TIV117" s="583"/>
      <c r="TIW117" s="590"/>
      <c r="TIX117" s="589"/>
      <c r="TIY117" s="585"/>
      <c r="TIZ117" s="577"/>
      <c r="TJA117" s="304"/>
      <c r="TJB117" s="572"/>
      <c r="TJC117" s="573"/>
      <c r="TJD117" s="574"/>
      <c r="TJE117" s="575"/>
      <c r="TJF117" s="583"/>
      <c r="TJG117" s="590"/>
      <c r="TJH117" s="589"/>
      <c r="TJI117" s="585"/>
      <c r="TJJ117" s="577"/>
      <c r="TJK117" s="304"/>
      <c r="TJL117" s="572"/>
      <c r="TJM117" s="573"/>
      <c r="TJN117" s="574"/>
      <c r="TJO117" s="575"/>
      <c r="TJP117" s="583"/>
      <c r="TJQ117" s="590"/>
      <c r="TJR117" s="589"/>
      <c r="TJS117" s="585"/>
      <c r="TJT117" s="577"/>
      <c r="TJU117" s="304"/>
      <c r="TJV117" s="572"/>
      <c r="TJW117" s="573"/>
      <c r="TJX117" s="574"/>
      <c r="TJY117" s="575"/>
      <c r="TJZ117" s="583"/>
      <c r="TKA117" s="590"/>
      <c r="TKB117" s="589"/>
      <c r="TKC117" s="585"/>
      <c r="TKD117" s="577"/>
      <c r="TKE117" s="304"/>
      <c r="TKF117" s="572"/>
      <c r="TKG117" s="573"/>
      <c r="TKH117" s="574"/>
      <c r="TKI117" s="575"/>
      <c r="TKJ117" s="583"/>
      <c r="TKK117" s="590"/>
      <c r="TKL117" s="589"/>
      <c r="TKM117" s="585"/>
      <c r="TKN117" s="577"/>
      <c r="TKO117" s="304"/>
      <c r="TKP117" s="572"/>
      <c r="TKQ117" s="573"/>
      <c r="TKR117" s="574"/>
      <c r="TKS117" s="575"/>
      <c r="TKT117" s="583"/>
      <c r="TKU117" s="590"/>
      <c r="TKV117" s="589"/>
      <c r="TKW117" s="585"/>
      <c r="TKX117" s="577"/>
      <c r="TKY117" s="304"/>
      <c r="TKZ117" s="572"/>
      <c r="TLA117" s="573"/>
      <c r="TLB117" s="574"/>
      <c r="TLC117" s="575"/>
      <c r="TLD117" s="583"/>
      <c r="TLE117" s="590"/>
      <c r="TLF117" s="589"/>
      <c r="TLG117" s="585"/>
      <c r="TLH117" s="577"/>
      <c r="TLI117" s="304"/>
      <c r="TLJ117" s="572"/>
      <c r="TLK117" s="573"/>
      <c r="TLL117" s="574"/>
      <c r="TLM117" s="575"/>
      <c r="TLN117" s="583"/>
      <c r="TLO117" s="590"/>
      <c r="TLP117" s="589"/>
      <c r="TLQ117" s="585"/>
      <c r="TLR117" s="577"/>
      <c r="TLS117" s="304"/>
      <c r="TLT117" s="572"/>
      <c r="TLU117" s="573"/>
      <c r="TLV117" s="574"/>
      <c r="TLW117" s="575"/>
      <c r="TLX117" s="583"/>
      <c r="TLY117" s="590"/>
      <c r="TLZ117" s="589"/>
      <c r="TMA117" s="585"/>
      <c r="TMB117" s="577"/>
      <c r="TMC117" s="304"/>
      <c r="TMD117" s="572"/>
      <c r="TME117" s="573"/>
      <c r="TMF117" s="574"/>
      <c r="TMG117" s="575"/>
      <c r="TMH117" s="583"/>
      <c r="TMI117" s="590"/>
      <c r="TMJ117" s="589"/>
      <c r="TMK117" s="585"/>
      <c r="TML117" s="577"/>
      <c r="TMM117" s="304"/>
      <c r="TMN117" s="572"/>
      <c r="TMO117" s="573"/>
      <c r="TMP117" s="574"/>
      <c r="TMQ117" s="575"/>
      <c r="TMR117" s="583"/>
      <c r="TMS117" s="590"/>
      <c r="TMT117" s="589"/>
      <c r="TMU117" s="585"/>
      <c r="TMV117" s="577"/>
      <c r="TMW117" s="304"/>
      <c r="TMX117" s="572"/>
      <c r="TMY117" s="573"/>
      <c r="TMZ117" s="574"/>
      <c r="TNA117" s="575"/>
      <c r="TNB117" s="583"/>
      <c r="TNC117" s="590"/>
      <c r="TND117" s="589"/>
      <c r="TNE117" s="585"/>
      <c r="TNF117" s="577"/>
      <c r="TNG117" s="304"/>
      <c r="TNH117" s="572"/>
      <c r="TNI117" s="573"/>
      <c r="TNJ117" s="574"/>
      <c r="TNK117" s="575"/>
      <c r="TNL117" s="583"/>
      <c r="TNM117" s="590"/>
      <c r="TNN117" s="589"/>
      <c r="TNO117" s="585"/>
      <c r="TNP117" s="577"/>
      <c r="TNQ117" s="304"/>
      <c r="TNR117" s="572"/>
      <c r="TNS117" s="573"/>
      <c r="TNT117" s="574"/>
      <c r="TNU117" s="575"/>
      <c r="TNV117" s="583"/>
      <c r="TNW117" s="590"/>
      <c r="TNX117" s="589"/>
      <c r="TNY117" s="585"/>
      <c r="TNZ117" s="577"/>
      <c r="TOA117" s="304"/>
      <c r="TOB117" s="572"/>
      <c r="TOC117" s="573"/>
      <c r="TOD117" s="574"/>
      <c r="TOE117" s="575"/>
      <c r="TOF117" s="583"/>
      <c r="TOG117" s="590"/>
      <c r="TOH117" s="589"/>
      <c r="TOI117" s="585"/>
      <c r="TOJ117" s="577"/>
      <c r="TOK117" s="304"/>
      <c r="TOL117" s="572"/>
      <c r="TOM117" s="573"/>
      <c r="TON117" s="574"/>
      <c r="TOO117" s="575"/>
      <c r="TOP117" s="583"/>
      <c r="TOQ117" s="590"/>
      <c r="TOR117" s="589"/>
      <c r="TOS117" s="585"/>
      <c r="TOT117" s="577"/>
      <c r="TOU117" s="304"/>
      <c r="TOV117" s="572"/>
      <c r="TOW117" s="573"/>
      <c r="TOX117" s="574"/>
      <c r="TOY117" s="575"/>
      <c r="TOZ117" s="583"/>
      <c r="TPA117" s="590"/>
      <c r="TPB117" s="589"/>
      <c r="TPC117" s="585"/>
      <c r="TPD117" s="577"/>
      <c r="TPE117" s="304"/>
      <c r="TPF117" s="572"/>
      <c r="TPG117" s="573"/>
      <c r="TPH117" s="574"/>
      <c r="TPI117" s="575"/>
      <c r="TPJ117" s="583"/>
      <c r="TPK117" s="590"/>
      <c r="TPL117" s="589"/>
      <c r="TPM117" s="585"/>
      <c r="TPN117" s="577"/>
      <c r="TPO117" s="304"/>
      <c r="TPP117" s="572"/>
      <c r="TPQ117" s="573"/>
      <c r="TPR117" s="574"/>
      <c r="TPS117" s="575"/>
      <c r="TPT117" s="583"/>
      <c r="TPU117" s="590"/>
      <c r="TPV117" s="589"/>
      <c r="TPW117" s="585"/>
      <c r="TPX117" s="577"/>
      <c r="TPY117" s="304"/>
      <c r="TPZ117" s="572"/>
      <c r="TQA117" s="573"/>
      <c r="TQB117" s="574"/>
      <c r="TQC117" s="575"/>
      <c r="TQD117" s="583"/>
      <c r="TQE117" s="590"/>
      <c r="TQF117" s="589"/>
      <c r="TQG117" s="585"/>
      <c r="TQH117" s="577"/>
      <c r="TQI117" s="304"/>
      <c r="TQJ117" s="572"/>
      <c r="TQK117" s="573"/>
      <c r="TQL117" s="574"/>
      <c r="TQM117" s="575"/>
      <c r="TQN117" s="583"/>
      <c r="TQO117" s="590"/>
      <c r="TQP117" s="589"/>
      <c r="TQQ117" s="585"/>
      <c r="TQR117" s="577"/>
      <c r="TQS117" s="304"/>
      <c r="TQT117" s="572"/>
      <c r="TQU117" s="573"/>
      <c r="TQV117" s="574"/>
      <c r="TQW117" s="575"/>
      <c r="TQX117" s="583"/>
      <c r="TQY117" s="590"/>
      <c r="TQZ117" s="589"/>
      <c r="TRA117" s="585"/>
      <c r="TRB117" s="577"/>
      <c r="TRC117" s="304"/>
      <c r="TRD117" s="572"/>
      <c r="TRE117" s="573"/>
      <c r="TRF117" s="574"/>
      <c r="TRG117" s="575"/>
      <c r="TRH117" s="583"/>
      <c r="TRI117" s="590"/>
      <c r="TRJ117" s="589"/>
      <c r="TRK117" s="585"/>
      <c r="TRL117" s="577"/>
      <c r="TRM117" s="304"/>
      <c r="TRN117" s="572"/>
      <c r="TRO117" s="573"/>
      <c r="TRP117" s="574"/>
      <c r="TRQ117" s="575"/>
      <c r="TRR117" s="583"/>
      <c r="TRS117" s="590"/>
      <c r="TRT117" s="589"/>
      <c r="TRU117" s="585"/>
      <c r="TRV117" s="577"/>
      <c r="TRW117" s="304"/>
      <c r="TRX117" s="572"/>
      <c r="TRY117" s="573"/>
      <c r="TRZ117" s="574"/>
      <c r="TSA117" s="575"/>
      <c r="TSB117" s="583"/>
      <c r="TSC117" s="590"/>
      <c r="TSD117" s="589"/>
      <c r="TSE117" s="585"/>
      <c r="TSF117" s="577"/>
      <c r="TSG117" s="304"/>
      <c r="TSH117" s="572"/>
      <c r="TSI117" s="573"/>
      <c r="TSJ117" s="574"/>
      <c r="TSK117" s="575"/>
      <c r="TSL117" s="583"/>
      <c r="TSM117" s="590"/>
      <c r="TSN117" s="589"/>
      <c r="TSO117" s="585"/>
      <c r="TSP117" s="577"/>
      <c r="TSQ117" s="304"/>
      <c r="TSR117" s="572"/>
      <c r="TSS117" s="573"/>
      <c r="TST117" s="574"/>
      <c r="TSU117" s="575"/>
      <c r="TSV117" s="583"/>
      <c r="TSW117" s="590"/>
      <c r="TSX117" s="589"/>
      <c r="TSY117" s="585"/>
      <c r="TSZ117" s="577"/>
      <c r="TTA117" s="304"/>
      <c r="TTB117" s="572"/>
      <c r="TTC117" s="573"/>
      <c r="TTD117" s="574"/>
      <c r="TTE117" s="575"/>
      <c r="TTF117" s="583"/>
      <c r="TTG117" s="590"/>
      <c r="TTH117" s="589"/>
      <c r="TTI117" s="585"/>
      <c r="TTJ117" s="577"/>
      <c r="TTK117" s="304"/>
      <c r="TTL117" s="572"/>
      <c r="TTM117" s="573"/>
      <c r="TTN117" s="574"/>
      <c r="TTO117" s="575"/>
      <c r="TTP117" s="583"/>
      <c r="TTQ117" s="590"/>
      <c r="TTR117" s="589"/>
      <c r="TTS117" s="585"/>
      <c r="TTT117" s="577"/>
      <c r="TTU117" s="304"/>
      <c r="TTV117" s="572"/>
      <c r="TTW117" s="573"/>
      <c r="TTX117" s="574"/>
      <c r="TTY117" s="575"/>
      <c r="TTZ117" s="583"/>
      <c r="TUA117" s="590"/>
      <c r="TUB117" s="589"/>
      <c r="TUC117" s="585"/>
      <c r="TUD117" s="577"/>
      <c r="TUE117" s="304"/>
      <c r="TUF117" s="572"/>
      <c r="TUG117" s="573"/>
      <c r="TUH117" s="574"/>
      <c r="TUI117" s="575"/>
      <c r="TUJ117" s="583"/>
      <c r="TUK117" s="590"/>
      <c r="TUL117" s="589"/>
      <c r="TUM117" s="585"/>
      <c r="TUN117" s="577"/>
      <c r="TUO117" s="304"/>
      <c r="TUP117" s="572"/>
      <c r="TUQ117" s="573"/>
      <c r="TUR117" s="574"/>
      <c r="TUS117" s="575"/>
      <c r="TUT117" s="583"/>
      <c r="TUU117" s="590"/>
      <c r="TUV117" s="589"/>
      <c r="TUW117" s="585"/>
      <c r="TUX117" s="577"/>
      <c r="TUY117" s="304"/>
      <c r="TUZ117" s="572"/>
      <c r="TVA117" s="573"/>
      <c r="TVB117" s="574"/>
      <c r="TVC117" s="575"/>
      <c r="TVD117" s="583"/>
      <c r="TVE117" s="590"/>
      <c r="TVF117" s="589"/>
      <c r="TVG117" s="585"/>
      <c r="TVH117" s="577"/>
      <c r="TVI117" s="304"/>
      <c r="TVJ117" s="572"/>
      <c r="TVK117" s="573"/>
      <c r="TVL117" s="574"/>
      <c r="TVM117" s="575"/>
      <c r="TVN117" s="583"/>
      <c r="TVO117" s="590"/>
      <c r="TVP117" s="589"/>
      <c r="TVQ117" s="585"/>
      <c r="TVR117" s="577"/>
      <c r="TVS117" s="304"/>
      <c r="TVT117" s="572"/>
      <c r="TVU117" s="573"/>
      <c r="TVV117" s="574"/>
      <c r="TVW117" s="575"/>
      <c r="TVX117" s="583"/>
      <c r="TVY117" s="590"/>
      <c r="TVZ117" s="589"/>
      <c r="TWA117" s="585"/>
      <c r="TWB117" s="577"/>
      <c r="TWC117" s="304"/>
      <c r="TWD117" s="572"/>
      <c r="TWE117" s="573"/>
      <c r="TWF117" s="574"/>
      <c r="TWG117" s="575"/>
      <c r="TWH117" s="583"/>
      <c r="TWI117" s="590"/>
      <c r="TWJ117" s="589"/>
      <c r="TWK117" s="585"/>
      <c r="TWL117" s="577"/>
      <c r="TWM117" s="304"/>
      <c r="TWN117" s="572"/>
      <c r="TWO117" s="573"/>
      <c r="TWP117" s="574"/>
      <c r="TWQ117" s="575"/>
      <c r="TWR117" s="583"/>
      <c r="TWS117" s="590"/>
      <c r="TWT117" s="589"/>
      <c r="TWU117" s="585"/>
      <c r="TWV117" s="577"/>
      <c r="TWW117" s="304"/>
      <c r="TWX117" s="572"/>
      <c r="TWY117" s="573"/>
      <c r="TWZ117" s="574"/>
      <c r="TXA117" s="575"/>
      <c r="TXB117" s="583"/>
      <c r="TXC117" s="590"/>
      <c r="TXD117" s="589"/>
      <c r="TXE117" s="585"/>
      <c r="TXF117" s="577"/>
      <c r="TXG117" s="304"/>
      <c r="TXH117" s="572"/>
      <c r="TXI117" s="573"/>
      <c r="TXJ117" s="574"/>
      <c r="TXK117" s="575"/>
      <c r="TXL117" s="583"/>
      <c r="TXM117" s="590"/>
      <c r="TXN117" s="589"/>
      <c r="TXO117" s="585"/>
      <c r="TXP117" s="577"/>
      <c r="TXQ117" s="304"/>
      <c r="TXR117" s="572"/>
      <c r="TXS117" s="573"/>
      <c r="TXT117" s="574"/>
      <c r="TXU117" s="575"/>
      <c r="TXV117" s="583"/>
      <c r="TXW117" s="590"/>
      <c r="TXX117" s="589"/>
      <c r="TXY117" s="585"/>
      <c r="TXZ117" s="577"/>
      <c r="TYA117" s="304"/>
      <c r="TYB117" s="572"/>
      <c r="TYC117" s="573"/>
      <c r="TYD117" s="574"/>
      <c r="TYE117" s="575"/>
      <c r="TYF117" s="583"/>
      <c r="TYG117" s="590"/>
      <c r="TYH117" s="589"/>
      <c r="TYI117" s="585"/>
      <c r="TYJ117" s="577"/>
      <c r="TYK117" s="304"/>
      <c r="TYL117" s="572"/>
      <c r="TYM117" s="573"/>
      <c r="TYN117" s="574"/>
      <c r="TYO117" s="575"/>
      <c r="TYP117" s="583"/>
      <c r="TYQ117" s="590"/>
      <c r="TYR117" s="589"/>
      <c r="TYS117" s="585"/>
      <c r="TYT117" s="577"/>
      <c r="TYU117" s="304"/>
      <c r="TYV117" s="572"/>
      <c r="TYW117" s="573"/>
      <c r="TYX117" s="574"/>
      <c r="TYY117" s="575"/>
      <c r="TYZ117" s="583"/>
      <c r="TZA117" s="590"/>
      <c r="TZB117" s="589"/>
      <c r="TZC117" s="585"/>
      <c r="TZD117" s="577"/>
      <c r="TZE117" s="304"/>
      <c r="TZF117" s="572"/>
      <c r="TZG117" s="573"/>
      <c r="TZH117" s="574"/>
      <c r="TZI117" s="575"/>
      <c r="TZJ117" s="583"/>
      <c r="TZK117" s="590"/>
      <c r="TZL117" s="589"/>
      <c r="TZM117" s="585"/>
      <c r="TZN117" s="577"/>
      <c r="TZO117" s="304"/>
      <c r="TZP117" s="572"/>
      <c r="TZQ117" s="573"/>
      <c r="TZR117" s="574"/>
      <c r="TZS117" s="575"/>
      <c r="TZT117" s="583"/>
      <c r="TZU117" s="590"/>
      <c r="TZV117" s="589"/>
      <c r="TZW117" s="585"/>
      <c r="TZX117" s="577"/>
      <c r="TZY117" s="304"/>
      <c r="TZZ117" s="572"/>
      <c r="UAA117" s="573"/>
      <c r="UAB117" s="574"/>
      <c r="UAC117" s="575"/>
      <c r="UAD117" s="583"/>
      <c r="UAE117" s="590"/>
      <c r="UAF117" s="589"/>
      <c r="UAG117" s="585"/>
      <c r="UAH117" s="577"/>
      <c r="UAI117" s="304"/>
      <c r="UAJ117" s="572"/>
      <c r="UAK117" s="573"/>
      <c r="UAL117" s="574"/>
      <c r="UAM117" s="575"/>
      <c r="UAN117" s="583"/>
      <c r="UAO117" s="590"/>
      <c r="UAP117" s="589"/>
      <c r="UAQ117" s="585"/>
      <c r="UAR117" s="577"/>
      <c r="UAS117" s="304"/>
      <c r="UAT117" s="572"/>
      <c r="UAU117" s="573"/>
      <c r="UAV117" s="574"/>
      <c r="UAW117" s="575"/>
      <c r="UAX117" s="583"/>
      <c r="UAY117" s="590"/>
      <c r="UAZ117" s="589"/>
      <c r="UBA117" s="585"/>
      <c r="UBB117" s="577"/>
      <c r="UBC117" s="304"/>
      <c r="UBD117" s="572"/>
      <c r="UBE117" s="573"/>
      <c r="UBF117" s="574"/>
      <c r="UBG117" s="575"/>
      <c r="UBH117" s="583"/>
      <c r="UBI117" s="590"/>
      <c r="UBJ117" s="589"/>
      <c r="UBK117" s="585"/>
      <c r="UBL117" s="577"/>
      <c r="UBM117" s="304"/>
      <c r="UBN117" s="572"/>
      <c r="UBO117" s="573"/>
      <c r="UBP117" s="574"/>
      <c r="UBQ117" s="575"/>
      <c r="UBR117" s="583"/>
      <c r="UBS117" s="590"/>
      <c r="UBT117" s="589"/>
      <c r="UBU117" s="585"/>
      <c r="UBV117" s="577"/>
      <c r="UBW117" s="304"/>
      <c r="UBX117" s="572"/>
      <c r="UBY117" s="573"/>
      <c r="UBZ117" s="574"/>
      <c r="UCA117" s="575"/>
      <c r="UCB117" s="583"/>
      <c r="UCC117" s="590"/>
      <c r="UCD117" s="589"/>
      <c r="UCE117" s="585"/>
      <c r="UCF117" s="577"/>
      <c r="UCG117" s="304"/>
      <c r="UCH117" s="572"/>
      <c r="UCI117" s="573"/>
      <c r="UCJ117" s="574"/>
      <c r="UCK117" s="575"/>
      <c r="UCL117" s="583"/>
      <c r="UCM117" s="590"/>
      <c r="UCN117" s="589"/>
      <c r="UCO117" s="585"/>
      <c r="UCP117" s="577"/>
      <c r="UCQ117" s="304"/>
      <c r="UCR117" s="572"/>
      <c r="UCS117" s="573"/>
      <c r="UCT117" s="574"/>
      <c r="UCU117" s="575"/>
      <c r="UCV117" s="583"/>
      <c r="UCW117" s="590"/>
      <c r="UCX117" s="589"/>
      <c r="UCY117" s="585"/>
      <c r="UCZ117" s="577"/>
      <c r="UDA117" s="304"/>
      <c r="UDB117" s="572"/>
      <c r="UDC117" s="573"/>
      <c r="UDD117" s="574"/>
      <c r="UDE117" s="575"/>
      <c r="UDF117" s="583"/>
      <c r="UDG117" s="590"/>
      <c r="UDH117" s="589"/>
      <c r="UDI117" s="585"/>
      <c r="UDJ117" s="577"/>
      <c r="UDK117" s="304"/>
      <c r="UDL117" s="572"/>
      <c r="UDM117" s="573"/>
      <c r="UDN117" s="574"/>
      <c r="UDO117" s="575"/>
      <c r="UDP117" s="583"/>
      <c r="UDQ117" s="590"/>
      <c r="UDR117" s="589"/>
      <c r="UDS117" s="585"/>
      <c r="UDT117" s="577"/>
      <c r="UDU117" s="304"/>
      <c r="UDV117" s="572"/>
      <c r="UDW117" s="573"/>
      <c r="UDX117" s="574"/>
      <c r="UDY117" s="575"/>
      <c r="UDZ117" s="583"/>
      <c r="UEA117" s="590"/>
      <c r="UEB117" s="589"/>
      <c r="UEC117" s="585"/>
      <c r="UED117" s="577"/>
      <c r="UEE117" s="304"/>
      <c r="UEF117" s="572"/>
      <c r="UEG117" s="573"/>
      <c r="UEH117" s="574"/>
      <c r="UEI117" s="575"/>
      <c r="UEJ117" s="583"/>
      <c r="UEK117" s="590"/>
      <c r="UEL117" s="589"/>
      <c r="UEM117" s="585"/>
      <c r="UEN117" s="577"/>
      <c r="UEO117" s="304"/>
      <c r="UEP117" s="572"/>
      <c r="UEQ117" s="573"/>
      <c r="UER117" s="574"/>
      <c r="UES117" s="575"/>
      <c r="UET117" s="583"/>
      <c r="UEU117" s="590"/>
      <c r="UEV117" s="589"/>
      <c r="UEW117" s="585"/>
      <c r="UEX117" s="577"/>
      <c r="UEY117" s="304"/>
      <c r="UEZ117" s="572"/>
      <c r="UFA117" s="573"/>
      <c r="UFB117" s="574"/>
      <c r="UFC117" s="575"/>
      <c r="UFD117" s="583"/>
      <c r="UFE117" s="590"/>
      <c r="UFF117" s="589"/>
      <c r="UFG117" s="585"/>
      <c r="UFH117" s="577"/>
      <c r="UFI117" s="304"/>
      <c r="UFJ117" s="572"/>
      <c r="UFK117" s="573"/>
      <c r="UFL117" s="574"/>
      <c r="UFM117" s="575"/>
      <c r="UFN117" s="583"/>
      <c r="UFO117" s="590"/>
      <c r="UFP117" s="589"/>
      <c r="UFQ117" s="585"/>
      <c r="UFR117" s="577"/>
      <c r="UFS117" s="304"/>
      <c r="UFT117" s="572"/>
      <c r="UFU117" s="573"/>
      <c r="UFV117" s="574"/>
      <c r="UFW117" s="575"/>
      <c r="UFX117" s="583"/>
      <c r="UFY117" s="590"/>
      <c r="UFZ117" s="589"/>
      <c r="UGA117" s="585"/>
      <c r="UGB117" s="577"/>
      <c r="UGC117" s="304"/>
      <c r="UGD117" s="572"/>
      <c r="UGE117" s="573"/>
      <c r="UGF117" s="574"/>
      <c r="UGG117" s="575"/>
      <c r="UGH117" s="583"/>
      <c r="UGI117" s="590"/>
      <c r="UGJ117" s="589"/>
      <c r="UGK117" s="585"/>
      <c r="UGL117" s="577"/>
      <c r="UGM117" s="304"/>
      <c r="UGN117" s="572"/>
      <c r="UGO117" s="573"/>
      <c r="UGP117" s="574"/>
      <c r="UGQ117" s="575"/>
      <c r="UGR117" s="583"/>
      <c r="UGS117" s="590"/>
      <c r="UGT117" s="589"/>
      <c r="UGU117" s="585"/>
      <c r="UGV117" s="577"/>
      <c r="UGW117" s="304"/>
      <c r="UGX117" s="572"/>
      <c r="UGY117" s="573"/>
      <c r="UGZ117" s="574"/>
      <c r="UHA117" s="575"/>
      <c r="UHB117" s="583"/>
      <c r="UHC117" s="590"/>
      <c r="UHD117" s="589"/>
      <c r="UHE117" s="585"/>
      <c r="UHF117" s="577"/>
      <c r="UHG117" s="304"/>
      <c r="UHH117" s="572"/>
      <c r="UHI117" s="573"/>
      <c r="UHJ117" s="574"/>
      <c r="UHK117" s="575"/>
      <c r="UHL117" s="583"/>
      <c r="UHM117" s="590"/>
      <c r="UHN117" s="589"/>
      <c r="UHO117" s="585"/>
      <c r="UHP117" s="577"/>
      <c r="UHQ117" s="304"/>
      <c r="UHR117" s="572"/>
      <c r="UHS117" s="573"/>
      <c r="UHT117" s="574"/>
      <c r="UHU117" s="575"/>
      <c r="UHV117" s="583"/>
      <c r="UHW117" s="590"/>
      <c r="UHX117" s="589"/>
      <c r="UHY117" s="585"/>
      <c r="UHZ117" s="577"/>
      <c r="UIA117" s="304"/>
      <c r="UIB117" s="572"/>
      <c r="UIC117" s="573"/>
      <c r="UID117" s="574"/>
      <c r="UIE117" s="575"/>
      <c r="UIF117" s="583"/>
      <c r="UIG117" s="590"/>
      <c r="UIH117" s="589"/>
      <c r="UII117" s="585"/>
      <c r="UIJ117" s="577"/>
      <c r="UIK117" s="304"/>
      <c r="UIL117" s="572"/>
      <c r="UIM117" s="573"/>
      <c r="UIN117" s="574"/>
      <c r="UIO117" s="575"/>
      <c r="UIP117" s="583"/>
      <c r="UIQ117" s="590"/>
      <c r="UIR117" s="589"/>
      <c r="UIS117" s="585"/>
      <c r="UIT117" s="577"/>
      <c r="UIU117" s="304"/>
      <c r="UIV117" s="572"/>
      <c r="UIW117" s="573"/>
      <c r="UIX117" s="574"/>
      <c r="UIY117" s="575"/>
      <c r="UIZ117" s="583"/>
      <c r="UJA117" s="590"/>
      <c r="UJB117" s="589"/>
      <c r="UJC117" s="585"/>
      <c r="UJD117" s="577"/>
      <c r="UJE117" s="304"/>
      <c r="UJF117" s="572"/>
      <c r="UJG117" s="573"/>
      <c r="UJH117" s="574"/>
      <c r="UJI117" s="575"/>
      <c r="UJJ117" s="583"/>
      <c r="UJK117" s="590"/>
      <c r="UJL117" s="589"/>
      <c r="UJM117" s="585"/>
      <c r="UJN117" s="577"/>
      <c r="UJO117" s="304"/>
      <c r="UJP117" s="572"/>
      <c r="UJQ117" s="573"/>
      <c r="UJR117" s="574"/>
      <c r="UJS117" s="575"/>
      <c r="UJT117" s="583"/>
      <c r="UJU117" s="590"/>
      <c r="UJV117" s="589"/>
      <c r="UJW117" s="585"/>
      <c r="UJX117" s="577"/>
      <c r="UJY117" s="304"/>
      <c r="UJZ117" s="572"/>
      <c r="UKA117" s="573"/>
      <c r="UKB117" s="574"/>
      <c r="UKC117" s="575"/>
      <c r="UKD117" s="583"/>
      <c r="UKE117" s="590"/>
      <c r="UKF117" s="589"/>
      <c r="UKG117" s="585"/>
      <c r="UKH117" s="577"/>
      <c r="UKI117" s="304"/>
      <c r="UKJ117" s="572"/>
      <c r="UKK117" s="573"/>
      <c r="UKL117" s="574"/>
      <c r="UKM117" s="575"/>
      <c r="UKN117" s="583"/>
      <c r="UKO117" s="590"/>
      <c r="UKP117" s="589"/>
      <c r="UKQ117" s="585"/>
      <c r="UKR117" s="577"/>
      <c r="UKS117" s="304"/>
      <c r="UKT117" s="572"/>
      <c r="UKU117" s="573"/>
      <c r="UKV117" s="574"/>
      <c r="UKW117" s="575"/>
      <c r="UKX117" s="583"/>
      <c r="UKY117" s="590"/>
      <c r="UKZ117" s="589"/>
      <c r="ULA117" s="585"/>
      <c r="ULB117" s="577"/>
      <c r="ULC117" s="304"/>
      <c r="ULD117" s="572"/>
      <c r="ULE117" s="573"/>
      <c r="ULF117" s="574"/>
      <c r="ULG117" s="575"/>
      <c r="ULH117" s="583"/>
      <c r="ULI117" s="590"/>
      <c r="ULJ117" s="589"/>
      <c r="ULK117" s="585"/>
      <c r="ULL117" s="577"/>
      <c r="ULM117" s="304"/>
      <c r="ULN117" s="572"/>
      <c r="ULO117" s="573"/>
      <c r="ULP117" s="574"/>
      <c r="ULQ117" s="575"/>
      <c r="ULR117" s="583"/>
      <c r="ULS117" s="590"/>
      <c r="ULT117" s="589"/>
      <c r="ULU117" s="585"/>
      <c r="ULV117" s="577"/>
      <c r="ULW117" s="304"/>
      <c r="ULX117" s="572"/>
      <c r="ULY117" s="573"/>
      <c r="ULZ117" s="574"/>
      <c r="UMA117" s="575"/>
      <c r="UMB117" s="583"/>
      <c r="UMC117" s="590"/>
      <c r="UMD117" s="589"/>
      <c r="UME117" s="585"/>
      <c r="UMF117" s="577"/>
      <c r="UMG117" s="304"/>
      <c r="UMH117" s="572"/>
      <c r="UMI117" s="573"/>
      <c r="UMJ117" s="574"/>
      <c r="UMK117" s="575"/>
      <c r="UML117" s="583"/>
      <c r="UMM117" s="590"/>
      <c r="UMN117" s="589"/>
      <c r="UMO117" s="585"/>
      <c r="UMP117" s="577"/>
      <c r="UMQ117" s="304"/>
      <c r="UMR117" s="572"/>
      <c r="UMS117" s="573"/>
      <c r="UMT117" s="574"/>
      <c r="UMU117" s="575"/>
      <c r="UMV117" s="583"/>
      <c r="UMW117" s="590"/>
      <c r="UMX117" s="589"/>
      <c r="UMY117" s="585"/>
      <c r="UMZ117" s="577"/>
      <c r="UNA117" s="304"/>
      <c r="UNB117" s="572"/>
      <c r="UNC117" s="573"/>
      <c r="UND117" s="574"/>
      <c r="UNE117" s="575"/>
      <c r="UNF117" s="583"/>
      <c r="UNG117" s="590"/>
      <c r="UNH117" s="589"/>
      <c r="UNI117" s="585"/>
      <c r="UNJ117" s="577"/>
      <c r="UNK117" s="304"/>
      <c r="UNL117" s="572"/>
      <c r="UNM117" s="573"/>
      <c r="UNN117" s="574"/>
      <c r="UNO117" s="575"/>
      <c r="UNP117" s="583"/>
      <c r="UNQ117" s="590"/>
      <c r="UNR117" s="589"/>
      <c r="UNS117" s="585"/>
      <c r="UNT117" s="577"/>
      <c r="UNU117" s="304"/>
      <c r="UNV117" s="572"/>
      <c r="UNW117" s="573"/>
      <c r="UNX117" s="574"/>
      <c r="UNY117" s="575"/>
      <c r="UNZ117" s="583"/>
      <c r="UOA117" s="590"/>
      <c r="UOB117" s="589"/>
      <c r="UOC117" s="585"/>
      <c r="UOD117" s="577"/>
      <c r="UOE117" s="304"/>
      <c r="UOF117" s="572"/>
      <c r="UOG117" s="573"/>
      <c r="UOH117" s="574"/>
      <c r="UOI117" s="575"/>
      <c r="UOJ117" s="583"/>
      <c r="UOK117" s="590"/>
      <c r="UOL117" s="589"/>
      <c r="UOM117" s="585"/>
      <c r="UON117" s="577"/>
      <c r="UOO117" s="304"/>
      <c r="UOP117" s="572"/>
      <c r="UOQ117" s="573"/>
      <c r="UOR117" s="574"/>
      <c r="UOS117" s="575"/>
      <c r="UOT117" s="583"/>
      <c r="UOU117" s="590"/>
      <c r="UOV117" s="589"/>
      <c r="UOW117" s="585"/>
      <c r="UOX117" s="577"/>
      <c r="UOY117" s="304"/>
      <c r="UOZ117" s="572"/>
      <c r="UPA117" s="573"/>
      <c r="UPB117" s="574"/>
      <c r="UPC117" s="575"/>
      <c r="UPD117" s="583"/>
      <c r="UPE117" s="590"/>
      <c r="UPF117" s="589"/>
      <c r="UPG117" s="585"/>
      <c r="UPH117" s="577"/>
      <c r="UPI117" s="304"/>
      <c r="UPJ117" s="572"/>
      <c r="UPK117" s="573"/>
      <c r="UPL117" s="574"/>
      <c r="UPM117" s="575"/>
      <c r="UPN117" s="583"/>
      <c r="UPO117" s="590"/>
      <c r="UPP117" s="589"/>
      <c r="UPQ117" s="585"/>
      <c r="UPR117" s="577"/>
      <c r="UPS117" s="304"/>
      <c r="UPT117" s="572"/>
      <c r="UPU117" s="573"/>
      <c r="UPV117" s="574"/>
      <c r="UPW117" s="575"/>
      <c r="UPX117" s="583"/>
      <c r="UPY117" s="590"/>
      <c r="UPZ117" s="589"/>
      <c r="UQA117" s="585"/>
      <c r="UQB117" s="577"/>
      <c r="UQC117" s="304"/>
      <c r="UQD117" s="572"/>
      <c r="UQE117" s="573"/>
      <c r="UQF117" s="574"/>
      <c r="UQG117" s="575"/>
      <c r="UQH117" s="583"/>
      <c r="UQI117" s="590"/>
      <c r="UQJ117" s="589"/>
      <c r="UQK117" s="585"/>
      <c r="UQL117" s="577"/>
      <c r="UQM117" s="304"/>
      <c r="UQN117" s="572"/>
      <c r="UQO117" s="573"/>
      <c r="UQP117" s="574"/>
      <c r="UQQ117" s="575"/>
      <c r="UQR117" s="583"/>
      <c r="UQS117" s="590"/>
      <c r="UQT117" s="589"/>
      <c r="UQU117" s="585"/>
      <c r="UQV117" s="577"/>
      <c r="UQW117" s="304"/>
      <c r="UQX117" s="572"/>
      <c r="UQY117" s="573"/>
      <c r="UQZ117" s="574"/>
      <c r="URA117" s="575"/>
      <c r="URB117" s="583"/>
      <c r="URC117" s="590"/>
      <c r="URD117" s="589"/>
      <c r="URE117" s="585"/>
      <c r="URF117" s="577"/>
      <c r="URG117" s="304"/>
      <c r="URH117" s="572"/>
      <c r="URI117" s="573"/>
      <c r="URJ117" s="574"/>
      <c r="URK117" s="575"/>
      <c r="URL117" s="583"/>
      <c r="URM117" s="590"/>
      <c r="URN117" s="589"/>
      <c r="URO117" s="585"/>
      <c r="URP117" s="577"/>
      <c r="URQ117" s="304"/>
      <c r="URR117" s="572"/>
      <c r="URS117" s="573"/>
      <c r="URT117" s="574"/>
      <c r="URU117" s="575"/>
      <c r="URV117" s="583"/>
      <c r="URW117" s="590"/>
      <c r="URX117" s="589"/>
      <c r="URY117" s="585"/>
      <c r="URZ117" s="577"/>
      <c r="USA117" s="304"/>
      <c r="USB117" s="572"/>
      <c r="USC117" s="573"/>
      <c r="USD117" s="574"/>
      <c r="USE117" s="575"/>
      <c r="USF117" s="583"/>
      <c r="USG117" s="590"/>
      <c r="USH117" s="589"/>
      <c r="USI117" s="585"/>
      <c r="USJ117" s="577"/>
      <c r="USK117" s="304"/>
      <c r="USL117" s="572"/>
      <c r="USM117" s="573"/>
      <c r="USN117" s="574"/>
      <c r="USO117" s="575"/>
      <c r="USP117" s="583"/>
      <c r="USQ117" s="590"/>
      <c r="USR117" s="589"/>
      <c r="USS117" s="585"/>
      <c r="UST117" s="577"/>
      <c r="USU117" s="304"/>
      <c r="USV117" s="572"/>
      <c r="USW117" s="573"/>
      <c r="USX117" s="574"/>
      <c r="USY117" s="575"/>
      <c r="USZ117" s="583"/>
      <c r="UTA117" s="590"/>
      <c r="UTB117" s="589"/>
      <c r="UTC117" s="585"/>
      <c r="UTD117" s="577"/>
      <c r="UTE117" s="304"/>
      <c r="UTF117" s="572"/>
      <c r="UTG117" s="573"/>
      <c r="UTH117" s="574"/>
      <c r="UTI117" s="575"/>
      <c r="UTJ117" s="583"/>
      <c r="UTK117" s="590"/>
      <c r="UTL117" s="589"/>
      <c r="UTM117" s="585"/>
      <c r="UTN117" s="577"/>
      <c r="UTO117" s="304"/>
      <c r="UTP117" s="572"/>
      <c r="UTQ117" s="573"/>
      <c r="UTR117" s="574"/>
      <c r="UTS117" s="575"/>
      <c r="UTT117" s="583"/>
      <c r="UTU117" s="590"/>
      <c r="UTV117" s="589"/>
      <c r="UTW117" s="585"/>
      <c r="UTX117" s="577"/>
      <c r="UTY117" s="304"/>
      <c r="UTZ117" s="572"/>
      <c r="UUA117" s="573"/>
      <c r="UUB117" s="574"/>
      <c r="UUC117" s="575"/>
      <c r="UUD117" s="583"/>
      <c r="UUE117" s="590"/>
      <c r="UUF117" s="589"/>
      <c r="UUG117" s="585"/>
      <c r="UUH117" s="577"/>
      <c r="UUI117" s="304"/>
      <c r="UUJ117" s="572"/>
      <c r="UUK117" s="573"/>
      <c r="UUL117" s="574"/>
      <c r="UUM117" s="575"/>
      <c r="UUN117" s="583"/>
      <c r="UUO117" s="590"/>
      <c r="UUP117" s="589"/>
      <c r="UUQ117" s="585"/>
      <c r="UUR117" s="577"/>
      <c r="UUS117" s="304"/>
      <c r="UUT117" s="572"/>
      <c r="UUU117" s="573"/>
      <c r="UUV117" s="574"/>
      <c r="UUW117" s="575"/>
      <c r="UUX117" s="583"/>
      <c r="UUY117" s="590"/>
      <c r="UUZ117" s="589"/>
      <c r="UVA117" s="585"/>
      <c r="UVB117" s="577"/>
      <c r="UVC117" s="304"/>
      <c r="UVD117" s="572"/>
      <c r="UVE117" s="573"/>
      <c r="UVF117" s="574"/>
      <c r="UVG117" s="575"/>
      <c r="UVH117" s="583"/>
      <c r="UVI117" s="590"/>
      <c r="UVJ117" s="589"/>
      <c r="UVK117" s="585"/>
      <c r="UVL117" s="577"/>
      <c r="UVM117" s="304"/>
      <c r="UVN117" s="572"/>
      <c r="UVO117" s="573"/>
      <c r="UVP117" s="574"/>
      <c r="UVQ117" s="575"/>
      <c r="UVR117" s="583"/>
      <c r="UVS117" s="590"/>
      <c r="UVT117" s="589"/>
      <c r="UVU117" s="585"/>
      <c r="UVV117" s="577"/>
      <c r="UVW117" s="304"/>
      <c r="UVX117" s="572"/>
      <c r="UVY117" s="573"/>
      <c r="UVZ117" s="574"/>
      <c r="UWA117" s="575"/>
      <c r="UWB117" s="583"/>
      <c r="UWC117" s="590"/>
      <c r="UWD117" s="589"/>
      <c r="UWE117" s="585"/>
      <c r="UWF117" s="577"/>
      <c r="UWG117" s="304"/>
      <c r="UWH117" s="572"/>
      <c r="UWI117" s="573"/>
      <c r="UWJ117" s="574"/>
      <c r="UWK117" s="575"/>
      <c r="UWL117" s="583"/>
      <c r="UWM117" s="590"/>
      <c r="UWN117" s="589"/>
      <c r="UWO117" s="585"/>
      <c r="UWP117" s="577"/>
      <c r="UWQ117" s="304"/>
      <c r="UWR117" s="572"/>
      <c r="UWS117" s="573"/>
      <c r="UWT117" s="574"/>
      <c r="UWU117" s="575"/>
      <c r="UWV117" s="583"/>
      <c r="UWW117" s="590"/>
      <c r="UWX117" s="589"/>
      <c r="UWY117" s="585"/>
      <c r="UWZ117" s="577"/>
      <c r="UXA117" s="304"/>
      <c r="UXB117" s="572"/>
      <c r="UXC117" s="573"/>
      <c r="UXD117" s="574"/>
      <c r="UXE117" s="575"/>
      <c r="UXF117" s="583"/>
      <c r="UXG117" s="590"/>
      <c r="UXH117" s="589"/>
      <c r="UXI117" s="585"/>
      <c r="UXJ117" s="577"/>
      <c r="UXK117" s="304"/>
      <c r="UXL117" s="572"/>
      <c r="UXM117" s="573"/>
      <c r="UXN117" s="574"/>
      <c r="UXO117" s="575"/>
      <c r="UXP117" s="583"/>
      <c r="UXQ117" s="590"/>
      <c r="UXR117" s="589"/>
      <c r="UXS117" s="585"/>
      <c r="UXT117" s="577"/>
      <c r="UXU117" s="304"/>
      <c r="UXV117" s="572"/>
      <c r="UXW117" s="573"/>
      <c r="UXX117" s="574"/>
      <c r="UXY117" s="575"/>
      <c r="UXZ117" s="583"/>
      <c r="UYA117" s="590"/>
      <c r="UYB117" s="589"/>
      <c r="UYC117" s="585"/>
      <c r="UYD117" s="577"/>
      <c r="UYE117" s="304"/>
      <c r="UYF117" s="572"/>
      <c r="UYG117" s="573"/>
      <c r="UYH117" s="574"/>
      <c r="UYI117" s="575"/>
      <c r="UYJ117" s="583"/>
      <c r="UYK117" s="590"/>
      <c r="UYL117" s="589"/>
      <c r="UYM117" s="585"/>
      <c r="UYN117" s="577"/>
      <c r="UYO117" s="304"/>
      <c r="UYP117" s="572"/>
      <c r="UYQ117" s="573"/>
      <c r="UYR117" s="574"/>
      <c r="UYS117" s="575"/>
      <c r="UYT117" s="583"/>
      <c r="UYU117" s="590"/>
      <c r="UYV117" s="589"/>
      <c r="UYW117" s="585"/>
      <c r="UYX117" s="577"/>
      <c r="UYY117" s="304"/>
      <c r="UYZ117" s="572"/>
      <c r="UZA117" s="573"/>
      <c r="UZB117" s="574"/>
      <c r="UZC117" s="575"/>
      <c r="UZD117" s="583"/>
      <c r="UZE117" s="590"/>
      <c r="UZF117" s="589"/>
      <c r="UZG117" s="585"/>
      <c r="UZH117" s="577"/>
      <c r="UZI117" s="304"/>
      <c r="UZJ117" s="572"/>
      <c r="UZK117" s="573"/>
      <c r="UZL117" s="574"/>
      <c r="UZM117" s="575"/>
      <c r="UZN117" s="583"/>
      <c r="UZO117" s="590"/>
      <c r="UZP117" s="589"/>
      <c r="UZQ117" s="585"/>
      <c r="UZR117" s="577"/>
      <c r="UZS117" s="304"/>
      <c r="UZT117" s="572"/>
      <c r="UZU117" s="573"/>
      <c r="UZV117" s="574"/>
      <c r="UZW117" s="575"/>
      <c r="UZX117" s="583"/>
      <c r="UZY117" s="590"/>
      <c r="UZZ117" s="589"/>
      <c r="VAA117" s="585"/>
      <c r="VAB117" s="577"/>
      <c r="VAC117" s="304"/>
      <c r="VAD117" s="572"/>
      <c r="VAE117" s="573"/>
      <c r="VAF117" s="574"/>
      <c r="VAG117" s="575"/>
      <c r="VAH117" s="583"/>
      <c r="VAI117" s="590"/>
      <c r="VAJ117" s="589"/>
      <c r="VAK117" s="585"/>
      <c r="VAL117" s="577"/>
      <c r="VAM117" s="304"/>
      <c r="VAN117" s="572"/>
      <c r="VAO117" s="573"/>
      <c r="VAP117" s="574"/>
      <c r="VAQ117" s="575"/>
      <c r="VAR117" s="583"/>
      <c r="VAS117" s="590"/>
      <c r="VAT117" s="589"/>
      <c r="VAU117" s="585"/>
      <c r="VAV117" s="577"/>
      <c r="VAW117" s="304"/>
      <c r="VAX117" s="572"/>
      <c r="VAY117" s="573"/>
      <c r="VAZ117" s="574"/>
      <c r="VBA117" s="575"/>
      <c r="VBB117" s="583"/>
      <c r="VBC117" s="590"/>
      <c r="VBD117" s="589"/>
      <c r="VBE117" s="585"/>
      <c r="VBF117" s="577"/>
      <c r="VBG117" s="304"/>
      <c r="VBH117" s="572"/>
      <c r="VBI117" s="573"/>
      <c r="VBJ117" s="574"/>
      <c r="VBK117" s="575"/>
      <c r="VBL117" s="583"/>
      <c r="VBM117" s="590"/>
      <c r="VBN117" s="589"/>
      <c r="VBO117" s="585"/>
      <c r="VBP117" s="577"/>
      <c r="VBQ117" s="304"/>
      <c r="VBR117" s="572"/>
      <c r="VBS117" s="573"/>
      <c r="VBT117" s="574"/>
      <c r="VBU117" s="575"/>
      <c r="VBV117" s="583"/>
      <c r="VBW117" s="590"/>
      <c r="VBX117" s="589"/>
      <c r="VBY117" s="585"/>
      <c r="VBZ117" s="577"/>
      <c r="VCA117" s="304"/>
      <c r="VCB117" s="572"/>
      <c r="VCC117" s="573"/>
      <c r="VCD117" s="574"/>
      <c r="VCE117" s="575"/>
      <c r="VCF117" s="583"/>
      <c r="VCG117" s="590"/>
      <c r="VCH117" s="589"/>
      <c r="VCI117" s="585"/>
      <c r="VCJ117" s="577"/>
      <c r="VCK117" s="304"/>
      <c r="VCL117" s="572"/>
      <c r="VCM117" s="573"/>
      <c r="VCN117" s="574"/>
      <c r="VCO117" s="575"/>
      <c r="VCP117" s="583"/>
      <c r="VCQ117" s="590"/>
      <c r="VCR117" s="589"/>
      <c r="VCS117" s="585"/>
      <c r="VCT117" s="577"/>
      <c r="VCU117" s="304"/>
      <c r="VCV117" s="572"/>
      <c r="VCW117" s="573"/>
      <c r="VCX117" s="574"/>
      <c r="VCY117" s="575"/>
      <c r="VCZ117" s="583"/>
      <c r="VDA117" s="590"/>
      <c r="VDB117" s="589"/>
      <c r="VDC117" s="585"/>
      <c r="VDD117" s="577"/>
      <c r="VDE117" s="304"/>
      <c r="VDF117" s="572"/>
      <c r="VDG117" s="573"/>
      <c r="VDH117" s="574"/>
      <c r="VDI117" s="575"/>
      <c r="VDJ117" s="583"/>
      <c r="VDK117" s="590"/>
      <c r="VDL117" s="589"/>
      <c r="VDM117" s="585"/>
      <c r="VDN117" s="577"/>
      <c r="VDO117" s="304"/>
      <c r="VDP117" s="572"/>
      <c r="VDQ117" s="573"/>
      <c r="VDR117" s="574"/>
      <c r="VDS117" s="575"/>
      <c r="VDT117" s="583"/>
      <c r="VDU117" s="590"/>
      <c r="VDV117" s="589"/>
      <c r="VDW117" s="585"/>
      <c r="VDX117" s="577"/>
      <c r="VDY117" s="304"/>
      <c r="VDZ117" s="572"/>
      <c r="VEA117" s="573"/>
      <c r="VEB117" s="574"/>
      <c r="VEC117" s="575"/>
      <c r="VED117" s="583"/>
      <c r="VEE117" s="590"/>
      <c r="VEF117" s="589"/>
      <c r="VEG117" s="585"/>
      <c r="VEH117" s="577"/>
      <c r="VEI117" s="304"/>
      <c r="VEJ117" s="572"/>
      <c r="VEK117" s="573"/>
      <c r="VEL117" s="574"/>
      <c r="VEM117" s="575"/>
      <c r="VEN117" s="583"/>
      <c r="VEO117" s="590"/>
      <c r="VEP117" s="589"/>
      <c r="VEQ117" s="585"/>
      <c r="VER117" s="577"/>
      <c r="VES117" s="304"/>
      <c r="VET117" s="572"/>
      <c r="VEU117" s="573"/>
      <c r="VEV117" s="574"/>
      <c r="VEW117" s="575"/>
      <c r="VEX117" s="583"/>
      <c r="VEY117" s="590"/>
      <c r="VEZ117" s="589"/>
      <c r="VFA117" s="585"/>
      <c r="VFB117" s="577"/>
      <c r="VFC117" s="304"/>
      <c r="VFD117" s="572"/>
      <c r="VFE117" s="573"/>
      <c r="VFF117" s="574"/>
      <c r="VFG117" s="575"/>
      <c r="VFH117" s="583"/>
      <c r="VFI117" s="590"/>
      <c r="VFJ117" s="589"/>
      <c r="VFK117" s="585"/>
      <c r="VFL117" s="577"/>
      <c r="VFM117" s="304"/>
      <c r="VFN117" s="572"/>
      <c r="VFO117" s="573"/>
      <c r="VFP117" s="574"/>
      <c r="VFQ117" s="575"/>
      <c r="VFR117" s="583"/>
      <c r="VFS117" s="590"/>
      <c r="VFT117" s="589"/>
      <c r="VFU117" s="585"/>
      <c r="VFV117" s="577"/>
      <c r="VFW117" s="304"/>
      <c r="VFX117" s="572"/>
      <c r="VFY117" s="573"/>
      <c r="VFZ117" s="574"/>
      <c r="VGA117" s="575"/>
      <c r="VGB117" s="583"/>
      <c r="VGC117" s="590"/>
      <c r="VGD117" s="589"/>
      <c r="VGE117" s="585"/>
      <c r="VGF117" s="577"/>
      <c r="VGG117" s="304"/>
      <c r="VGH117" s="572"/>
      <c r="VGI117" s="573"/>
      <c r="VGJ117" s="574"/>
      <c r="VGK117" s="575"/>
      <c r="VGL117" s="583"/>
      <c r="VGM117" s="590"/>
      <c r="VGN117" s="589"/>
      <c r="VGO117" s="585"/>
      <c r="VGP117" s="577"/>
      <c r="VGQ117" s="304"/>
      <c r="VGR117" s="572"/>
      <c r="VGS117" s="573"/>
      <c r="VGT117" s="574"/>
      <c r="VGU117" s="575"/>
      <c r="VGV117" s="583"/>
      <c r="VGW117" s="590"/>
      <c r="VGX117" s="589"/>
      <c r="VGY117" s="585"/>
      <c r="VGZ117" s="577"/>
      <c r="VHA117" s="304"/>
      <c r="VHB117" s="572"/>
      <c r="VHC117" s="573"/>
      <c r="VHD117" s="574"/>
      <c r="VHE117" s="575"/>
      <c r="VHF117" s="583"/>
      <c r="VHG117" s="590"/>
      <c r="VHH117" s="589"/>
      <c r="VHI117" s="585"/>
      <c r="VHJ117" s="577"/>
      <c r="VHK117" s="304"/>
      <c r="VHL117" s="572"/>
      <c r="VHM117" s="573"/>
      <c r="VHN117" s="574"/>
      <c r="VHO117" s="575"/>
      <c r="VHP117" s="583"/>
      <c r="VHQ117" s="590"/>
      <c r="VHR117" s="589"/>
      <c r="VHS117" s="585"/>
      <c r="VHT117" s="577"/>
      <c r="VHU117" s="304"/>
      <c r="VHV117" s="572"/>
      <c r="VHW117" s="573"/>
      <c r="VHX117" s="574"/>
      <c r="VHY117" s="575"/>
      <c r="VHZ117" s="583"/>
      <c r="VIA117" s="590"/>
      <c r="VIB117" s="589"/>
      <c r="VIC117" s="585"/>
      <c r="VID117" s="577"/>
      <c r="VIE117" s="304"/>
      <c r="VIF117" s="572"/>
      <c r="VIG117" s="573"/>
      <c r="VIH117" s="574"/>
      <c r="VII117" s="575"/>
      <c r="VIJ117" s="583"/>
      <c r="VIK117" s="590"/>
      <c r="VIL117" s="589"/>
      <c r="VIM117" s="585"/>
      <c r="VIN117" s="577"/>
      <c r="VIO117" s="304"/>
      <c r="VIP117" s="572"/>
      <c r="VIQ117" s="573"/>
      <c r="VIR117" s="574"/>
      <c r="VIS117" s="575"/>
      <c r="VIT117" s="583"/>
      <c r="VIU117" s="590"/>
      <c r="VIV117" s="589"/>
      <c r="VIW117" s="585"/>
      <c r="VIX117" s="577"/>
      <c r="VIY117" s="304"/>
      <c r="VIZ117" s="572"/>
      <c r="VJA117" s="573"/>
      <c r="VJB117" s="574"/>
      <c r="VJC117" s="575"/>
      <c r="VJD117" s="583"/>
      <c r="VJE117" s="590"/>
      <c r="VJF117" s="589"/>
      <c r="VJG117" s="585"/>
      <c r="VJH117" s="577"/>
      <c r="VJI117" s="304"/>
      <c r="VJJ117" s="572"/>
      <c r="VJK117" s="573"/>
      <c r="VJL117" s="574"/>
      <c r="VJM117" s="575"/>
      <c r="VJN117" s="583"/>
      <c r="VJO117" s="590"/>
      <c r="VJP117" s="589"/>
      <c r="VJQ117" s="585"/>
      <c r="VJR117" s="577"/>
      <c r="VJS117" s="304"/>
      <c r="VJT117" s="572"/>
      <c r="VJU117" s="573"/>
      <c r="VJV117" s="574"/>
      <c r="VJW117" s="575"/>
      <c r="VJX117" s="583"/>
      <c r="VJY117" s="590"/>
      <c r="VJZ117" s="589"/>
      <c r="VKA117" s="585"/>
      <c r="VKB117" s="577"/>
      <c r="VKC117" s="304"/>
      <c r="VKD117" s="572"/>
      <c r="VKE117" s="573"/>
      <c r="VKF117" s="574"/>
      <c r="VKG117" s="575"/>
      <c r="VKH117" s="583"/>
      <c r="VKI117" s="590"/>
      <c r="VKJ117" s="589"/>
      <c r="VKK117" s="585"/>
      <c r="VKL117" s="577"/>
      <c r="VKM117" s="304"/>
      <c r="VKN117" s="572"/>
      <c r="VKO117" s="573"/>
      <c r="VKP117" s="574"/>
      <c r="VKQ117" s="575"/>
      <c r="VKR117" s="583"/>
      <c r="VKS117" s="590"/>
      <c r="VKT117" s="589"/>
      <c r="VKU117" s="585"/>
      <c r="VKV117" s="577"/>
      <c r="VKW117" s="304"/>
      <c r="VKX117" s="572"/>
      <c r="VKY117" s="573"/>
      <c r="VKZ117" s="574"/>
      <c r="VLA117" s="575"/>
      <c r="VLB117" s="583"/>
      <c r="VLC117" s="590"/>
      <c r="VLD117" s="589"/>
      <c r="VLE117" s="585"/>
      <c r="VLF117" s="577"/>
      <c r="VLG117" s="304"/>
      <c r="VLH117" s="572"/>
      <c r="VLI117" s="573"/>
      <c r="VLJ117" s="574"/>
      <c r="VLK117" s="575"/>
      <c r="VLL117" s="583"/>
      <c r="VLM117" s="590"/>
      <c r="VLN117" s="589"/>
      <c r="VLO117" s="585"/>
      <c r="VLP117" s="577"/>
      <c r="VLQ117" s="304"/>
      <c r="VLR117" s="572"/>
      <c r="VLS117" s="573"/>
      <c r="VLT117" s="574"/>
      <c r="VLU117" s="575"/>
      <c r="VLV117" s="583"/>
      <c r="VLW117" s="590"/>
      <c r="VLX117" s="589"/>
      <c r="VLY117" s="585"/>
      <c r="VLZ117" s="577"/>
      <c r="VMA117" s="304"/>
      <c r="VMB117" s="572"/>
      <c r="VMC117" s="573"/>
      <c r="VMD117" s="574"/>
      <c r="VME117" s="575"/>
      <c r="VMF117" s="583"/>
      <c r="VMG117" s="590"/>
      <c r="VMH117" s="589"/>
      <c r="VMI117" s="585"/>
      <c r="VMJ117" s="577"/>
      <c r="VMK117" s="304"/>
      <c r="VML117" s="572"/>
      <c r="VMM117" s="573"/>
      <c r="VMN117" s="574"/>
      <c r="VMO117" s="575"/>
      <c r="VMP117" s="583"/>
      <c r="VMQ117" s="590"/>
      <c r="VMR117" s="589"/>
      <c r="VMS117" s="585"/>
      <c r="VMT117" s="577"/>
      <c r="VMU117" s="304"/>
      <c r="VMV117" s="572"/>
      <c r="VMW117" s="573"/>
      <c r="VMX117" s="574"/>
      <c r="VMY117" s="575"/>
      <c r="VMZ117" s="583"/>
      <c r="VNA117" s="590"/>
      <c r="VNB117" s="589"/>
      <c r="VNC117" s="585"/>
      <c r="VND117" s="577"/>
      <c r="VNE117" s="304"/>
      <c r="VNF117" s="572"/>
      <c r="VNG117" s="573"/>
      <c r="VNH117" s="574"/>
      <c r="VNI117" s="575"/>
      <c r="VNJ117" s="583"/>
      <c r="VNK117" s="590"/>
      <c r="VNL117" s="589"/>
      <c r="VNM117" s="585"/>
      <c r="VNN117" s="577"/>
      <c r="VNO117" s="304"/>
      <c r="VNP117" s="572"/>
      <c r="VNQ117" s="573"/>
      <c r="VNR117" s="574"/>
      <c r="VNS117" s="575"/>
      <c r="VNT117" s="583"/>
      <c r="VNU117" s="590"/>
      <c r="VNV117" s="589"/>
      <c r="VNW117" s="585"/>
      <c r="VNX117" s="577"/>
      <c r="VNY117" s="304"/>
      <c r="VNZ117" s="572"/>
      <c r="VOA117" s="573"/>
      <c r="VOB117" s="574"/>
      <c r="VOC117" s="575"/>
      <c r="VOD117" s="583"/>
      <c r="VOE117" s="590"/>
      <c r="VOF117" s="589"/>
      <c r="VOG117" s="585"/>
      <c r="VOH117" s="577"/>
      <c r="VOI117" s="304"/>
      <c r="VOJ117" s="572"/>
      <c r="VOK117" s="573"/>
      <c r="VOL117" s="574"/>
      <c r="VOM117" s="575"/>
      <c r="VON117" s="583"/>
      <c r="VOO117" s="590"/>
      <c r="VOP117" s="589"/>
      <c r="VOQ117" s="585"/>
      <c r="VOR117" s="577"/>
      <c r="VOS117" s="304"/>
      <c r="VOT117" s="572"/>
      <c r="VOU117" s="573"/>
      <c r="VOV117" s="574"/>
      <c r="VOW117" s="575"/>
      <c r="VOX117" s="583"/>
      <c r="VOY117" s="590"/>
      <c r="VOZ117" s="589"/>
      <c r="VPA117" s="585"/>
      <c r="VPB117" s="577"/>
      <c r="VPC117" s="304"/>
      <c r="VPD117" s="572"/>
      <c r="VPE117" s="573"/>
      <c r="VPF117" s="574"/>
      <c r="VPG117" s="575"/>
      <c r="VPH117" s="583"/>
      <c r="VPI117" s="590"/>
      <c r="VPJ117" s="589"/>
      <c r="VPK117" s="585"/>
      <c r="VPL117" s="577"/>
      <c r="VPM117" s="304"/>
      <c r="VPN117" s="572"/>
      <c r="VPO117" s="573"/>
      <c r="VPP117" s="574"/>
      <c r="VPQ117" s="575"/>
      <c r="VPR117" s="583"/>
      <c r="VPS117" s="590"/>
      <c r="VPT117" s="589"/>
      <c r="VPU117" s="585"/>
      <c r="VPV117" s="577"/>
      <c r="VPW117" s="304"/>
      <c r="VPX117" s="572"/>
      <c r="VPY117" s="573"/>
      <c r="VPZ117" s="574"/>
      <c r="VQA117" s="575"/>
      <c r="VQB117" s="583"/>
      <c r="VQC117" s="590"/>
      <c r="VQD117" s="589"/>
      <c r="VQE117" s="585"/>
      <c r="VQF117" s="577"/>
      <c r="VQG117" s="304"/>
      <c r="VQH117" s="572"/>
      <c r="VQI117" s="573"/>
      <c r="VQJ117" s="574"/>
      <c r="VQK117" s="575"/>
      <c r="VQL117" s="583"/>
      <c r="VQM117" s="590"/>
      <c r="VQN117" s="589"/>
      <c r="VQO117" s="585"/>
      <c r="VQP117" s="577"/>
      <c r="VQQ117" s="304"/>
      <c r="VQR117" s="572"/>
      <c r="VQS117" s="573"/>
      <c r="VQT117" s="574"/>
      <c r="VQU117" s="575"/>
      <c r="VQV117" s="583"/>
      <c r="VQW117" s="590"/>
      <c r="VQX117" s="589"/>
      <c r="VQY117" s="585"/>
      <c r="VQZ117" s="577"/>
      <c r="VRA117" s="304"/>
      <c r="VRB117" s="572"/>
      <c r="VRC117" s="573"/>
      <c r="VRD117" s="574"/>
      <c r="VRE117" s="575"/>
      <c r="VRF117" s="583"/>
      <c r="VRG117" s="590"/>
      <c r="VRH117" s="589"/>
      <c r="VRI117" s="585"/>
      <c r="VRJ117" s="577"/>
      <c r="VRK117" s="304"/>
      <c r="VRL117" s="572"/>
      <c r="VRM117" s="573"/>
      <c r="VRN117" s="574"/>
      <c r="VRO117" s="575"/>
      <c r="VRP117" s="583"/>
      <c r="VRQ117" s="590"/>
      <c r="VRR117" s="589"/>
      <c r="VRS117" s="585"/>
      <c r="VRT117" s="577"/>
      <c r="VRU117" s="304"/>
      <c r="VRV117" s="572"/>
      <c r="VRW117" s="573"/>
      <c r="VRX117" s="574"/>
      <c r="VRY117" s="575"/>
      <c r="VRZ117" s="583"/>
      <c r="VSA117" s="590"/>
      <c r="VSB117" s="589"/>
      <c r="VSC117" s="585"/>
      <c r="VSD117" s="577"/>
      <c r="VSE117" s="304"/>
      <c r="VSF117" s="572"/>
      <c r="VSG117" s="573"/>
      <c r="VSH117" s="574"/>
      <c r="VSI117" s="575"/>
      <c r="VSJ117" s="583"/>
      <c r="VSK117" s="590"/>
      <c r="VSL117" s="589"/>
      <c r="VSM117" s="585"/>
      <c r="VSN117" s="577"/>
      <c r="VSO117" s="304"/>
      <c r="VSP117" s="572"/>
      <c r="VSQ117" s="573"/>
      <c r="VSR117" s="574"/>
      <c r="VSS117" s="575"/>
      <c r="VST117" s="583"/>
      <c r="VSU117" s="590"/>
      <c r="VSV117" s="589"/>
      <c r="VSW117" s="585"/>
      <c r="VSX117" s="577"/>
      <c r="VSY117" s="304"/>
      <c r="VSZ117" s="572"/>
      <c r="VTA117" s="573"/>
      <c r="VTB117" s="574"/>
      <c r="VTC117" s="575"/>
      <c r="VTD117" s="583"/>
      <c r="VTE117" s="590"/>
      <c r="VTF117" s="589"/>
      <c r="VTG117" s="585"/>
      <c r="VTH117" s="577"/>
      <c r="VTI117" s="304"/>
      <c r="VTJ117" s="572"/>
      <c r="VTK117" s="573"/>
      <c r="VTL117" s="574"/>
      <c r="VTM117" s="575"/>
      <c r="VTN117" s="583"/>
      <c r="VTO117" s="590"/>
      <c r="VTP117" s="589"/>
      <c r="VTQ117" s="585"/>
      <c r="VTR117" s="577"/>
      <c r="VTS117" s="304"/>
      <c r="VTT117" s="572"/>
      <c r="VTU117" s="573"/>
      <c r="VTV117" s="574"/>
      <c r="VTW117" s="575"/>
      <c r="VTX117" s="583"/>
      <c r="VTY117" s="590"/>
      <c r="VTZ117" s="589"/>
      <c r="VUA117" s="585"/>
      <c r="VUB117" s="577"/>
      <c r="VUC117" s="304"/>
      <c r="VUD117" s="572"/>
      <c r="VUE117" s="573"/>
      <c r="VUF117" s="574"/>
      <c r="VUG117" s="575"/>
      <c r="VUH117" s="583"/>
      <c r="VUI117" s="590"/>
      <c r="VUJ117" s="589"/>
      <c r="VUK117" s="585"/>
      <c r="VUL117" s="577"/>
      <c r="VUM117" s="304"/>
      <c r="VUN117" s="572"/>
      <c r="VUO117" s="573"/>
      <c r="VUP117" s="574"/>
      <c r="VUQ117" s="575"/>
      <c r="VUR117" s="583"/>
      <c r="VUS117" s="590"/>
      <c r="VUT117" s="589"/>
      <c r="VUU117" s="585"/>
      <c r="VUV117" s="577"/>
      <c r="VUW117" s="304"/>
      <c r="VUX117" s="572"/>
      <c r="VUY117" s="573"/>
      <c r="VUZ117" s="574"/>
      <c r="VVA117" s="575"/>
      <c r="VVB117" s="583"/>
      <c r="VVC117" s="590"/>
      <c r="VVD117" s="589"/>
      <c r="VVE117" s="585"/>
      <c r="VVF117" s="577"/>
      <c r="VVG117" s="304"/>
      <c r="VVH117" s="572"/>
      <c r="VVI117" s="573"/>
      <c r="VVJ117" s="574"/>
      <c r="VVK117" s="575"/>
      <c r="VVL117" s="583"/>
      <c r="VVM117" s="590"/>
      <c r="VVN117" s="589"/>
      <c r="VVO117" s="585"/>
      <c r="VVP117" s="577"/>
      <c r="VVQ117" s="304"/>
      <c r="VVR117" s="572"/>
      <c r="VVS117" s="573"/>
      <c r="VVT117" s="574"/>
      <c r="VVU117" s="575"/>
      <c r="VVV117" s="583"/>
      <c r="VVW117" s="590"/>
      <c r="VVX117" s="589"/>
      <c r="VVY117" s="585"/>
      <c r="VVZ117" s="577"/>
      <c r="VWA117" s="304"/>
      <c r="VWB117" s="572"/>
      <c r="VWC117" s="573"/>
      <c r="VWD117" s="574"/>
      <c r="VWE117" s="575"/>
      <c r="VWF117" s="583"/>
      <c r="VWG117" s="590"/>
      <c r="VWH117" s="589"/>
      <c r="VWI117" s="585"/>
      <c r="VWJ117" s="577"/>
      <c r="VWK117" s="304"/>
      <c r="VWL117" s="572"/>
      <c r="VWM117" s="573"/>
      <c r="VWN117" s="574"/>
      <c r="VWO117" s="575"/>
      <c r="VWP117" s="583"/>
      <c r="VWQ117" s="590"/>
      <c r="VWR117" s="589"/>
      <c r="VWS117" s="585"/>
      <c r="VWT117" s="577"/>
      <c r="VWU117" s="304"/>
      <c r="VWV117" s="572"/>
      <c r="VWW117" s="573"/>
      <c r="VWX117" s="574"/>
      <c r="VWY117" s="575"/>
      <c r="VWZ117" s="583"/>
      <c r="VXA117" s="590"/>
      <c r="VXB117" s="589"/>
      <c r="VXC117" s="585"/>
      <c r="VXD117" s="577"/>
      <c r="VXE117" s="304"/>
      <c r="VXF117" s="572"/>
      <c r="VXG117" s="573"/>
      <c r="VXH117" s="574"/>
      <c r="VXI117" s="575"/>
      <c r="VXJ117" s="583"/>
      <c r="VXK117" s="590"/>
      <c r="VXL117" s="589"/>
      <c r="VXM117" s="585"/>
      <c r="VXN117" s="577"/>
      <c r="VXO117" s="304"/>
      <c r="VXP117" s="572"/>
      <c r="VXQ117" s="573"/>
      <c r="VXR117" s="574"/>
      <c r="VXS117" s="575"/>
      <c r="VXT117" s="583"/>
      <c r="VXU117" s="590"/>
      <c r="VXV117" s="589"/>
      <c r="VXW117" s="585"/>
      <c r="VXX117" s="577"/>
      <c r="VXY117" s="304"/>
      <c r="VXZ117" s="572"/>
      <c r="VYA117" s="573"/>
      <c r="VYB117" s="574"/>
      <c r="VYC117" s="575"/>
      <c r="VYD117" s="583"/>
      <c r="VYE117" s="590"/>
      <c r="VYF117" s="589"/>
      <c r="VYG117" s="585"/>
      <c r="VYH117" s="577"/>
      <c r="VYI117" s="304"/>
      <c r="VYJ117" s="572"/>
      <c r="VYK117" s="573"/>
      <c r="VYL117" s="574"/>
      <c r="VYM117" s="575"/>
      <c r="VYN117" s="583"/>
      <c r="VYO117" s="590"/>
      <c r="VYP117" s="589"/>
      <c r="VYQ117" s="585"/>
      <c r="VYR117" s="577"/>
      <c r="VYS117" s="304"/>
      <c r="VYT117" s="572"/>
      <c r="VYU117" s="573"/>
      <c r="VYV117" s="574"/>
      <c r="VYW117" s="575"/>
      <c r="VYX117" s="583"/>
      <c r="VYY117" s="590"/>
      <c r="VYZ117" s="589"/>
      <c r="VZA117" s="585"/>
      <c r="VZB117" s="577"/>
      <c r="VZC117" s="304"/>
      <c r="VZD117" s="572"/>
      <c r="VZE117" s="573"/>
      <c r="VZF117" s="574"/>
      <c r="VZG117" s="575"/>
      <c r="VZH117" s="583"/>
      <c r="VZI117" s="590"/>
      <c r="VZJ117" s="589"/>
      <c r="VZK117" s="585"/>
      <c r="VZL117" s="577"/>
      <c r="VZM117" s="304"/>
      <c r="VZN117" s="572"/>
      <c r="VZO117" s="573"/>
      <c r="VZP117" s="574"/>
      <c r="VZQ117" s="575"/>
      <c r="VZR117" s="583"/>
      <c r="VZS117" s="590"/>
      <c r="VZT117" s="589"/>
      <c r="VZU117" s="585"/>
      <c r="VZV117" s="577"/>
      <c r="VZW117" s="304"/>
      <c r="VZX117" s="572"/>
      <c r="VZY117" s="573"/>
      <c r="VZZ117" s="574"/>
      <c r="WAA117" s="575"/>
      <c r="WAB117" s="583"/>
      <c r="WAC117" s="590"/>
      <c r="WAD117" s="589"/>
      <c r="WAE117" s="585"/>
      <c r="WAF117" s="577"/>
      <c r="WAG117" s="304"/>
      <c r="WAH117" s="572"/>
      <c r="WAI117" s="573"/>
      <c r="WAJ117" s="574"/>
      <c r="WAK117" s="575"/>
      <c r="WAL117" s="583"/>
      <c r="WAM117" s="590"/>
      <c r="WAN117" s="589"/>
      <c r="WAO117" s="585"/>
      <c r="WAP117" s="577"/>
      <c r="WAQ117" s="304"/>
      <c r="WAR117" s="572"/>
      <c r="WAS117" s="573"/>
      <c r="WAT117" s="574"/>
      <c r="WAU117" s="575"/>
      <c r="WAV117" s="583"/>
      <c r="WAW117" s="590"/>
      <c r="WAX117" s="589"/>
      <c r="WAY117" s="585"/>
      <c r="WAZ117" s="577"/>
      <c r="WBA117" s="304"/>
      <c r="WBB117" s="572"/>
      <c r="WBC117" s="573"/>
      <c r="WBD117" s="574"/>
      <c r="WBE117" s="575"/>
      <c r="WBF117" s="583"/>
      <c r="WBG117" s="590"/>
      <c r="WBH117" s="589"/>
      <c r="WBI117" s="585"/>
      <c r="WBJ117" s="577"/>
      <c r="WBK117" s="304"/>
      <c r="WBL117" s="572"/>
      <c r="WBM117" s="573"/>
      <c r="WBN117" s="574"/>
      <c r="WBO117" s="575"/>
      <c r="WBP117" s="583"/>
      <c r="WBQ117" s="590"/>
      <c r="WBR117" s="589"/>
      <c r="WBS117" s="585"/>
      <c r="WBT117" s="577"/>
      <c r="WBU117" s="304"/>
      <c r="WBV117" s="572"/>
      <c r="WBW117" s="573"/>
      <c r="WBX117" s="574"/>
      <c r="WBY117" s="575"/>
      <c r="WBZ117" s="583"/>
      <c r="WCA117" s="590"/>
      <c r="WCB117" s="589"/>
      <c r="WCC117" s="585"/>
      <c r="WCD117" s="577"/>
      <c r="WCE117" s="304"/>
      <c r="WCF117" s="572"/>
      <c r="WCG117" s="573"/>
      <c r="WCH117" s="574"/>
      <c r="WCI117" s="575"/>
      <c r="WCJ117" s="583"/>
      <c r="WCK117" s="590"/>
      <c r="WCL117" s="589"/>
      <c r="WCM117" s="585"/>
      <c r="WCN117" s="577"/>
      <c r="WCO117" s="304"/>
      <c r="WCP117" s="572"/>
      <c r="WCQ117" s="573"/>
      <c r="WCR117" s="574"/>
      <c r="WCS117" s="575"/>
      <c r="WCT117" s="583"/>
      <c r="WCU117" s="590"/>
      <c r="WCV117" s="589"/>
      <c r="WCW117" s="585"/>
      <c r="WCX117" s="577"/>
      <c r="WCY117" s="304"/>
      <c r="WCZ117" s="572"/>
      <c r="WDA117" s="573"/>
      <c r="WDB117" s="574"/>
      <c r="WDC117" s="575"/>
      <c r="WDD117" s="583"/>
      <c r="WDE117" s="590"/>
      <c r="WDF117" s="589"/>
      <c r="WDG117" s="585"/>
      <c r="WDH117" s="577"/>
      <c r="WDI117" s="304"/>
      <c r="WDJ117" s="572"/>
      <c r="WDK117" s="573"/>
      <c r="WDL117" s="574"/>
      <c r="WDM117" s="575"/>
      <c r="WDN117" s="583"/>
      <c r="WDO117" s="590"/>
      <c r="WDP117" s="589"/>
      <c r="WDQ117" s="585"/>
      <c r="WDR117" s="577"/>
      <c r="WDS117" s="304"/>
      <c r="WDT117" s="572"/>
      <c r="WDU117" s="573"/>
      <c r="WDV117" s="574"/>
      <c r="WDW117" s="575"/>
      <c r="WDX117" s="583"/>
      <c r="WDY117" s="590"/>
      <c r="WDZ117" s="589"/>
      <c r="WEA117" s="585"/>
      <c r="WEB117" s="577"/>
      <c r="WEC117" s="304"/>
      <c r="WED117" s="572"/>
      <c r="WEE117" s="573"/>
      <c r="WEF117" s="574"/>
      <c r="WEG117" s="575"/>
      <c r="WEH117" s="583"/>
      <c r="WEI117" s="590"/>
      <c r="WEJ117" s="589"/>
      <c r="WEK117" s="585"/>
      <c r="WEL117" s="577"/>
      <c r="WEM117" s="304"/>
      <c r="WEN117" s="572"/>
      <c r="WEO117" s="573"/>
      <c r="WEP117" s="574"/>
      <c r="WEQ117" s="575"/>
      <c r="WER117" s="583"/>
      <c r="WES117" s="590"/>
      <c r="WET117" s="589"/>
      <c r="WEU117" s="585"/>
      <c r="WEV117" s="577"/>
      <c r="WEW117" s="304"/>
      <c r="WEX117" s="572"/>
      <c r="WEY117" s="573"/>
      <c r="WEZ117" s="574"/>
      <c r="WFA117" s="575"/>
      <c r="WFB117" s="583"/>
      <c r="WFC117" s="590"/>
      <c r="WFD117" s="589"/>
      <c r="WFE117" s="585"/>
      <c r="WFF117" s="577"/>
      <c r="WFG117" s="304"/>
      <c r="WFH117" s="572"/>
      <c r="WFI117" s="573"/>
      <c r="WFJ117" s="574"/>
      <c r="WFK117" s="575"/>
      <c r="WFL117" s="583"/>
      <c r="WFM117" s="590"/>
      <c r="WFN117" s="589"/>
      <c r="WFO117" s="585"/>
      <c r="WFP117" s="577"/>
      <c r="WFQ117" s="304"/>
      <c r="WFR117" s="572"/>
      <c r="WFS117" s="573"/>
      <c r="WFT117" s="574"/>
      <c r="WFU117" s="575"/>
      <c r="WFV117" s="583"/>
      <c r="WFW117" s="590"/>
      <c r="WFX117" s="589"/>
      <c r="WFY117" s="585"/>
      <c r="WFZ117" s="577"/>
      <c r="WGA117" s="304"/>
      <c r="WGB117" s="572"/>
      <c r="WGC117" s="573"/>
      <c r="WGD117" s="574"/>
      <c r="WGE117" s="575"/>
      <c r="WGF117" s="583"/>
      <c r="WGG117" s="590"/>
      <c r="WGH117" s="589"/>
      <c r="WGI117" s="585"/>
      <c r="WGJ117" s="577"/>
      <c r="WGK117" s="304"/>
      <c r="WGL117" s="572"/>
      <c r="WGM117" s="573"/>
      <c r="WGN117" s="574"/>
      <c r="WGO117" s="575"/>
      <c r="WGP117" s="583"/>
      <c r="WGQ117" s="590"/>
      <c r="WGR117" s="589"/>
      <c r="WGS117" s="585"/>
      <c r="WGT117" s="577"/>
      <c r="WGU117" s="304"/>
      <c r="WGV117" s="572"/>
      <c r="WGW117" s="573"/>
      <c r="WGX117" s="574"/>
      <c r="WGY117" s="575"/>
      <c r="WGZ117" s="583"/>
      <c r="WHA117" s="590"/>
      <c r="WHB117" s="589"/>
      <c r="WHC117" s="585"/>
      <c r="WHD117" s="577"/>
      <c r="WHE117" s="304"/>
      <c r="WHF117" s="572"/>
      <c r="WHG117" s="573"/>
      <c r="WHH117" s="574"/>
      <c r="WHI117" s="575"/>
      <c r="WHJ117" s="583"/>
      <c r="WHK117" s="590"/>
      <c r="WHL117" s="589"/>
      <c r="WHM117" s="585"/>
      <c r="WHN117" s="577"/>
      <c r="WHO117" s="304"/>
      <c r="WHP117" s="572"/>
      <c r="WHQ117" s="573"/>
      <c r="WHR117" s="574"/>
      <c r="WHS117" s="575"/>
      <c r="WHT117" s="583"/>
      <c r="WHU117" s="590"/>
      <c r="WHV117" s="589"/>
      <c r="WHW117" s="585"/>
      <c r="WHX117" s="577"/>
      <c r="WHY117" s="304"/>
      <c r="WHZ117" s="572"/>
      <c r="WIA117" s="573"/>
      <c r="WIB117" s="574"/>
      <c r="WIC117" s="575"/>
      <c r="WID117" s="583"/>
      <c r="WIE117" s="590"/>
      <c r="WIF117" s="589"/>
      <c r="WIG117" s="585"/>
      <c r="WIH117" s="577"/>
      <c r="WII117" s="304"/>
      <c r="WIJ117" s="572"/>
      <c r="WIK117" s="573"/>
      <c r="WIL117" s="574"/>
      <c r="WIM117" s="575"/>
      <c r="WIN117" s="583"/>
      <c r="WIO117" s="590"/>
      <c r="WIP117" s="589"/>
      <c r="WIQ117" s="585"/>
      <c r="WIR117" s="577"/>
      <c r="WIS117" s="304"/>
      <c r="WIT117" s="572"/>
      <c r="WIU117" s="573"/>
      <c r="WIV117" s="574"/>
      <c r="WIW117" s="575"/>
      <c r="WIX117" s="583"/>
      <c r="WIY117" s="590"/>
      <c r="WIZ117" s="589"/>
      <c r="WJA117" s="585"/>
      <c r="WJB117" s="577"/>
      <c r="WJC117" s="304"/>
      <c r="WJD117" s="572"/>
      <c r="WJE117" s="573"/>
      <c r="WJF117" s="574"/>
      <c r="WJG117" s="575"/>
      <c r="WJH117" s="583"/>
      <c r="WJI117" s="590"/>
      <c r="WJJ117" s="589"/>
      <c r="WJK117" s="585"/>
      <c r="WJL117" s="577"/>
      <c r="WJM117" s="304"/>
      <c r="WJN117" s="572"/>
      <c r="WJO117" s="573"/>
      <c r="WJP117" s="574"/>
      <c r="WJQ117" s="575"/>
      <c r="WJR117" s="583"/>
      <c r="WJS117" s="590"/>
      <c r="WJT117" s="589"/>
      <c r="WJU117" s="585"/>
      <c r="WJV117" s="577"/>
      <c r="WJW117" s="304"/>
      <c r="WJX117" s="572"/>
      <c r="WJY117" s="573"/>
      <c r="WJZ117" s="574"/>
      <c r="WKA117" s="575"/>
      <c r="WKB117" s="583"/>
      <c r="WKC117" s="590"/>
      <c r="WKD117" s="589"/>
      <c r="WKE117" s="585"/>
      <c r="WKF117" s="577"/>
      <c r="WKG117" s="304"/>
      <c r="WKH117" s="572"/>
      <c r="WKI117" s="573"/>
      <c r="WKJ117" s="574"/>
      <c r="WKK117" s="575"/>
      <c r="WKL117" s="583"/>
      <c r="WKM117" s="590"/>
      <c r="WKN117" s="589"/>
      <c r="WKO117" s="585"/>
      <c r="WKP117" s="577"/>
      <c r="WKQ117" s="304"/>
      <c r="WKR117" s="572"/>
      <c r="WKS117" s="573"/>
      <c r="WKT117" s="574"/>
      <c r="WKU117" s="575"/>
      <c r="WKV117" s="583"/>
      <c r="WKW117" s="590"/>
      <c r="WKX117" s="589"/>
      <c r="WKY117" s="585"/>
      <c r="WKZ117" s="577"/>
      <c r="WLA117" s="304"/>
      <c r="WLB117" s="572"/>
      <c r="WLC117" s="573"/>
      <c r="WLD117" s="574"/>
      <c r="WLE117" s="575"/>
      <c r="WLF117" s="583"/>
      <c r="WLG117" s="590"/>
      <c r="WLH117" s="589"/>
      <c r="WLI117" s="585"/>
      <c r="WLJ117" s="577"/>
      <c r="WLK117" s="304"/>
      <c r="WLL117" s="572"/>
      <c r="WLM117" s="573"/>
      <c r="WLN117" s="574"/>
      <c r="WLO117" s="575"/>
      <c r="WLP117" s="583"/>
      <c r="WLQ117" s="590"/>
      <c r="WLR117" s="589"/>
      <c r="WLS117" s="585"/>
      <c r="WLT117" s="577"/>
      <c r="WLU117" s="304"/>
      <c r="WLV117" s="572"/>
      <c r="WLW117" s="573"/>
      <c r="WLX117" s="574"/>
      <c r="WLY117" s="575"/>
      <c r="WLZ117" s="583"/>
      <c r="WMA117" s="590"/>
      <c r="WMB117" s="589"/>
      <c r="WMC117" s="585"/>
      <c r="WMD117" s="577"/>
      <c r="WME117" s="304"/>
      <c r="WMF117" s="572"/>
      <c r="WMG117" s="573"/>
      <c r="WMH117" s="574"/>
      <c r="WMI117" s="575"/>
      <c r="WMJ117" s="583"/>
      <c r="WMK117" s="590"/>
      <c r="WML117" s="589"/>
      <c r="WMM117" s="585"/>
      <c r="WMN117" s="577"/>
      <c r="WMO117" s="304"/>
      <c r="WMP117" s="572"/>
      <c r="WMQ117" s="573"/>
      <c r="WMR117" s="574"/>
      <c r="WMS117" s="575"/>
      <c r="WMT117" s="583"/>
      <c r="WMU117" s="590"/>
      <c r="WMV117" s="589"/>
      <c r="WMW117" s="585"/>
      <c r="WMX117" s="577"/>
      <c r="WMY117" s="304"/>
      <c r="WMZ117" s="572"/>
      <c r="WNA117" s="573"/>
      <c r="WNB117" s="574"/>
      <c r="WNC117" s="575"/>
      <c r="WND117" s="583"/>
      <c r="WNE117" s="590"/>
      <c r="WNF117" s="589"/>
      <c r="WNG117" s="585"/>
      <c r="WNH117" s="577"/>
      <c r="WNI117" s="304"/>
      <c r="WNJ117" s="572"/>
      <c r="WNK117" s="573"/>
      <c r="WNL117" s="574"/>
      <c r="WNM117" s="575"/>
      <c r="WNN117" s="583"/>
      <c r="WNO117" s="590"/>
      <c r="WNP117" s="589"/>
      <c r="WNQ117" s="585"/>
      <c r="WNR117" s="577"/>
      <c r="WNS117" s="304"/>
      <c r="WNT117" s="572"/>
      <c r="WNU117" s="573"/>
      <c r="WNV117" s="574"/>
      <c r="WNW117" s="575"/>
      <c r="WNX117" s="583"/>
      <c r="WNY117" s="590"/>
      <c r="WNZ117" s="589"/>
      <c r="WOA117" s="585"/>
      <c r="WOB117" s="577"/>
      <c r="WOC117" s="304"/>
      <c r="WOD117" s="572"/>
      <c r="WOE117" s="573"/>
      <c r="WOF117" s="574"/>
      <c r="WOG117" s="575"/>
      <c r="WOH117" s="583"/>
      <c r="WOI117" s="590"/>
      <c r="WOJ117" s="589"/>
      <c r="WOK117" s="585"/>
      <c r="WOL117" s="577"/>
      <c r="WOM117" s="304"/>
      <c r="WON117" s="572"/>
      <c r="WOO117" s="573"/>
      <c r="WOP117" s="574"/>
      <c r="WOQ117" s="575"/>
      <c r="WOR117" s="583"/>
      <c r="WOS117" s="590"/>
      <c r="WOT117" s="589"/>
      <c r="WOU117" s="585"/>
      <c r="WOV117" s="577"/>
      <c r="WOW117" s="304"/>
      <c r="WOX117" s="572"/>
      <c r="WOY117" s="573"/>
      <c r="WOZ117" s="574"/>
      <c r="WPA117" s="575"/>
      <c r="WPB117" s="583"/>
      <c r="WPC117" s="590"/>
      <c r="WPD117" s="589"/>
      <c r="WPE117" s="585"/>
      <c r="WPF117" s="577"/>
      <c r="WPG117" s="304"/>
      <c r="WPH117" s="572"/>
      <c r="WPI117" s="573"/>
      <c r="WPJ117" s="574"/>
      <c r="WPK117" s="575"/>
      <c r="WPL117" s="583"/>
      <c r="WPM117" s="590"/>
      <c r="WPN117" s="589"/>
      <c r="WPO117" s="585"/>
      <c r="WPP117" s="577"/>
      <c r="WPQ117" s="304"/>
      <c r="WPR117" s="572"/>
      <c r="WPS117" s="573"/>
      <c r="WPT117" s="574"/>
      <c r="WPU117" s="575"/>
      <c r="WPV117" s="583"/>
      <c r="WPW117" s="590"/>
      <c r="WPX117" s="589"/>
      <c r="WPY117" s="585"/>
      <c r="WPZ117" s="577"/>
      <c r="WQA117" s="304"/>
      <c r="WQB117" s="572"/>
      <c r="WQC117" s="573"/>
      <c r="WQD117" s="574"/>
      <c r="WQE117" s="575"/>
      <c r="WQF117" s="583"/>
      <c r="WQG117" s="590"/>
      <c r="WQH117" s="589"/>
      <c r="WQI117" s="585"/>
      <c r="WQJ117" s="577"/>
      <c r="WQK117" s="304"/>
      <c r="WQL117" s="572"/>
      <c r="WQM117" s="573"/>
      <c r="WQN117" s="574"/>
      <c r="WQO117" s="575"/>
      <c r="WQP117" s="583"/>
      <c r="WQQ117" s="590"/>
      <c r="WQR117" s="589"/>
      <c r="WQS117" s="585"/>
      <c r="WQT117" s="577"/>
      <c r="WQU117" s="304"/>
      <c r="WQV117" s="572"/>
      <c r="WQW117" s="573"/>
      <c r="WQX117" s="574"/>
      <c r="WQY117" s="575"/>
      <c r="WQZ117" s="583"/>
      <c r="WRA117" s="590"/>
      <c r="WRB117" s="589"/>
      <c r="WRC117" s="585"/>
      <c r="WRD117" s="577"/>
      <c r="WRE117" s="304"/>
      <c r="WRF117" s="572"/>
      <c r="WRG117" s="573"/>
      <c r="WRH117" s="574"/>
      <c r="WRI117" s="575"/>
      <c r="WRJ117" s="583"/>
      <c r="WRK117" s="590"/>
      <c r="WRL117" s="589"/>
      <c r="WRM117" s="585"/>
      <c r="WRN117" s="577"/>
      <c r="WRO117" s="304"/>
      <c r="WRP117" s="572"/>
      <c r="WRQ117" s="573"/>
      <c r="WRR117" s="574"/>
      <c r="WRS117" s="575"/>
      <c r="WRT117" s="583"/>
      <c r="WRU117" s="590"/>
      <c r="WRV117" s="589"/>
      <c r="WRW117" s="585"/>
      <c r="WRX117" s="577"/>
      <c r="WRY117" s="304"/>
      <c r="WRZ117" s="572"/>
      <c r="WSA117" s="573"/>
      <c r="WSB117" s="574"/>
      <c r="WSC117" s="575"/>
      <c r="WSD117" s="583"/>
      <c r="WSE117" s="590"/>
      <c r="WSF117" s="589"/>
      <c r="WSG117" s="585"/>
      <c r="WSH117" s="577"/>
      <c r="WSI117" s="304"/>
      <c r="WSJ117" s="572"/>
      <c r="WSK117" s="573"/>
      <c r="WSL117" s="574"/>
      <c r="WSM117" s="575"/>
      <c r="WSN117" s="583"/>
      <c r="WSO117" s="590"/>
      <c r="WSP117" s="589"/>
      <c r="WSQ117" s="585"/>
      <c r="WSR117" s="577"/>
      <c r="WSS117" s="304"/>
      <c r="WST117" s="572"/>
      <c r="WSU117" s="573"/>
      <c r="WSV117" s="574"/>
      <c r="WSW117" s="575"/>
      <c r="WSX117" s="583"/>
      <c r="WSY117" s="590"/>
      <c r="WSZ117" s="589"/>
      <c r="WTA117" s="585"/>
      <c r="WTB117" s="577"/>
      <c r="WTC117" s="304"/>
      <c r="WTD117" s="572"/>
      <c r="WTE117" s="573"/>
      <c r="WTF117" s="574"/>
      <c r="WTG117" s="575"/>
      <c r="WTH117" s="583"/>
      <c r="WTI117" s="590"/>
      <c r="WTJ117" s="589"/>
      <c r="WTK117" s="585"/>
      <c r="WTL117" s="577"/>
      <c r="WTM117" s="304"/>
      <c r="WTN117" s="572"/>
      <c r="WTO117" s="573"/>
      <c r="WTP117" s="574"/>
      <c r="WTQ117" s="575"/>
      <c r="WTR117" s="583"/>
      <c r="WTS117" s="590"/>
      <c r="WTT117" s="589"/>
      <c r="WTU117" s="585"/>
      <c r="WTV117" s="577"/>
      <c r="WTW117" s="304"/>
      <c r="WTX117" s="572"/>
      <c r="WTY117" s="573"/>
      <c r="WTZ117" s="574"/>
      <c r="WUA117" s="575"/>
      <c r="WUB117" s="583"/>
      <c r="WUC117" s="590"/>
      <c r="WUD117" s="589"/>
      <c r="WUE117" s="585"/>
      <c r="WUF117" s="577"/>
      <c r="WUG117" s="304"/>
      <c r="WUH117" s="572"/>
      <c r="WUI117" s="573"/>
      <c r="WUJ117" s="574"/>
      <c r="WUK117" s="575"/>
      <c r="WUL117" s="583"/>
      <c r="WUM117" s="590"/>
      <c r="WUN117" s="589"/>
      <c r="WUO117" s="585"/>
      <c r="WUP117" s="577"/>
      <c r="WUQ117" s="304"/>
      <c r="WUR117" s="572"/>
      <c r="WUS117" s="573"/>
      <c r="WUT117" s="574"/>
      <c r="WUU117" s="575"/>
      <c r="WUV117" s="583"/>
      <c r="WUW117" s="590"/>
      <c r="WUX117" s="589"/>
      <c r="WUY117" s="585"/>
      <c r="WUZ117" s="577"/>
      <c r="WVA117" s="304"/>
      <c r="WVB117" s="572"/>
      <c r="WVC117" s="573"/>
      <c r="WVD117" s="574"/>
      <c r="WVE117" s="575"/>
      <c r="WVF117" s="583"/>
      <c r="WVG117" s="590"/>
      <c r="WVH117" s="589"/>
      <c r="WVI117" s="585"/>
      <c r="WVJ117" s="577"/>
      <c r="WVK117" s="304"/>
      <c r="WVL117" s="572"/>
      <c r="WVM117" s="573"/>
      <c r="WVN117" s="574"/>
      <c r="WVO117" s="575"/>
      <c r="WVP117" s="583"/>
      <c r="WVQ117" s="590"/>
      <c r="WVR117" s="589"/>
      <c r="WVS117" s="585"/>
      <c r="WVT117" s="577"/>
      <c r="WVU117" s="304"/>
      <c r="WVV117" s="572"/>
      <c r="WVW117" s="573"/>
      <c r="WVX117" s="574"/>
      <c r="WVY117" s="575"/>
      <c r="WVZ117" s="583"/>
      <c r="WWA117" s="590"/>
      <c r="WWB117" s="589"/>
      <c r="WWC117" s="585"/>
      <c r="WWD117" s="577"/>
      <c r="WWE117" s="304"/>
      <c r="WWF117" s="572"/>
      <c r="WWG117" s="573"/>
      <c r="WWH117" s="574"/>
      <c r="WWI117" s="575"/>
      <c r="WWJ117" s="583"/>
      <c r="WWK117" s="590"/>
      <c r="WWL117" s="589"/>
      <c r="WWM117" s="585"/>
      <c r="WWN117" s="577"/>
      <c r="WWO117" s="304"/>
      <c r="WWP117" s="572"/>
      <c r="WWQ117" s="573"/>
      <c r="WWR117" s="574"/>
      <c r="WWS117" s="575"/>
      <c r="WWT117" s="583"/>
      <c r="WWU117" s="590"/>
      <c r="WWV117" s="589"/>
      <c r="WWW117" s="585"/>
      <c r="WWX117" s="577"/>
      <c r="WWY117" s="304"/>
      <c r="WWZ117" s="572"/>
      <c r="WXA117" s="573"/>
      <c r="WXB117" s="574"/>
      <c r="WXC117" s="575"/>
      <c r="WXD117" s="583"/>
      <c r="WXE117" s="590"/>
      <c r="WXF117" s="589"/>
      <c r="WXG117" s="585"/>
      <c r="WXH117" s="577"/>
      <c r="WXI117" s="304"/>
      <c r="WXJ117" s="572"/>
      <c r="WXK117" s="573"/>
      <c r="WXL117" s="574"/>
      <c r="WXM117" s="575"/>
      <c r="WXN117" s="583"/>
      <c r="WXO117" s="590"/>
      <c r="WXP117" s="589"/>
      <c r="WXQ117" s="585"/>
      <c r="WXR117" s="577"/>
      <c r="WXS117" s="304"/>
      <c r="WXT117" s="572"/>
      <c r="WXU117" s="573"/>
      <c r="WXV117" s="574"/>
      <c r="WXW117" s="575"/>
      <c r="WXX117" s="583"/>
      <c r="WXY117" s="590"/>
      <c r="WXZ117" s="589"/>
      <c r="WYA117" s="585"/>
      <c r="WYB117" s="577"/>
      <c r="WYC117" s="304"/>
      <c r="WYD117" s="572"/>
      <c r="WYE117" s="573"/>
      <c r="WYF117" s="574"/>
      <c r="WYG117" s="575"/>
      <c r="WYH117" s="583"/>
      <c r="WYI117" s="590"/>
      <c r="WYJ117" s="589"/>
      <c r="WYK117" s="585"/>
      <c r="WYL117" s="577"/>
      <c r="WYM117" s="304"/>
      <c r="WYN117" s="572"/>
      <c r="WYO117" s="573"/>
      <c r="WYP117" s="574"/>
      <c r="WYQ117" s="575"/>
      <c r="WYR117" s="583"/>
      <c r="WYS117" s="590"/>
      <c r="WYT117" s="589"/>
      <c r="WYU117" s="585"/>
      <c r="WYV117" s="577"/>
      <c r="WYW117" s="304"/>
      <c r="WYX117" s="572"/>
      <c r="WYY117" s="573"/>
      <c r="WYZ117" s="574"/>
      <c r="WZA117" s="575"/>
      <c r="WZB117" s="583"/>
      <c r="WZC117" s="590"/>
      <c r="WZD117" s="589"/>
      <c r="WZE117" s="585"/>
      <c r="WZF117" s="577"/>
      <c r="WZG117" s="304"/>
      <c r="WZH117" s="572"/>
      <c r="WZI117" s="573"/>
      <c r="WZJ117" s="574"/>
      <c r="WZK117" s="575"/>
      <c r="WZL117" s="583"/>
      <c r="WZM117" s="590"/>
      <c r="WZN117" s="589"/>
      <c r="WZO117" s="585"/>
      <c r="WZP117" s="577"/>
      <c r="WZQ117" s="304"/>
      <c r="WZR117" s="572"/>
      <c r="WZS117" s="573"/>
      <c r="WZT117" s="574"/>
      <c r="WZU117" s="575"/>
      <c r="WZV117" s="583"/>
      <c r="WZW117" s="590"/>
      <c r="WZX117" s="589"/>
      <c r="WZY117" s="585"/>
      <c r="WZZ117" s="577"/>
      <c r="XAA117" s="304"/>
      <c r="XAB117" s="572"/>
      <c r="XAC117" s="573"/>
      <c r="XAD117" s="574"/>
      <c r="XAE117" s="575"/>
      <c r="XAF117" s="583"/>
      <c r="XAG117" s="590"/>
      <c r="XAH117" s="589"/>
      <c r="XAI117" s="585"/>
      <c r="XAJ117" s="577"/>
      <c r="XAK117" s="304"/>
      <c r="XAL117" s="572"/>
      <c r="XAM117" s="573"/>
      <c r="XAN117" s="574"/>
      <c r="XAO117" s="575"/>
      <c r="XAP117" s="583"/>
      <c r="XAQ117" s="590"/>
      <c r="XAR117" s="589"/>
      <c r="XAS117" s="585"/>
      <c r="XAT117" s="577"/>
      <c r="XAU117" s="304"/>
      <c r="XAV117" s="572"/>
      <c r="XAW117" s="573"/>
      <c r="XAX117" s="574"/>
      <c r="XAY117" s="575"/>
      <c r="XAZ117" s="583"/>
      <c r="XBA117" s="590"/>
      <c r="XBB117" s="589"/>
      <c r="XBC117" s="585"/>
      <c r="XBD117" s="577"/>
      <c r="XBE117" s="304"/>
      <c r="XBF117" s="572"/>
      <c r="XBG117" s="573"/>
      <c r="XBH117" s="574"/>
      <c r="XBI117" s="575"/>
      <c r="XBJ117" s="583"/>
      <c r="XBK117" s="590"/>
      <c r="XBL117" s="589"/>
      <c r="XBM117" s="585"/>
      <c r="XBN117" s="577"/>
      <c r="XBO117" s="304"/>
      <c r="XBP117" s="572"/>
      <c r="XBQ117" s="573"/>
      <c r="XBR117" s="574"/>
      <c r="XBS117" s="575"/>
      <c r="XBT117" s="583"/>
      <c r="XBU117" s="590"/>
      <c r="XBV117" s="589"/>
      <c r="XBW117" s="585"/>
      <c r="XBX117" s="577"/>
      <c r="XBY117" s="304"/>
      <c r="XBZ117" s="572"/>
      <c r="XCA117" s="573"/>
      <c r="XCB117" s="574"/>
      <c r="XCC117" s="575"/>
      <c r="XCD117" s="583"/>
      <c r="XCE117" s="590"/>
      <c r="XCF117" s="589"/>
      <c r="XCG117" s="585"/>
      <c r="XCH117" s="577"/>
      <c r="XCI117" s="304"/>
      <c r="XCJ117" s="572"/>
      <c r="XCK117" s="573"/>
      <c r="XCL117" s="574"/>
      <c r="XCM117" s="575"/>
      <c r="XCN117" s="583"/>
      <c r="XCO117" s="590"/>
      <c r="XCP117" s="589"/>
      <c r="XCQ117" s="585"/>
      <c r="XCR117" s="577"/>
      <c r="XCS117" s="304"/>
      <c r="XCT117" s="572"/>
      <c r="XCU117" s="573"/>
      <c r="XCV117" s="574"/>
      <c r="XCW117" s="575"/>
      <c r="XCX117" s="583"/>
      <c r="XCY117" s="590"/>
      <c r="XCZ117" s="589"/>
      <c r="XDA117" s="585"/>
      <c r="XDB117" s="577"/>
      <c r="XDC117" s="304"/>
      <c r="XDD117" s="572"/>
      <c r="XDE117" s="573"/>
      <c r="XDF117" s="574"/>
      <c r="XDG117" s="575"/>
      <c r="XDH117" s="583"/>
      <c r="XDI117" s="590"/>
      <c r="XDJ117" s="589"/>
      <c r="XDK117" s="585"/>
      <c r="XDL117" s="577"/>
      <c r="XDM117" s="304"/>
      <c r="XDN117" s="572"/>
      <c r="XDO117" s="573"/>
      <c r="XDP117" s="574"/>
      <c r="XDQ117" s="575"/>
      <c r="XDR117" s="583"/>
      <c r="XDS117" s="590"/>
      <c r="XDT117" s="589"/>
      <c r="XDU117" s="585"/>
      <c r="XDV117" s="577"/>
      <c r="XDW117" s="304"/>
      <c r="XDX117" s="572"/>
      <c r="XDY117" s="573"/>
      <c r="XDZ117" s="574"/>
      <c r="XEA117" s="575"/>
      <c r="XEB117" s="583"/>
      <c r="XEC117" s="590"/>
      <c r="XED117" s="589"/>
      <c r="XEE117" s="585"/>
      <c r="XEF117" s="577"/>
      <c r="XEG117" s="304"/>
      <c r="XEH117" s="572"/>
      <c r="XEI117" s="573"/>
      <c r="XEJ117" s="574"/>
      <c r="XEK117" s="575"/>
      <c r="XEL117" s="583"/>
      <c r="XEM117" s="590"/>
      <c r="XEN117" s="589"/>
      <c r="XEO117" s="585"/>
      <c r="XEP117" s="577"/>
      <c r="XEQ117" s="304"/>
      <c r="XER117" s="572"/>
      <c r="XES117" s="573"/>
      <c r="XET117" s="574"/>
      <c r="XEU117" s="575"/>
      <c r="XEV117" s="583"/>
      <c r="XEW117" s="590"/>
      <c r="XEX117" s="589"/>
      <c r="XEY117" s="585"/>
      <c r="XEZ117" s="577"/>
      <c r="XFA117" s="304"/>
      <c r="XFB117" s="572"/>
      <c r="XFC117" s="573"/>
      <c r="XFD117" s="574"/>
    </row>
    <row r="118" spans="1:16384" ht="42.6" customHeight="1" thickBot="1" x14ac:dyDescent="0.5">
      <c r="A118" s="304" t="str">
        <f>'DATA BASE'!A122</f>
        <v>BM-102</v>
      </c>
      <c r="B118" s="572">
        <f>'DATA BASE'!P122</f>
        <v>300</v>
      </c>
      <c r="C118" s="573">
        <f>'DATA BASE'!Q122</f>
        <v>15</v>
      </c>
      <c r="D118" s="574">
        <f>'DATA BASE'!O122</f>
        <v>0.3</v>
      </c>
      <c r="E118" s="575">
        <f>'DATA BASE'!N122</f>
        <v>617</v>
      </c>
      <c r="F118" s="583">
        <f>'DATA BASE'!S122</f>
        <v>60</v>
      </c>
      <c r="G118" s="590">
        <f>'DATA BASE'!T122</f>
        <v>20</v>
      </c>
      <c r="H118" s="589" t="str">
        <f>'DATA BASE'!U122</f>
        <v>D460N</v>
      </c>
      <c r="I118" s="585">
        <f>'DATA BASE'!V122</f>
        <v>216</v>
      </c>
      <c r="J118" s="577">
        <f>'DATA BASE'!Z122</f>
        <v>43556</v>
      </c>
      <c r="K118" s="304"/>
      <c r="HB118" s="577"/>
      <c r="HC118" s="304"/>
      <c r="HD118" s="572"/>
      <c r="HE118" s="573"/>
      <c r="HF118" s="574"/>
      <c r="HG118" s="575"/>
      <c r="HH118" s="583"/>
      <c r="HI118" s="590"/>
      <c r="HJ118" s="589"/>
      <c r="HK118" s="585"/>
      <c r="HL118" s="577"/>
      <c r="HM118" s="304"/>
      <c r="HN118" s="572"/>
      <c r="HO118" s="573"/>
      <c r="HP118" s="574"/>
      <c r="HQ118" s="575"/>
      <c r="HR118" s="583"/>
      <c r="HS118" s="590"/>
      <c r="HT118" s="589"/>
      <c r="HU118" s="585"/>
      <c r="HV118" s="577"/>
      <c r="HW118" s="304"/>
      <c r="HX118" s="572"/>
      <c r="HY118" s="573"/>
      <c r="HZ118" s="574"/>
      <c r="IA118" s="575"/>
      <c r="IB118" s="583"/>
      <c r="IC118" s="590"/>
      <c r="ID118" s="589"/>
      <c r="IE118" s="585"/>
      <c r="IF118" s="577"/>
      <c r="IG118" s="304"/>
      <c r="IH118" s="572"/>
      <c r="II118" s="573"/>
      <c r="IJ118" s="574"/>
      <c r="IK118" s="575"/>
      <c r="IL118" s="583"/>
      <c r="IM118" s="590"/>
      <c r="IN118" s="589"/>
      <c r="IO118" s="585"/>
      <c r="IP118" s="577"/>
      <c r="IQ118" s="304"/>
      <c r="IR118" s="572"/>
      <c r="IS118" s="573"/>
      <c r="IT118" s="574"/>
      <c r="IU118" s="575"/>
      <c r="IV118" s="583"/>
      <c r="IW118" s="590"/>
      <c r="IX118" s="589"/>
      <c r="IY118" s="585"/>
      <c r="IZ118" s="577"/>
      <c r="JA118" s="304"/>
      <c r="JB118" s="572"/>
      <c r="JC118" s="573"/>
      <c r="JD118" s="574"/>
      <c r="JE118" s="575"/>
      <c r="JF118" s="583"/>
      <c r="JG118" s="590"/>
      <c r="JH118" s="589"/>
      <c r="JI118" s="585"/>
      <c r="JJ118" s="577"/>
      <c r="JK118" s="304"/>
      <c r="JL118" s="572"/>
      <c r="JM118" s="573"/>
      <c r="JN118" s="574"/>
      <c r="JO118" s="575"/>
      <c r="JP118" s="583"/>
      <c r="JQ118" s="590"/>
      <c r="JR118" s="589"/>
      <c r="JS118" s="585"/>
      <c r="JT118" s="577"/>
      <c r="JU118" s="304"/>
      <c r="JV118" s="572"/>
      <c r="JW118" s="573"/>
      <c r="JX118" s="574"/>
      <c r="JY118" s="575"/>
      <c r="JZ118" s="583"/>
      <c r="KA118" s="590"/>
      <c r="KB118" s="589"/>
      <c r="KC118" s="585"/>
      <c r="KD118" s="577"/>
      <c r="KE118" s="304"/>
      <c r="KF118" s="572"/>
      <c r="KG118" s="573"/>
      <c r="KH118" s="574"/>
      <c r="KI118" s="575"/>
      <c r="KJ118" s="583"/>
      <c r="KK118" s="590"/>
      <c r="KL118" s="589"/>
      <c r="KM118" s="585"/>
      <c r="KN118" s="577"/>
      <c r="KO118" s="304"/>
      <c r="KP118" s="572"/>
      <c r="KQ118" s="573"/>
      <c r="KR118" s="574"/>
      <c r="KS118" s="575"/>
      <c r="KT118" s="583"/>
      <c r="KU118" s="590"/>
      <c r="KV118" s="589"/>
      <c r="KW118" s="585"/>
      <c r="KX118" s="577"/>
      <c r="KY118" s="304"/>
      <c r="KZ118" s="572"/>
      <c r="LA118" s="573"/>
      <c r="LB118" s="574"/>
      <c r="LC118" s="575"/>
      <c r="LD118" s="583"/>
      <c r="LE118" s="590"/>
      <c r="LF118" s="589"/>
      <c r="LG118" s="585"/>
      <c r="LH118" s="577"/>
      <c r="LI118" s="304"/>
      <c r="LJ118" s="572"/>
      <c r="LK118" s="573"/>
      <c r="LL118" s="574"/>
      <c r="LM118" s="575"/>
      <c r="LN118" s="583"/>
      <c r="LO118" s="590"/>
      <c r="LP118" s="589"/>
      <c r="LQ118" s="585"/>
      <c r="LR118" s="577"/>
      <c r="LS118" s="304"/>
      <c r="LT118" s="572"/>
      <c r="LU118" s="573"/>
      <c r="LV118" s="574"/>
      <c r="LW118" s="575"/>
      <c r="LX118" s="583"/>
      <c r="LY118" s="590"/>
      <c r="LZ118" s="589"/>
      <c r="MA118" s="585"/>
      <c r="MB118" s="577"/>
      <c r="MC118" s="304"/>
      <c r="MD118" s="572"/>
      <c r="ME118" s="573"/>
      <c r="MF118" s="574"/>
      <c r="MG118" s="575"/>
      <c r="MH118" s="583"/>
      <c r="MI118" s="590"/>
      <c r="MJ118" s="589"/>
      <c r="MK118" s="585"/>
      <c r="ML118" s="577"/>
      <c r="MM118" s="304"/>
      <c r="MN118" s="572"/>
      <c r="MO118" s="573"/>
      <c r="MP118" s="574"/>
      <c r="MQ118" s="575"/>
      <c r="MR118" s="583"/>
      <c r="MS118" s="590"/>
      <c r="MT118" s="589"/>
      <c r="MU118" s="585"/>
      <c r="MV118" s="577"/>
      <c r="MW118" s="304"/>
      <c r="MX118" s="572"/>
      <c r="MY118" s="573"/>
      <c r="MZ118" s="574"/>
      <c r="NA118" s="575"/>
      <c r="NB118" s="583"/>
      <c r="NC118" s="590"/>
      <c r="ND118" s="589"/>
      <c r="NE118" s="585"/>
      <c r="NF118" s="577"/>
      <c r="NG118" s="304"/>
      <c r="NH118" s="572"/>
      <c r="NI118" s="573"/>
      <c r="NJ118" s="574"/>
      <c r="NK118" s="575"/>
      <c r="NL118" s="583"/>
      <c r="NM118" s="590"/>
      <c r="NN118" s="589"/>
      <c r="NO118" s="585"/>
      <c r="NP118" s="577"/>
      <c r="NQ118" s="304"/>
      <c r="NR118" s="572"/>
      <c r="NS118" s="573"/>
      <c r="NT118" s="574"/>
      <c r="NU118" s="575"/>
      <c r="NV118" s="583"/>
      <c r="NW118" s="590"/>
      <c r="NX118" s="589"/>
      <c r="NY118" s="585"/>
      <c r="NZ118" s="577"/>
      <c r="OA118" s="304"/>
      <c r="OB118" s="572"/>
      <c r="OC118" s="573"/>
      <c r="OD118" s="574"/>
      <c r="OE118" s="575"/>
      <c r="OF118" s="583"/>
      <c r="OG118" s="590"/>
      <c r="OH118" s="589"/>
      <c r="OI118" s="585"/>
      <c r="OJ118" s="577"/>
      <c r="OK118" s="304"/>
      <c r="OL118" s="572"/>
      <c r="OM118" s="573"/>
      <c r="ON118" s="574"/>
      <c r="OO118" s="575"/>
      <c r="OP118" s="583"/>
      <c r="OQ118" s="590"/>
      <c r="OR118" s="589"/>
      <c r="OS118" s="585"/>
      <c r="OT118" s="577"/>
      <c r="OU118" s="304"/>
      <c r="OV118" s="572"/>
      <c r="OW118" s="573"/>
      <c r="OX118" s="574"/>
      <c r="OY118" s="575"/>
      <c r="OZ118" s="583"/>
      <c r="PA118" s="590"/>
      <c r="PB118" s="589"/>
      <c r="PC118" s="585"/>
      <c r="PD118" s="577"/>
      <c r="PE118" s="304"/>
      <c r="PF118" s="572"/>
      <c r="PG118" s="573"/>
      <c r="PH118" s="574"/>
      <c r="PI118" s="575"/>
      <c r="PJ118" s="583"/>
      <c r="PK118" s="590"/>
      <c r="PL118" s="589"/>
      <c r="PM118" s="585"/>
      <c r="PN118" s="577"/>
      <c r="PO118" s="304"/>
      <c r="PP118" s="572"/>
      <c r="PQ118" s="573"/>
      <c r="PR118" s="574"/>
      <c r="PS118" s="575"/>
      <c r="PT118" s="583"/>
      <c r="PU118" s="590"/>
      <c r="PV118" s="589"/>
      <c r="PW118" s="585"/>
      <c r="PX118" s="577"/>
      <c r="PY118" s="304"/>
      <c r="PZ118" s="572"/>
      <c r="QA118" s="573"/>
      <c r="QB118" s="574"/>
      <c r="QC118" s="575"/>
      <c r="QD118" s="583"/>
      <c r="QE118" s="590"/>
      <c r="QF118" s="589"/>
      <c r="QG118" s="585"/>
      <c r="QH118" s="577"/>
      <c r="QI118" s="304"/>
      <c r="QJ118" s="572"/>
      <c r="QK118" s="573"/>
      <c r="QL118" s="574"/>
      <c r="QM118" s="575"/>
      <c r="QN118" s="583"/>
      <c r="QO118" s="590"/>
      <c r="QP118" s="589"/>
      <c r="QQ118" s="585"/>
      <c r="QR118" s="577"/>
      <c r="QS118" s="304"/>
      <c r="QT118" s="572"/>
      <c r="QU118" s="573"/>
      <c r="QV118" s="574"/>
      <c r="QW118" s="575"/>
      <c r="QX118" s="583"/>
      <c r="QY118" s="590"/>
      <c r="QZ118" s="589"/>
      <c r="RA118" s="585"/>
      <c r="RB118" s="577"/>
      <c r="RC118" s="304"/>
      <c r="RD118" s="572"/>
      <c r="RE118" s="573"/>
      <c r="RF118" s="574"/>
      <c r="RG118" s="575"/>
      <c r="RH118" s="583"/>
      <c r="RI118" s="590"/>
      <c r="RJ118" s="589"/>
      <c r="RK118" s="585"/>
      <c r="RL118" s="577"/>
      <c r="RM118" s="304"/>
      <c r="RN118" s="572"/>
      <c r="RO118" s="573"/>
      <c r="RP118" s="574"/>
      <c r="RQ118" s="575"/>
      <c r="RR118" s="583"/>
      <c r="RS118" s="590"/>
      <c r="RT118" s="589"/>
      <c r="RU118" s="585"/>
      <c r="RV118" s="577"/>
      <c r="RW118" s="304"/>
      <c r="RX118" s="572"/>
      <c r="RY118" s="573"/>
      <c r="RZ118" s="574"/>
      <c r="SA118" s="575"/>
      <c r="SB118" s="583"/>
      <c r="SC118" s="590"/>
      <c r="SD118" s="589"/>
      <c r="SE118" s="585"/>
      <c r="SF118" s="577"/>
      <c r="SG118" s="304"/>
      <c r="SH118" s="572"/>
      <c r="SI118" s="573"/>
      <c r="SJ118" s="574"/>
      <c r="SK118" s="575"/>
      <c r="SL118" s="583"/>
      <c r="SM118" s="590"/>
      <c r="SN118" s="589"/>
      <c r="SO118" s="585"/>
      <c r="SP118" s="577"/>
      <c r="SQ118" s="304"/>
      <c r="SR118" s="572"/>
      <c r="SS118" s="573"/>
      <c r="ST118" s="574"/>
      <c r="SU118" s="575"/>
      <c r="SV118" s="583"/>
      <c r="SW118" s="590"/>
      <c r="SX118" s="589"/>
      <c r="SY118" s="585"/>
      <c r="SZ118" s="577"/>
      <c r="TA118" s="304"/>
      <c r="TB118" s="572"/>
      <c r="TC118" s="573"/>
      <c r="TD118" s="574"/>
      <c r="TE118" s="575"/>
      <c r="TF118" s="583"/>
      <c r="TG118" s="590"/>
      <c r="TH118" s="589"/>
      <c r="TI118" s="585"/>
      <c r="TJ118" s="577"/>
      <c r="TK118" s="304"/>
      <c r="TL118" s="572"/>
      <c r="TM118" s="573"/>
      <c r="TN118" s="574"/>
      <c r="TO118" s="575"/>
      <c r="TP118" s="583"/>
      <c r="TQ118" s="590"/>
      <c r="TR118" s="589"/>
      <c r="TS118" s="585"/>
      <c r="TT118" s="577"/>
      <c r="TU118" s="304"/>
      <c r="TV118" s="572"/>
      <c r="TW118" s="573"/>
      <c r="TX118" s="574"/>
      <c r="TY118" s="575"/>
      <c r="TZ118" s="583"/>
      <c r="UA118" s="590"/>
      <c r="UB118" s="589"/>
      <c r="UC118" s="585"/>
      <c r="UD118" s="577"/>
      <c r="UE118" s="304"/>
      <c r="UF118" s="572"/>
      <c r="UG118" s="573"/>
      <c r="UH118" s="574"/>
      <c r="UI118" s="575"/>
      <c r="UJ118" s="583"/>
      <c r="UK118" s="590"/>
      <c r="UL118" s="589"/>
      <c r="UM118" s="585"/>
      <c r="UN118" s="577"/>
      <c r="UO118" s="304"/>
      <c r="UP118" s="572"/>
      <c r="UQ118" s="573"/>
      <c r="UR118" s="574"/>
      <c r="US118" s="575"/>
      <c r="UT118" s="583"/>
      <c r="UU118" s="590"/>
      <c r="UV118" s="589"/>
      <c r="UW118" s="585"/>
      <c r="UX118" s="577"/>
      <c r="UY118" s="304"/>
      <c r="UZ118" s="572"/>
      <c r="VA118" s="573"/>
      <c r="VB118" s="574"/>
      <c r="VC118" s="575"/>
      <c r="VD118" s="583"/>
      <c r="VE118" s="590"/>
      <c r="VF118" s="589"/>
      <c r="VG118" s="585"/>
      <c r="VH118" s="577"/>
      <c r="VI118" s="304"/>
      <c r="VJ118" s="572"/>
      <c r="VK118" s="573"/>
      <c r="VL118" s="574"/>
      <c r="VM118" s="575"/>
      <c r="VN118" s="583"/>
      <c r="VO118" s="590"/>
      <c r="VP118" s="589"/>
      <c r="VQ118" s="585"/>
      <c r="VR118" s="577"/>
      <c r="VS118" s="304"/>
      <c r="VT118" s="572"/>
      <c r="VU118" s="573"/>
      <c r="VV118" s="574"/>
      <c r="VW118" s="575"/>
      <c r="VX118" s="583"/>
      <c r="VY118" s="590"/>
      <c r="VZ118" s="589"/>
      <c r="WA118" s="585"/>
      <c r="WB118" s="577"/>
      <c r="WC118" s="304"/>
      <c r="WD118" s="572"/>
      <c r="WE118" s="573"/>
      <c r="WF118" s="574"/>
      <c r="WG118" s="575"/>
      <c r="WH118" s="583"/>
      <c r="WI118" s="590"/>
      <c r="WJ118" s="589"/>
      <c r="WK118" s="585"/>
      <c r="WL118" s="577"/>
      <c r="WM118" s="304"/>
      <c r="WN118" s="572"/>
      <c r="WO118" s="573"/>
      <c r="WP118" s="574"/>
      <c r="WQ118" s="575"/>
      <c r="WR118" s="583"/>
      <c r="WS118" s="590"/>
      <c r="WT118" s="589"/>
      <c r="WU118" s="585"/>
      <c r="WV118" s="577"/>
      <c r="WW118" s="304"/>
      <c r="WX118" s="572"/>
      <c r="WY118" s="573"/>
      <c r="WZ118" s="574"/>
      <c r="XA118" s="575"/>
      <c r="XB118" s="583"/>
      <c r="XC118" s="590"/>
      <c r="XD118" s="589"/>
      <c r="XE118" s="585"/>
      <c r="XF118" s="577"/>
      <c r="XG118" s="304"/>
      <c r="XH118" s="572"/>
      <c r="XI118" s="573"/>
      <c r="XJ118" s="574"/>
      <c r="XK118" s="575"/>
      <c r="XL118" s="583"/>
      <c r="XM118" s="590"/>
      <c r="XN118" s="589"/>
      <c r="XO118" s="585"/>
      <c r="XP118" s="577"/>
      <c r="XQ118" s="304"/>
      <c r="XR118" s="572"/>
      <c r="XS118" s="573"/>
      <c r="XT118" s="574"/>
      <c r="XU118" s="575"/>
      <c r="XV118" s="583"/>
      <c r="XW118" s="590"/>
      <c r="XX118" s="589"/>
      <c r="XY118" s="585"/>
      <c r="XZ118" s="577"/>
      <c r="YA118" s="304"/>
      <c r="YB118" s="572"/>
      <c r="YC118" s="573"/>
      <c r="YD118" s="574"/>
      <c r="YE118" s="575"/>
      <c r="YF118" s="583"/>
      <c r="YG118" s="590"/>
      <c r="YH118" s="589"/>
      <c r="YI118" s="585"/>
      <c r="YJ118" s="577"/>
      <c r="YK118" s="304"/>
      <c r="YL118" s="572"/>
      <c r="YM118" s="573"/>
      <c r="YN118" s="574"/>
      <c r="YO118" s="575"/>
      <c r="YP118" s="583"/>
      <c r="YQ118" s="590"/>
      <c r="YR118" s="589"/>
      <c r="YS118" s="585"/>
      <c r="YT118" s="577"/>
      <c r="YU118" s="304"/>
      <c r="YV118" s="572"/>
      <c r="YW118" s="573"/>
      <c r="YX118" s="574"/>
      <c r="YY118" s="575"/>
      <c r="YZ118" s="583"/>
      <c r="ZA118" s="590"/>
      <c r="ZB118" s="589"/>
      <c r="ZC118" s="585"/>
      <c r="ZD118" s="577"/>
      <c r="ZE118" s="304"/>
      <c r="ZF118" s="572"/>
      <c r="ZG118" s="573"/>
      <c r="ZH118" s="574"/>
      <c r="ZI118" s="575"/>
      <c r="ZJ118" s="583"/>
      <c r="ZK118" s="590"/>
      <c r="ZL118" s="589"/>
      <c r="ZM118" s="585"/>
      <c r="ZN118" s="577"/>
      <c r="ZO118" s="304"/>
      <c r="ZP118" s="572"/>
      <c r="ZQ118" s="573"/>
      <c r="ZR118" s="574"/>
      <c r="ZS118" s="575"/>
      <c r="ZT118" s="583"/>
      <c r="ZU118" s="590"/>
      <c r="ZV118" s="589"/>
      <c r="ZW118" s="585"/>
      <c r="ZX118" s="577"/>
      <c r="ZY118" s="304"/>
      <c r="ZZ118" s="572"/>
      <c r="AAA118" s="573"/>
      <c r="AAB118" s="574"/>
      <c r="AAC118" s="575"/>
      <c r="AAD118" s="583"/>
      <c r="AAE118" s="590"/>
      <c r="AAF118" s="589"/>
      <c r="AAG118" s="585"/>
      <c r="AAH118" s="577"/>
      <c r="AAI118" s="304"/>
      <c r="AAJ118" s="572"/>
      <c r="AAK118" s="573"/>
      <c r="AAL118" s="574"/>
      <c r="AAM118" s="575"/>
      <c r="AAN118" s="583"/>
      <c r="AAO118" s="590"/>
      <c r="AAP118" s="589"/>
      <c r="AAQ118" s="585"/>
      <c r="AAR118" s="577"/>
      <c r="AAS118" s="304"/>
      <c r="AAT118" s="572"/>
      <c r="AAU118" s="573"/>
      <c r="AAV118" s="574"/>
      <c r="AAW118" s="575"/>
      <c r="AAX118" s="583"/>
      <c r="AAY118" s="590"/>
      <c r="AAZ118" s="589"/>
      <c r="ABA118" s="585"/>
      <c r="ABB118" s="577"/>
      <c r="ABC118" s="304"/>
      <c r="ABD118" s="572"/>
      <c r="ABE118" s="573"/>
      <c r="ABF118" s="574"/>
      <c r="ABG118" s="575"/>
      <c r="ABH118" s="583"/>
      <c r="ABI118" s="590"/>
      <c r="ABJ118" s="589"/>
      <c r="ABK118" s="585"/>
      <c r="ABL118" s="577"/>
      <c r="ABM118" s="304"/>
      <c r="ABN118" s="572"/>
      <c r="ABO118" s="573"/>
      <c r="ABP118" s="574"/>
      <c r="ABQ118" s="575"/>
      <c r="ABR118" s="583"/>
      <c r="ABS118" s="590"/>
      <c r="ABT118" s="589"/>
      <c r="ABU118" s="585"/>
      <c r="ABV118" s="577"/>
      <c r="ABW118" s="304"/>
      <c r="ABX118" s="572"/>
      <c r="ABY118" s="573"/>
      <c r="ABZ118" s="574"/>
      <c r="ACA118" s="575"/>
      <c r="ACB118" s="583"/>
      <c r="ACC118" s="590"/>
      <c r="ACD118" s="589"/>
      <c r="ACE118" s="585"/>
      <c r="ACF118" s="577"/>
      <c r="ACG118" s="304"/>
      <c r="ACH118" s="572"/>
      <c r="ACI118" s="573"/>
      <c r="ACJ118" s="574"/>
      <c r="ACK118" s="575"/>
      <c r="ACL118" s="583"/>
      <c r="ACM118" s="590"/>
      <c r="ACN118" s="589"/>
      <c r="ACO118" s="585"/>
      <c r="ACP118" s="577"/>
      <c r="ACQ118" s="304"/>
      <c r="ACR118" s="572"/>
      <c r="ACS118" s="573"/>
      <c r="ACT118" s="574"/>
      <c r="ACU118" s="575"/>
      <c r="ACV118" s="583"/>
      <c r="ACW118" s="590"/>
      <c r="ACX118" s="589"/>
      <c r="ACY118" s="585"/>
      <c r="ACZ118" s="577"/>
      <c r="ADA118" s="304"/>
      <c r="ADB118" s="572"/>
      <c r="ADC118" s="573"/>
      <c r="ADD118" s="574"/>
      <c r="ADE118" s="575"/>
      <c r="ADF118" s="583"/>
      <c r="ADG118" s="590"/>
      <c r="ADH118" s="589"/>
      <c r="ADI118" s="585"/>
      <c r="ADJ118" s="577"/>
      <c r="ADK118" s="304"/>
      <c r="ADL118" s="572"/>
      <c r="ADM118" s="573"/>
      <c r="ADN118" s="574"/>
      <c r="ADO118" s="575"/>
      <c r="ADP118" s="583"/>
      <c r="ADQ118" s="590"/>
      <c r="ADR118" s="589"/>
      <c r="ADS118" s="585"/>
      <c r="ADT118" s="577"/>
      <c r="ADU118" s="304"/>
      <c r="ADV118" s="572"/>
      <c r="ADW118" s="573"/>
      <c r="ADX118" s="574"/>
      <c r="ADY118" s="575"/>
      <c r="ADZ118" s="583"/>
      <c r="AEA118" s="590"/>
      <c r="AEB118" s="589"/>
      <c r="AEC118" s="585"/>
      <c r="AED118" s="577"/>
      <c r="AEE118" s="304"/>
      <c r="AEF118" s="572"/>
      <c r="AEG118" s="573"/>
      <c r="AEH118" s="574"/>
      <c r="AEI118" s="575"/>
      <c r="AEJ118" s="583"/>
      <c r="AEK118" s="590"/>
      <c r="AEL118" s="589"/>
      <c r="AEM118" s="585"/>
      <c r="AEN118" s="577"/>
      <c r="AEO118" s="304"/>
      <c r="AEP118" s="572"/>
      <c r="AEQ118" s="573"/>
      <c r="AER118" s="574"/>
      <c r="AES118" s="575"/>
      <c r="AET118" s="583"/>
      <c r="AEU118" s="590"/>
      <c r="AEV118" s="589"/>
      <c r="AEW118" s="585"/>
      <c r="AEX118" s="577"/>
      <c r="AEY118" s="304"/>
      <c r="AEZ118" s="572"/>
      <c r="AFA118" s="573"/>
      <c r="AFB118" s="574"/>
      <c r="AFC118" s="575"/>
      <c r="AFD118" s="583"/>
      <c r="AFE118" s="590"/>
      <c r="AFF118" s="589"/>
      <c r="AFG118" s="585"/>
      <c r="AFH118" s="577"/>
      <c r="AFI118" s="304"/>
      <c r="AFJ118" s="572"/>
      <c r="AFK118" s="573"/>
      <c r="AFL118" s="574"/>
      <c r="AFM118" s="575"/>
      <c r="AFN118" s="583"/>
      <c r="AFO118" s="590"/>
      <c r="AFP118" s="589"/>
      <c r="AFQ118" s="585"/>
      <c r="AFR118" s="577"/>
      <c r="AFS118" s="304"/>
      <c r="AFT118" s="572"/>
      <c r="AFU118" s="573"/>
      <c r="AFV118" s="574"/>
      <c r="AFW118" s="575"/>
      <c r="AFX118" s="583"/>
      <c r="AFY118" s="590"/>
      <c r="AFZ118" s="589"/>
      <c r="AGA118" s="585"/>
      <c r="AGB118" s="577"/>
      <c r="AGC118" s="304"/>
      <c r="AGD118" s="572"/>
      <c r="AGE118" s="573"/>
      <c r="AGF118" s="574"/>
      <c r="AGG118" s="575"/>
      <c r="AGH118" s="583"/>
      <c r="AGI118" s="590"/>
      <c r="AGJ118" s="589"/>
      <c r="AGK118" s="585"/>
      <c r="AGL118" s="577"/>
      <c r="AGM118" s="304"/>
      <c r="AGN118" s="572"/>
      <c r="AGO118" s="573"/>
      <c r="AGP118" s="574"/>
      <c r="AGQ118" s="575"/>
      <c r="AGR118" s="583"/>
      <c r="AGS118" s="590"/>
      <c r="AGT118" s="589"/>
      <c r="AGU118" s="585"/>
      <c r="AGV118" s="577"/>
      <c r="AGW118" s="304"/>
      <c r="AGX118" s="572"/>
      <c r="AGY118" s="573"/>
      <c r="AGZ118" s="574"/>
      <c r="AHA118" s="575"/>
      <c r="AHB118" s="583"/>
      <c r="AHC118" s="590"/>
      <c r="AHD118" s="589"/>
      <c r="AHE118" s="585"/>
      <c r="AHF118" s="577"/>
      <c r="AHG118" s="304"/>
      <c r="AHH118" s="572"/>
      <c r="AHI118" s="573"/>
      <c r="AHJ118" s="574"/>
      <c r="AHK118" s="575"/>
      <c r="AHL118" s="583"/>
      <c r="AHM118" s="590"/>
      <c r="AHN118" s="589"/>
      <c r="AHO118" s="585"/>
      <c r="AHP118" s="577"/>
      <c r="AHQ118" s="304"/>
      <c r="AHR118" s="572"/>
      <c r="AHS118" s="573"/>
      <c r="AHT118" s="574"/>
      <c r="AHU118" s="575"/>
      <c r="AHV118" s="583"/>
      <c r="AHW118" s="590"/>
      <c r="AHX118" s="589"/>
      <c r="AHY118" s="585"/>
      <c r="AHZ118" s="577"/>
      <c r="AIA118" s="304"/>
      <c r="AIB118" s="572"/>
      <c r="AIC118" s="573"/>
      <c r="AID118" s="574"/>
      <c r="AIE118" s="575"/>
      <c r="AIF118" s="583"/>
      <c r="AIG118" s="590"/>
      <c r="AIH118" s="589"/>
      <c r="AII118" s="585"/>
      <c r="AIJ118" s="577"/>
      <c r="AIK118" s="304"/>
      <c r="AIL118" s="572"/>
      <c r="AIM118" s="573"/>
      <c r="AIN118" s="574"/>
      <c r="AIO118" s="575"/>
      <c r="AIP118" s="583"/>
      <c r="AIQ118" s="590"/>
      <c r="AIR118" s="589"/>
      <c r="AIS118" s="585"/>
      <c r="AIT118" s="577"/>
      <c r="AIU118" s="304"/>
      <c r="AIV118" s="572"/>
      <c r="AIW118" s="573"/>
      <c r="AIX118" s="574"/>
      <c r="AIY118" s="575"/>
      <c r="AIZ118" s="583"/>
      <c r="AJA118" s="590"/>
      <c r="AJB118" s="589"/>
      <c r="AJC118" s="585"/>
      <c r="AJD118" s="577"/>
      <c r="AJE118" s="304"/>
      <c r="AJF118" s="572"/>
      <c r="AJG118" s="573"/>
      <c r="AJH118" s="574"/>
      <c r="AJI118" s="575"/>
      <c r="AJJ118" s="583"/>
      <c r="AJK118" s="590"/>
      <c r="AJL118" s="589"/>
      <c r="AJM118" s="585"/>
      <c r="AJN118" s="577"/>
      <c r="AJO118" s="304"/>
      <c r="AJP118" s="572"/>
      <c r="AJQ118" s="573"/>
      <c r="AJR118" s="574"/>
      <c r="AJS118" s="575"/>
      <c r="AJT118" s="583"/>
      <c r="AJU118" s="590"/>
      <c r="AJV118" s="589"/>
      <c r="AJW118" s="585"/>
      <c r="AJX118" s="577"/>
      <c r="AJY118" s="304"/>
      <c r="AJZ118" s="572"/>
      <c r="AKA118" s="573"/>
      <c r="AKB118" s="574"/>
      <c r="AKC118" s="575"/>
      <c r="AKD118" s="583"/>
      <c r="AKE118" s="590"/>
      <c r="AKF118" s="589"/>
      <c r="AKG118" s="585"/>
      <c r="AKH118" s="577"/>
      <c r="AKI118" s="304"/>
      <c r="AKJ118" s="572"/>
      <c r="AKK118" s="573"/>
      <c r="AKL118" s="574"/>
      <c r="AKM118" s="575"/>
      <c r="AKN118" s="583"/>
      <c r="AKO118" s="590"/>
      <c r="AKP118" s="589"/>
      <c r="AKQ118" s="585"/>
      <c r="AKR118" s="577"/>
      <c r="AKS118" s="304"/>
      <c r="AKT118" s="572"/>
      <c r="AKU118" s="573"/>
      <c r="AKV118" s="574"/>
      <c r="AKW118" s="575"/>
      <c r="AKX118" s="583"/>
      <c r="AKY118" s="590"/>
      <c r="AKZ118" s="589"/>
      <c r="ALA118" s="585"/>
      <c r="ALB118" s="577"/>
      <c r="ALC118" s="304"/>
      <c r="ALD118" s="572"/>
      <c r="ALE118" s="573"/>
      <c r="ALF118" s="574"/>
      <c r="ALG118" s="575"/>
      <c r="ALH118" s="583"/>
      <c r="ALI118" s="590"/>
      <c r="ALJ118" s="589"/>
      <c r="ALK118" s="585"/>
      <c r="ALL118" s="577"/>
      <c r="ALM118" s="304"/>
      <c r="ALN118" s="572"/>
      <c r="ALO118" s="573"/>
      <c r="ALP118" s="574"/>
      <c r="ALQ118" s="575"/>
      <c r="ALR118" s="583"/>
      <c r="ALS118" s="590"/>
      <c r="ALT118" s="589"/>
      <c r="ALU118" s="585"/>
      <c r="ALV118" s="577"/>
      <c r="ALW118" s="304"/>
      <c r="ALX118" s="572"/>
      <c r="ALY118" s="573"/>
      <c r="ALZ118" s="574"/>
      <c r="AMA118" s="575"/>
      <c r="AMB118" s="583"/>
      <c r="AMC118" s="590"/>
      <c r="AMD118" s="589"/>
      <c r="AME118" s="585"/>
      <c r="AMF118" s="577"/>
      <c r="AMG118" s="304"/>
      <c r="AMH118" s="572"/>
      <c r="AMI118" s="573"/>
      <c r="AMJ118" s="574"/>
      <c r="AMK118" s="575"/>
      <c r="AML118" s="583"/>
      <c r="AMM118" s="590"/>
      <c r="AMN118" s="589"/>
      <c r="AMO118" s="585"/>
      <c r="AMP118" s="577"/>
      <c r="AMQ118" s="304"/>
      <c r="AMR118" s="572"/>
      <c r="AMS118" s="573"/>
      <c r="AMT118" s="574"/>
      <c r="AMU118" s="575"/>
      <c r="AMV118" s="583"/>
      <c r="AMW118" s="590"/>
      <c r="AMX118" s="589"/>
      <c r="AMY118" s="585"/>
      <c r="AMZ118" s="577"/>
      <c r="ANA118" s="304"/>
      <c r="ANB118" s="572"/>
      <c r="ANC118" s="573"/>
      <c r="AND118" s="574"/>
      <c r="ANE118" s="575"/>
      <c r="ANF118" s="583"/>
      <c r="ANG118" s="590"/>
      <c r="ANH118" s="589"/>
      <c r="ANI118" s="585"/>
      <c r="ANJ118" s="577"/>
      <c r="ANK118" s="304"/>
      <c r="ANL118" s="572"/>
      <c r="ANM118" s="573"/>
      <c r="ANN118" s="574"/>
      <c r="ANO118" s="575"/>
      <c r="ANP118" s="583"/>
      <c r="ANQ118" s="590"/>
      <c r="ANR118" s="589"/>
      <c r="ANS118" s="585"/>
      <c r="ANT118" s="577"/>
      <c r="ANU118" s="304"/>
      <c r="ANV118" s="572"/>
      <c r="ANW118" s="573"/>
      <c r="ANX118" s="574"/>
      <c r="ANY118" s="575"/>
      <c r="ANZ118" s="583"/>
      <c r="AOA118" s="590"/>
      <c r="AOB118" s="589"/>
      <c r="AOC118" s="585"/>
      <c r="AOD118" s="577"/>
      <c r="AOE118" s="304"/>
      <c r="AOF118" s="572"/>
      <c r="AOG118" s="573"/>
      <c r="AOH118" s="574"/>
      <c r="AOI118" s="575"/>
      <c r="AOJ118" s="583"/>
      <c r="AOK118" s="590"/>
      <c r="AOL118" s="589"/>
      <c r="AOM118" s="585"/>
      <c r="AON118" s="577"/>
      <c r="AOO118" s="304"/>
      <c r="AOP118" s="572"/>
      <c r="AOQ118" s="573"/>
      <c r="AOR118" s="574"/>
      <c r="AOS118" s="575"/>
      <c r="AOT118" s="583"/>
      <c r="AOU118" s="590"/>
      <c r="AOV118" s="589"/>
      <c r="AOW118" s="585"/>
      <c r="AOX118" s="577"/>
      <c r="AOY118" s="304"/>
      <c r="AOZ118" s="572"/>
      <c r="APA118" s="573"/>
      <c r="APB118" s="574"/>
      <c r="APC118" s="575"/>
      <c r="APD118" s="583"/>
      <c r="APE118" s="590"/>
      <c r="APF118" s="589"/>
      <c r="APG118" s="585"/>
      <c r="APH118" s="577"/>
      <c r="API118" s="304"/>
      <c r="APJ118" s="572"/>
      <c r="APK118" s="573"/>
      <c r="APL118" s="574"/>
      <c r="APM118" s="575"/>
      <c r="APN118" s="583"/>
      <c r="APO118" s="590"/>
      <c r="APP118" s="589"/>
      <c r="APQ118" s="585"/>
      <c r="APR118" s="577"/>
      <c r="APS118" s="304"/>
      <c r="APT118" s="572"/>
      <c r="APU118" s="573"/>
      <c r="APV118" s="574"/>
      <c r="APW118" s="575"/>
      <c r="APX118" s="583"/>
      <c r="APY118" s="590"/>
      <c r="APZ118" s="589"/>
      <c r="AQA118" s="585"/>
      <c r="AQB118" s="577"/>
      <c r="AQC118" s="304"/>
      <c r="AQD118" s="572"/>
      <c r="AQE118" s="573"/>
      <c r="AQF118" s="574"/>
      <c r="AQG118" s="575"/>
      <c r="AQH118" s="583"/>
      <c r="AQI118" s="590"/>
      <c r="AQJ118" s="589"/>
      <c r="AQK118" s="585"/>
      <c r="AQL118" s="577"/>
      <c r="AQM118" s="304"/>
      <c r="AQN118" s="572"/>
      <c r="AQO118" s="573"/>
      <c r="AQP118" s="574"/>
      <c r="AQQ118" s="575"/>
      <c r="AQR118" s="583"/>
      <c r="AQS118" s="590"/>
      <c r="AQT118" s="589"/>
      <c r="AQU118" s="585"/>
      <c r="AQV118" s="577"/>
      <c r="AQW118" s="304"/>
      <c r="AQX118" s="572"/>
      <c r="AQY118" s="573"/>
      <c r="AQZ118" s="574"/>
      <c r="ARA118" s="575"/>
      <c r="ARB118" s="583"/>
      <c r="ARC118" s="590"/>
      <c r="ARD118" s="589"/>
      <c r="ARE118" s="585"/>
      <c r="ARF118" s="577"/>
      <c r="ARG118" s="304"/>
      <c r="ARH118" s="572"/>
      <c r="ARI118" s="573"/>
      <c r="ARJ118" s="574"/>
      <c r="ARK118" s="575"/>
      <c r="ARL118" s="583"/>
      <c r="ARM118" s="590"/>
      <c r="ARN118" s="589"/>
      <c r="ARO118" s="585"/>
      <c r="ARP118" s="577"/>
      <c r="ARQ118" s="304"/>
      <c r="ARR118" s="572"/>
      <c r="ARS118" s="573"/>
      <c r="ART118" s="574"/>
      <c r="ARU118" s="575"/>
      <c r="ARV118" s="583"/>
      <c r="ARW118" s="590"/>
      <c r="ARX118" s="589"/>
      <c r="ARY118" s="585"/>
      <c r="ARZ118" s="577"/>
      <c r="ASA118" s="304"/>
      <c r="ASB118" s="572"/>
      <c r="ASC118" s="573"/>
      <c r="ASD118" s="574"/>
      <c r="ASE118" s="575"/>
      <c r="ASF118" s="583"/>
      <c r="ASG118" s="590"/>
      <c r="ASH118" s="589"/>
      <c r="ASI118" s="585"/>
      <c r="ASJ118" s="577"/>
      <c r="ASK118" s="304"/>
      <c r="ASL118" s="572"/>
      <c r="ASM118" s="573"/>
      <c r="ASN118" s="574"/>
      <c r="ASO118" s="575"/>
      <c r="ASP118" s="583"/>
      <c r="ASQ118" s="590"/>
      <c r="ASR118" s="589"/>
      <c r="ASS118" s="585"/>
      <c r="AST118" s="577"/>
      <c r="ASU118" s="304"/>
      <c r="ASV118" s="572"/>
      <c r="ASW118" s="573"/>
      <c r="ASX118" s="574"/>
      <c r="ASY118" s="575"/>
      <c r="ASZ118" s="583"/>
      <c r="ATA118" s="590"/>
      <c r="ATB118" s="589"/>
      <c r="ATC118" s="585"/>
      <c r="ATD118" s="577"/>
      <c r="ATE118" s="304"/>
      <c r="ATF118" s="572"/>
      <c r="ATG118" s="573"/>
      <c r="ATH118" s="574"/>
      <c r="ATI118" s="575"/>
      <c r="ATJ118" s="583"/>
      <c r="ATK118" s="590"/>
      <c r="ATL118" s="589"/>
      <c r="ATM118" s="585"/>
      <c r="ATN118" s="577"/>
      <c r="ATO118" s="304"/>
      <c r="ATP118" s="572"/>
      <c r="ATQ118" s="573"/>
      <c r="ATR118" s="574"/>
      <c r="ATS118" s="575"/>
      <c r="ATT118" s="583"/>
      <c r="ATU118" s="590"/>
      <c r="ATV118" s="589"/>
      <c r="ATW118" s="585"/>
      <c r="ATX118" s="577"/>
      <c r="ATY118" s="304"/>
      <c r="ATZ118" s="572"/>
      <c r="AUA118" s="573"/>
      <c r="AUB118" s="574"/>
      <c r="AUC118" s="575"/>
      <c r="AUD118" s="583"/>
      <c r="AUE118" s="590"/>
      <c r="AUF118" s="589"/>
      <c r="AUG118" s="585"/>
      <c r="AUH118" s="577"/>
      <c r="AUI118" s="304"/>
      <c r="AUJ118" s="572"/>
      <c r="AUK118" s="573"/>
      <c r="AUL118" s="574"/>
      <c r="AUM118" s="575"/>
      <c r="AUN118" s="583"/>
      <c r="AUO118" s="590"/>
      <c r="AUP118" s="589"/>
      <c r="AUQ118" s="585"/>
      <c r="AUR118" s="577"/>
      <c r="AUS118" s="304"/>
      <c r="AUT118" s="572"/>
      <c r="AUU118" s="573"/>
      <c r="AUV118" s="574"/>
      <c r="AUW118" s="575"/>
      <c r="AUX118" s="583"/>
      <c r="AUY118" s="590"/>
      <c r="AUZ118" s="589"/>
      <c r="AVA118" s="585"/>
      <c r="AVB118" s="577"/>
      <c r="AVC118" s="304"/>
      <c r="AVD118" s="572"/>
      <c r="AVE118" s="573"/>
      <c r="AVF118" s="574"/>
      <c r="AVG118" s="575"/>
      <c r="AVH118" s="583"/>
      <c r="AVI118" s="590"/>
      <c r="AVJ118" s="589"/>
      <c r="AVK118" s="585"/>
      <c r="AVL118" s="577"/>
      <c r="AVM118" s="304"/>
      <c r="AVN118" s="572"/>
      <c r="AVO118" s="573"/>
      <c r="AVP118" s="574"/>
      <c r="AVQ118" s="575"/>
      <c r="AVR118" s="583"/>
      <c r="AVS118" s="590"/>
      <c r="AVT118" s="589"/>
      <c r="AVU118" s="585"/>
      <c r="AVV118" s="577"/>
      <c r="AVW118" s="304"/>
      <c r="AVX118" s="572"/>
      <c r="AVY118" s="573"/>
      <c r="AVZ118" s="574"/>
      <c r="AWA118" s="575"/>
      <c r="AWB118" s="583"/>
      <c r="AWC118" s="590"/>
      <c r="AWD118" s="589"/>
      <c r="AWE118" s="585"/>
      <c r="AWF118" s="577"/>
      <c r="AWG118" s="304"/>
      <c r="AWH118" s="572"/>
      <c r="AWI118" s="573"/>
      <c r="AWJ118" s="574"/>
      <c r="AWK118" s="575"/>
      <c r="AWL118" s="583"/>
      <c r="AWM118" s="590"/>
      <c r="AWN118" s="589"/>
      <c r="AWO118" s="585"/>
      <c r="AWP118" s="577"/>
      <c r="AWQ118" s="304"/>
      <c r="AWR118" s="572"/>
      <c r="AWS118" s="573"/>
      <c r="AWT118" s="574"/>
      <c r="AWU118" s="575"/>
      <c r="AWV118" s="583"/>
      <c r="AWW118" s="590"/>
      <c r="AWX118" s="589"/>
      <c r="AWY118" s="585"/>
      <c r="AWZ118" s="577"/>
      <c r="AXA118" s="304"/>
      <c r="AXB118" s="572"/>
      <c r="AXC118" s="573"/>
      <c r="AXD118" s="574"/>
      <c r="AXE118" s="575"/>
      <c r="AXF118" s="583"/>
      <c r="AXG118" s="590"/>
      <c r="AXH118" s="589"/>
      <c r="AXI118" s="585"/>
      <c r="AXJ118" s="577"/>
      <c r="AXK118" s="304"/>
      <c r="AXL118" s="572"/>
      <c r="AXM118" s="573"/>
      <c r="AXN118" s="574"/>
      <c r="AXO118" s="575"/>
      <c r="AXP118" s="583"/>
      <c r="AXQ118" s="590"/>
      <c r="AXR118" s="589"/>
      <c r="AXS118" s="585"/>
      <c r="AXT118" s="577"/>
      <c r="AXU118" s="304"/>
      <c r="AXV118" s="572"/>
      <c r="AXW118" s="573"/>
      <c r="AXX118" s="574"/>
      <c r="AXY118" s="575"/>
      <c r="AXZ118" s="583"/>
      <c r="AYA118" s="590"/>
      <c r="AYB118" s="589"/>
      <c r="AYC118" s="585"/>
      <c r="AYD118" s="577"/>
      <c r="AYE118" s="304"/>
      <c r="AYF118" s="572"/>
      <c r="AYG118" s="573"/>
      <c r="AYH118" s="574"/>
      <c r="AYI118" s="575"/>
      <c r="AYJ118" s="583"/>
      <c r="AYK118" s="590"/>
      <c r="AYL118" s="589"/>
      <c r="AYM118" s="585"/>
      <c r="AYN118" s="577"/>
      <c r="AYO118" s="304"/>
      <c r="AYP118" s="572"/>
      <c r="AYQ118" s="573"/>
      <c r="AYR118" s="574"/>
      <c r="AYS118" s="575"/>
      <c r="AYT118" s="583"/>
      <c r="AYU118" s="590"/>
      <c r="AYV118" s="589"/>
      <c r="AYW118" s="585"/>
      <c r="AYX118" s="577"/>
      <c r="AYY118" s="304"/>
      <c r="AYZ118" s="572"/>
      <c r="AZA118" s="573"/>
      <c r="AZB118" s="574"/>
      <c r="AZC118" s="575"/>
      <c r="AZD118" s="583"/>
      <c r="AZE118" s="590"/>
      <c r="AZF118" s="589"/>
      <c r="AZG118" s="585"/>
      <c r="AZH118" s="577"/>
      <c r="AZI118" s="304"/>
      <c r="AZJ118" s="572"/>
      <c r="AZK118" s="573"/>
      <c r="AZL118" s="574"/>
      <c r="AZM118" s="575"/>
      <c r="AZN118" s="583"/>
      <c r="AZO118" s="590"/>
      <c r="AZP118" s="589"/>
      <c r="AZQ118" s="585"/>
      <c r="AZR118" s="577"/>
      <c r="AZS118" s="304"/>
      <c r="AZT118" s="572"/>
      <c r="AZU118" s="573"/>
      <c r="AZV118" s="574"/>
      <c r="AZW118" s="575"/>
      <c r="AZX118" s="583"/>
      <c r="AZY118" s="590"/>
      <c r="AZZ118" s="589"/>
      <c r="BAA118" s="585"/>
      <c r="BAB118" s="577"/>
      <c r="BAC118" s="304"/>
      <c r="BAD118" s="572"/>
      <c r="BAE118" s="573"/>
      <c r="BAF118" s="574"/>
      <c r="BAG118" s="575"/>
      <c r="BAH118" s="583"/>
      <c r="BAI118" s="590"/>
      <c r="BAJ118" s="589"/>
      <c r="BAK118" s="585"/>
      <c r="BAL118" s="577"/>
      <c r="BAM118" s="304"/>
      <c r="BAN118" s="572"/>
      <c r="BAO118" s="573"/>
      <c r="BAP118" s="574"/>
      <c r="BAQ118" s="575"/>
      <c r="BAR118" s="583"/>
      <c r="BAS118" s="590"/>
      <c r="BAT118" s="589"/>
      <c r="BAU118" s="585"/>
      <c r="BAV118" s="577"/>
      <c r="BAW118" s="304"/>
      <c r="BAX118" s="572"/>
      <c r="BAY118" s="573"/>
      <c r="BAZ118" s="574"/>
      <c r="BBA118" s="575"/>
      <c r="BBB118" s="583"/>
      <c r="BBC118" s="590"/>
      <c r="BBD118" s="589"/>
      <c r="BBE118" s="585"/>
      <c r="BBF118" s="577"/>
      <c r="BBG118" s="304"/>
      <c r="BBH118" s="572"/>
      <c r="BBI118" s="573"/>
      <c r="BBJ118" s="574"/>
      <c r="BBK118" s="575"/>
      <c r="BBL118" s="583"/>
      <c r="BBM118" s="590"/>
      <c r="BBN118" s="589"/>
      <c r="BBO118" s="585"/>
      <c r="BBP118" s="577"/>
      <c r="BBQ118" s="304"/>
      <c r="BBR118" s="572"/>
      <c r="BBS118" s="573"/>
      <c r="BBT118" s="574"/>
      <c r="BBU118" s="575"/>
      <c r="BBV118" s="583"/>
      <c r="BBW118" s="590"/>
      <c r="BBX118" s="589"/>
      <c r="BBY118" s="585"/>
      <c r="BBZ118" s="577"/>
      <c r="BCA118" s="304"/>
      <c r="BCB118" s="572"/>
      <c r="BCC118" s="573"/>
      <c r="BCD118" s="574"/>
      <c r="BCE118" s="575"/>
      <c r="BCF118" s="583"/>
      <c r="BCG118" s="590"/>
      <c r="BCH118" s="589"/>
      <c r="BCI118" s="585"/>
      <c r="BCJ118" s="577"/>
      <c r="BCK118" s="304"/>
      <c r="BCL118" s="572"/>
      <c r="BCM118" s="573"/>
      <c r="BCN118" s="574"/>
      <c r="BCO118" s="575"/>
      <c r="BCP118" s="583"/>
      <c r="BCQ118" s="590"/>
      <c r="BCR118" s="589"/>
      <c r="BCS118" s="585"/>
      <c r="BCT118" s="577"/>
      <c r="BCU118" s="304"/>
      <c r="BCV118" s="572"/>
      <c r="BCW118" s="573"/>
      <c r="BCX118" s="574"/>
      <c r="BCY118" s="575"/>
      <c r="BCZ118" s="583"/>
      <c r="BDA118" s="590"/>
      <c r="BDB118" s="589"/>
      <c r="BDC118" s="585"/>
      <c r="BDD118" s="577"/>
      <c r="BDE118" s="304"/>
      <c r="BDF118" s="572"/>
      <c r="BDG118" s="573"/>
      <c r="BDH118" s="574"/>
      <c r="BDI118" s="575"/>
      <c r="BDJ118" s="583"/>
      <c r="BDK118" s="590"/>
      <c r="BDL118" s="589"/>
      <c r="BDM118" s="585"/>
      <c r="BDN118" s="577"/>
      <c r="BDO118" s="304"/>
      <c r="BDP118" s="572"/>
      <c r="BDQ118" s="573"/>
      <c r="BDR118" s="574"/>
      <c r="BDS118" s="575"/>
      <c r="BDT118" s="583"/>
      <c r="BDU118" s="590"/>
      <c r="BDV118" s="589"/>
      <c r="BDW118" s="585"/>
      <c r="BDX118" s="577"/>
      <c r="BDY118" s="304"/>
      <c r="BDZ118" s="572"/>
      <c r="BEA118" s="573"/>
      <c r="BEB118" s="574"/>
      <c r="BEC118" s="575"/>
      <c r="BED118" s="583"/>
      <c r="BEE118" s="590"/>
      <c r="BEF118" s="589"/>
      <c r="BEG118" s="585"/>
      <c r="BEH118" s="577"/>
      <c r="BEI118" s="304"/>
      <c r="BEJ118" s="572"/>
      <c r="BEK118" s="573"/>
      <c r="BEL118" s="574"/>
      <c r="BEM118" s="575"/>
      <c r="BEN118" s="583"/>
      <c r="BEO118" s="590"/>
      <c r="BEP118" s="589"/>
      <c r="BEQ118" s="585"/>
      <c r="BER118" s="577"/>
      <c r="BES118" s="304"/>
      <c r="BET118" s="572"/>
      <c r="BEU118" s="573"/>
      <c r="BEV118" s="574"/>
      <c r="BEW118" s="575"/>
      <c r="BEX118" s="583"/>
      <c r="BEY118" s="590"/>
      <c r="BEZ118" s="589"/>
      <c r="BFA118" s="585"/>
      <c r="BFB118" s="577"/>
      <c r="BFC118" s="304"/>
      <c r="BFD118" s="572"/>
      <c r="BFE118" s="573"/>
      <c r="BFF118" s="574"/>
      <c r="BFG118" s="575"/>
      <c r="BFH118" s="583"/>
      <c r="BFI118" s="590"/>
      <c r="BFJ118" s="589"/>
      <c r="BFK118" s="585"/>
      <c r="BFL118" s="577"/>
      <c r="BFM118" s="304"/>
      <c r="BFN118" s="572"/>
      <c r="BFO118" s="573"/>
      <c r="BFP118" s="574"/>
      <c r="BFQ118" s="575"/>
      <c r="BFR118" s="583"/>
      <c r="BFS118" s="590"/>
      <c r="BFT118" s="589"/>
      <c r="BFU118" s="585"/>
      <c r="BFV118" s="577"/>
      <c r="BFW118" s="304"/>
      <c r="BFX118" s="572"/>
      <c r="BFY118" s="573"/>
      <c r="BFZ118" s="574"/>
      <c r="BGA118" s="575"/>
      <c r="BGB118" s="583"/>
      <c r="BGC118" s="590"/>
      <c r="BGD118" s="589"/>
      <c r="BGE118" s="585"/>
      <c r="BGF118" s="577"/>
      <c r="BGG118" s="304"/>
      <c r="BGH118" s="572"/>
      <c r="BGI118" s="573"/>
      <c r="BGJ118" s="574"/>
      <c r="BGK118" s="575"/>
      <c r="BGL118" s="583"/>
      <c r="BGM118" s="590"/>
      <c r="BGN118" s="589"/>
      <c r="BGO118" s="585"/>
      <c r="BGP118" s="577"/>
      <c r="BGQ118" s="304"/>
      <c r="BGR118" s="572"/>
      <c r="BGS118" s="573"/>
      <c r="BGT118" s="574"/>
      <c r="BGU118" s="575"/>
      <c r="BGV118" s="583"/>
      <c r="BGW118" s="590"/>
      <c r="BGX118" s="589"/>
      <c r="BGY118" s="585"/>
      <c r="BGZ118" s="577"/>
      <c r="BHA118" s="304"/>
      <c r="BHB118" s="572"/>
      <c r="BHC118" s="573"/>
      <c r="BHD118" s="574"/>
      <c r="BHE118" s="575"/>
      <c r="BHF118" s="583"/>
      <c r="BHG118" s="590"/>
      <c r="BHH118" s="589"/>
      <c r="BHI118" s="585"/>
      <c r="BHJ118" s="577"/>
      <c r="BHK118" s="304"/>
      <c r="BHL118" s="572"/>
      <c r="BHM118" s="573"/>
      <c r="BHN118" s="574"/>
      <c r="BHO118" s="575"/>
      <c r="BHP118" s="583"/>
      <c r="BHQ118" s="590"/>
      <c r="BHR118" s="589"/>
      <c r="BHS118" s="585"/>
      <c r="BHT118" s="577"/>
      <c r="BHU118" s="304"/>
      <c r="BHV118" s="572"/>
      <c r="BHW118" s="573"/>
      <c r="BHX118" s="574"/>
      <c r="BHY118" s="575"/>
      <c r="BHZ118" s="583"/>
      <c r="BIA118" s="590"/>
      <c r="BIB118" s="589"/>
      <c r="BIC118" s="585"/>
      <c r="BID118" s="577"/>
      <c r="BIE118" s="304"/>
      <c r="BIF118" s="572"/>
      <c r="BIG118" s="573"/>
      <c r="BIH118" s="574"/>
      <c r="BII118" s="575"/>
      <c r="BIJ118" s="583"/>
      <c r="BIK118" s="590"/>
      <c r="BIL118" s="589"/>
      <c r="BIM118" s="585"/>
      <c r="BIN118" s="577"/>
      <c r="BIO118" s="304"/>
      <c r="BIP118" s="572"/>
      <c r="BIQ118" s="573"/>
      <c r="BIR118" s="574"/>
      <c r="BIS118" s="575"/>
      <c r="BIT118" s="583"/>
      <c r="BIU118" s="590"/>
      <c r="BIV118" s="589"/>
      <c r="BIW118" s="585"/>
      <c r="BIX118" s="577"/>
      <c r="BIY118" s="304"/>
      <c r="BIZ118" s="572"/>
      <c r="BJA118" s="573"/>
      <c r="BJB118" s="574"/>
      <c r="BJC118" s="575"/>
      <c r="BJD118" s="583"/>
      <c r="BJE118" s="590"/>
      <c r="BJF118" s="589"/>
      <c r="BJG118" s="585"/>
      <c r="BJH118" s="577"/>
      <c r="BJI118" s="304"/>
      <c r="BJJ118" s="572"/>
      <c r="BJK118" s="573"/>
      <c r="BJL118" s="574"/>
      <c r="BJM118" s="575"/>
      <c r="BJN118" s="583"/>
      <c r="BJO118" s="590"/>
      <c r="BJP118" s="589"/>
      <c r="BJQ118" s="585"/>
      <c r="BJR118" s="577"/>
      <c r="BJS118" s="304"/>
      <c r="BJT118" s="572"/>
      <c r="BJU118" s="573"/>
      <c r="BJV118" s="574"/>
      <c r="BJW118" s="575"/>
      <c r="BJX118" s="583"/>
      <c r="BJY118" s="590"/>
      <c r="BJZ118" s="589"/>
      <c r="BKA118" s="585"/>
      <c r="BKB118" s="577"/>
      <c r="BKC118" s="304"/>
      <c r="BKD118" s="572"/>
      <c r="BKE118" s="573"/>
      <c r="BKF118" s="574"/>
      <c r="BKG118" s="575"/>
      <c r="BKH118" s="583"/>
      <c r="BKI118" s="590"/>
      <c r="BKJ118" s="589"/>
      <c r="BKK118" s="585"/>
      <c r="BKL118" s="577"/>
      <c r="BKM118" s="304"/>
      <c r="BKN118" s="572"/>
      <c r="BKO118" s="573"/>
      <c r="BKP118" s="574"/>
      <c r="BKQ118" s="575"/>
      <c r="BKR118" s="583"/>
      <c r="BKS118" s="590"/>
      <c r="BKT118" s="589"/>
      <c r="BKU118" s="585"/>
      <c r="BKV118" s="577"/>
      <c r="BKW118" s="304"/>
      <c r="BKX118" s="572"/>
      <c r="BKY118" s="573"/>
      <c r="BKZ118" s="574"/>
      <c r="BLA118" s="575"/>
      <c r="BLB118" s="583"/>
      <c r="BLC118" s="590"/>
      <c r="BLD118" s="589"/>
      <c r="BLE118" s="585"/>
      <c r="BLF118" s="577"/>
      <c r="BLG118" s="304"/>
      <c r="BLH118" s="572"/>
      <c r="BLI118" s="573"/>
      <c r="BLJ118" s="574"/>
      <c r="BLK118" s="575"/>
      <c r="BLL118" s="583"/>
      <c r="BLM118" s="590"/>
      <c r="BLN118" s="589"/>
      <c r="BLO118" s="585"/>
      <c r="BLP118" s="577"/>
      <c r="BLQ118" s="304"/>
      <c r="BLR118" s="572"/>
      <c r="BLS118" s="573"/>
      <c r="BLT118" s="574"/>
      <c r="BLU118" s="575"/>
      <c r="BLV118" s="583"/>
      <c r="BLW118" s="590"/>
      <c r="BLX118" s="589"/>
      <c r="BLY118" s="585"/>
      <c r="BLZ118" s="577"/>
      <c r="BMA118" s="304"/>
      <c r="BMB118" s="572"/>
      <c r="BMC118" s="573"/>
      <c r="BMD118" s="574"/>
      <c r="BME118" s="575"/>
      <c r="BMF118" s="583"/>
      <c r="BMG118" s="590"/>
      <c r="BMH118" s="589"/>
      <c r="BMI118" s="585"/>
      <c r="BMJ118" s="577"/>
      <c r="BMK118" s="304"/>
      <c r="BML118" s="572"/>
      <c r="BMM118" s="573"/>
      <c r="BMN118" s="574"/>
      <c r="BMO118" s="575"/>
      <c r="BMP118" s="583"/>
      <c r="BMQ118" s="590"/>
      <c r="BMR118" s="589"/>
      <c r="BMS118" s="585"/>
      <c r="BMT118" s="577"/>
      <c r="BMU118" s="304"/>
      <c r="BMV118" s="572"/>
      <c r="BMW118" s="573"/>
      <c r="BMX118" s="574"/>
      <c r="BMY118" s="575"/>
      <c r="BMZ118" s="583"/>
      <c r="BNA118" s="590"/>
      <c r="BNB118" s="589"/>
      <c r="BNC118" s="585"/>
      <c r="BND118" s="577"/>
      <c r="BNE118" s="304"/>
      <c r="BNF118" s="572"/>
      <c r="BNG118" s="573"/>
      <c r="BNH118" s="574"/>
      <c r="BNI118" s="575"/>
      <c r="BNJ118" s="583"/>
      <c r="BNK118" s="590"/>
      <c r="BNL118" s="589"/>
      <c r="BNM118" s="585"/>
      <c r="BNN118" s="577"/>
      <c r="BNO118" s="304"/>
      <c r="BNP118" s="572"/>
      <c r="BNQ118" s="573"/>
      <c r="BNR118" s="574"/>
      <c r="BNS118" s="575"/>
      <c r="BNT118" s="583"/>
      <c r="BNU118" s="590"/>
      <c r="BNV118" s="589"/>
      <c r="BNW118" s="585"/>
      <c r="BNX118" s="577"/>
      <c r="BNY118" s="304"/>
      <c r="BNZ118" s="572"/>
      <c r="BOA118" s="573"/>
      <c r="BOB118" s="574"/>
      <c r="BOC118" s="575"/>
      <c r="BOD118" s="583"/>
      <c r="BOE118" s="590"/>
      <c r="BOF118" s="589"/>
      <c r="BOG118" s="585"/>
      <c r="BOH118" s="577"/>
      <c r="BOI118" s="304"/>
      <c r="BOJ118" s="572"/>
      <c r="BOK118" s="573"/>
      <c r="BOL118" s="574"/>
      <c r="BOM118" s="575"/>
      <c r="BON118" s="583"/>
      <c r="BOO118" s="590"/>
      <c r="BOP118" s="589"/>
      <c r="BOQ118" s="585"/>
      <c r="BOR118" s="577"/>
      <c r="BOS118" s="304"/>
      <c r="BOT118" s="572"/>
      <c r="BOU118" s="573"/>
      <c r="BOV118" s="574"/>
      <c r="BOW118" s="575"/>
      <c r="BOX118" s="583"/>
      <c r="BOY118" s="590"/>
      <c r="BOZ118" s="589"/>
      <c r="BPA118" s="585"/>
      <c r="BPB118" s="577"/>
      <c r="BPC118" s="304"/>
      <c r="BPD118" s="572"/>
      <c r="BPE118" s="573"/>
      <c r="BPF118" s="574"/>
      <c r="BPG118" s="575"/>
      <c r="BPH118" s="583"/>
      <c r="BPI118" s="590"/>
      <c r="BPJ118" s="589"/>
      <c r="BPK118" s="585"/>
      <c r="BPL118" s="577"/>
      <c r="BPM118" s="304"/>
      <c r="BPN118" s="572"/>
      <c r="BPO118" s="573"/>
      <c r="BPP118" s="574"/>
      <c r="BPQ118" s="575"/>
      <c r="BPR118" s="583"/>
      <c r="BPS118" s="590"/>
      <c r="BPT118" s="589"/>
      <c r="BPU118" s="585"/>
      <c r="BPV118" s="577"/>
      <c r="BPW118" s="304"/>
      <c r="BPX118" s="572"/>
      <c r="BPY118" s="573"/>
      <c r="BPZ118" s="574"/>
      <c r="BQA118" s="575"/>
      <c r="BQB118" s="583"/>
      <c r="BQC118" s="590"/>
      <c r="BQD118" s="589"/>
      <c r="BQE118" s="585"/>
      <c r="BQF118" s="577"/>
      <c r="BQG118" s="304"/>
      <c r="BQH118" s="572"/>
      <c r="BQI118" s="573"/>
      <c r="BQJ118" s="574"/>
      <c r="BQK118" s="575"/>
      <c r="BQL118" s="583"/>
      <c r="BQM118" s="590"/>
      <c r="BQN118" s="589"/>
      <c r="BQO118" s="585"/>
      <c r="BQP118" s="577"/>
      <c r="BQQ118" s="304"/>
      <c r="BQR118" s="572"/>
      <c r="BQS118" s="573"/>
      <c r="BQT118" s="574"/>
      <c r="BQU118" s="575"/>
      <c r="BQV118" s="583"/>
      <c r="BQW118" s="590"/>
      <c r="BQX118" s="589"/>
      <c r="BQY118" s="585"/>
      <c r="BQZ118" s="577"/>
      <c r="BRA118" s="304"/>
      <c r="BRB118" s="572"/>
      <c r="BRC118" s="573"/>
      <c r="BRD118" s="574"/>
      <c r="BRE118" s="575"/>
      <c r="BRF118" s="583"/>
      <c r="BRG118" s="590"/>
      <c r="BRH118" s="589"/>
      <c r="BRI118" s="585"/>
      <c r="BRJ118" s="577"/>
      <c r="BRK118" s="304"/>
      <c r="BRL118" s="572"/>
      <c r="BRM118" s="573"/>
      <c r="BRN118" s="574"/>
      <c r="BRO118" s="575"/>
      <c r="BRP118" s="583"/>
      <c r="BRQ118" s="590"/>
      <c r="BRR118" s="589"/>
      <c r="BRS118" s="585"/>
      <c r="BRT118" s="577"/>
      <c r="BRU118" s="304"/>
      <c r="BRV118" s="572"/>
      <c r="BRW118" s="573"/>
      <c r="BRX118" s="574"/>
      <c r="BRY118" s="575"/>
      <c r="BRZ118" s="583"/>
      <c r="BSA118" s="590"/>
      <c r="BSB118" s="589"/>
      <c r="BSC118" s="585"/>
      <c r="BSD118" s="577"/>
      <c r="BSE118" s="304"/>
      <c r="BSF118" s="572"/>
      <c r="BSG118" s="573"/>
      <c r="BSH118" s="574"/>
      <c r="BSI118" s="575"/>
      <c r="BSJ118" s="583"/>
      <c r="BSK118" s="590"/>
      <c r="BSL118" s="589"/>
      <c r="BSM118" s="585"/>
      <c r="BSN118" s="577"/>
      <c r="BSO118" s="304"/>
      <c r="BSP118" s="572"/>
      <c r="BSQ118" s="573"/>
      <c r="BSR118" s="574"/>
      <c r="BSS118" s="575"/>
      <c r="BST118" s="583"/>
      <c r="BSU118" s="590"/>
      <c r="BSV118" s="589"/>
      <c r="BSW118" s="585"/>
      <c r="BSX118" s="577"/>
      <c r="BSY118" s="304"/>
      <c r="BSZ118" s="572"/>
      <c r="BTA118" s="573"/>
      <c r="BTB118" s="574"/>
      <c r="BTC118" s="575"/>
      <c r="BTD118" s="583"/>
      <c r="BTE118" s="590"/>
      <c r="BTF118" s="589"/>
      <c r="BTG118" s="585"/>
      <c r="BTH118" s="577"/>
      <c r="BTI118" s="304"/>
      <c r="BTJ118" s="572"/>
      <c r="BTK118" s="573"/>
      <c r="BTL118" s="574"/>
      <c r="BTM118" s="575"/>
      <c r="BTN118" s="583"/>
      <c r="BTO118" s="590"/>
      <c r="BTP118" s="589"/>
      <c r="BTQ118" s="585"/>
      <c r="BTR118" s="577"/>
      <c r="BTS118" s="304"/>
      <c r="BTT118" s="572"/>
      <c r="BTU118" s="573"/>
      <c r="BTV118" s="574"/>
      <c r="BTW118" s="575"/>
      <c r="BTX118" s="583"/>
      <c r="BTY118" s="590"/>
      <c r="BTZ118" s="589"/>
      <c r="BUA118" s="585"/>
      <c r="BUB118" s="577"/>
      <c r="BUC118" s="304"/>
      <c r="BUD118" s="572"/>
      <c r="BUE118" s="573"/>
      <c r="BUF118" s="574"/>
      <c r="BUG118" s="575"/>
      <c r="BUH118" s="583"/>
      <c r="BUI118" s="590"/>
      <c r="BUJ118" s="589"/>
      <c r="BUK118" s="585"/>
      <c r="BUL118" s="577"/>
      <c r="BUM118" s="304"/>
      <c r="BUN118" s="572"/>
      <c r="BUO118" s="573"/>
      <c r="BUP118" s="574"/>
      <c r="BUQ118" s="575"/>
      <c r="BUR118" s="583"/>
      <c r="BUS118" s="590"/>
      <c r="BUT118" s="589"/>
      <c r="BUU118" s="585"/>
      <c r="BUV118" s="577"/>
      <c r="BUW118" s="304"/>
      <c r="BUX118" s="572"/>
      <c r="BUY118" s="573"/>
      <c r="BUZ118" s="574"/>
      <c r="BVA118" s="575"/>
      <c r="BVB118" s="583"/>
      <c r="BVC118" s="590"/>
      <c r="BVD118" s="589"/>
      <c r="BVE118" s="585"/>
      <c r="BVF118" s="577"/>
      <c r="BVG118" s="304"/>
      <c r="BVH118" s="572"/>
      <c r="BVI118" s="573"/>
      <c r="BVJ118" s="574"/>
      <c r="BVK118" s="575"/>
      <c r="BVL118" s="583"/>
      <c r="BVM118" s="590"/>
      <c r="BVN118" s="589"/>
      <c r="BVO118" s="585"/>
      <c r="BVP118" s="577"/>
      <c r="BVQ118" s="304"/>
      <c r="BVR118" s="572"/>
      <c r="BVS118" s="573"/>
      <c r="BVT118" s="574"/>
      <c r="BVU118" s="575"/>
      <c r="BVV118" s="583"/>
      <c r="BVW118" s="590"/>
      <c r="BVX118" s="589"/>
      <c r="BVY118" s="585"/>
      <c r="BVZ118" s="577"/>
      <c r="BWA118" s="304"/>
      <c r="BWB118" s="572"/>
      <c r="BWC118" s="573"/>
      <c r="BWD118" s="574"/>
      <c r="BWE118" s="575"/>
      <c r="BWF118" s="583"/>
      <c r="BWG118" s="590"/>
      <c r="BWH118" s="589"/>
      <c r="BWI118" s="585"/>
      <c r="BWJ118" s="577"/>
      <c r="BWK118" s="304"/>
      <c r="BWL118" s="572"/>
      <c r="BWM118" s="573"/>
      <c r="BWN118" s="574"/>
      <c r="BWO118" s="575"/>
      <c r="BWP118" s="583"/>
      <c r="BWQ118" s="590"/>
      <c r="BWR118" s="589"/>
      <c r="BWS118" s="585"/>
      <c r="BWT118" s="577"/>
      <c r="BWU118" s="304"/>
      <c r="BWV118" s="572"/>
      <c r="BWW118" s="573"/>
      <c r="BWX118" s="574"/>
      <c r="BWY118" s="575"/>
      <c r="BWZ118" s="583"/>
      <c r="BXA118" s="590"/>
      <c r="BXB118" s="589"/>
      <c r="BXC118" s="585"/>
      <c r="BXD118" s="577"/>
      <c r="BXE118" s="304"/>
      <c r="BXF118" s="572"/>
      <c r="BXG118" s="573"/>
      <c r="BXH118" s="574"/>
      <c r="BXI118" s="575"/>
      <c r="BXJ118" s="583"/>
      <c r="BXK118" s="590"/>
      <c r="BXL118" s="589"/>
      <c r="BXM118" s="585"/>
      <c r="BXN118" s="577"/>
      <c r="BXO118" s="304"/>
      <c r="BXP118" s="572"/>
      <c r="BXQ118" s="573"/>
      <c r="BXR118" s="574"/>
      <c r="BXS118" s="575"/>
      <c r="BXT118" s="583"/>
      <c r="BXU118" s="590"/>
      <c r="BXV118" s="589"/>
      <c r="BXW118" s="585"/>
      <c r="BXX118" s="577"/>
      <c r="BXY118" s="304"/>
      <c r="BXZ118" s="572"/>
      <c r="BYA118" s="573"/>
      <c r="BYB118" s="574"/>
      <c r="BYC118" s="575"/>
      <c r="BYD118" s="583"/>
      <c r="BYE118" s="590"/>
      <c r="BYF118" s="589"/>
      <c r="BYG118" s="585"/>
      <c r="BYH118" s="577"/>
      <c r="BYI118" s="304"/>
      <c r="BYJ118" s="572"/>
      <c r="BYK118" s="573"/>
      <c r="BYL118" s="574"/>
      <c r="BYM118" s="575"/>
      <c r="BYN118" s="583"/>
      <c r="BYO118" s="590"/>
      <c r="BYP118" s="589"/>
      <c r="BYQ118" s="585"/>
      <c r="BYR118" s="577"/>
      <c r="BYS118" s="304"/>
      <c r="BYT118" s="572"/>
      <c r="BYU118" s="573"/>
      <c r="BYV118" s="574"/>
      <c r="BYW118" s="575"/>
      <c r="BYX118" s="583"/>
      <c r="BYY118" s="590"/>
      <c r="BYZ118" s="589"/>
      <c r="BZA118" s="585"/>
      <c r="BZB118" s="577"/>
      <c r="BZC118" s="304"/>
      <c r="BZD118" s="572"/>
      <c r="BZE118" s="573"/>
      <c r="BZF118" s="574"/>
      <c r="BZG118" s="575"/>
      <c r="BZH118" s="583"/>
      <c r="BZI118" s="590"/>
      <c r="BZJ118" s="589"/>
      <c r="BZK118" s="585"/>
      <c r="BZL118" s="577"/>
      <c r="BZM118" s="304"/>
      <c r="BZN118" s="572"/>
      <c r="BZO118" s="573"/>
      <c r="BZP118" s="574"/>
      <c r="BZQ118" s="575"/>
      <c r="BZR118" s="583"/>
      <c r="BZS118" s="590"/>
      <c r="BZT118" s="589"/>
      <c r="BZU118" s="585"/>
      <c r="BZV118" s="577"/>
      <c r="BZW118" s="304"/>
      <c r="BZX118" s="572"/>
      <c r="BZY118" s="573"/>
      <c r="BZZ118" s="574"/>
      <c r="CAA118" s="575"/>
      <c r="CAB118" s="583"/>
      <c r="CAC118" s="590"/>
      <c r="CAD118" s="589"/>
      <c r="CAE118" s="585"/>
      <c r="CAF118" s="577"/>
      <c r="CAG118" s="304"/>
      <c r="CAH118" s="572"/>
      <c r="CAI118" s="573"/>
      <c r="CAJ118" s="574"/>
      <c r="CAK118" s="575"/>
      <c r="CAL118" s="583"/>
      <c r="CAM118" s="590"/>
      <c r="CAN118" s="589"/>
      <c r="CAO118" s="585"/>
      <c r="CAP118" s="577"/>
      <c r="CAQ118" s="304"/>
      <c r="CAR118" s="572"/>
      <c r="CAS118" s="573"/>
      <c r="CAT118" s="574"/>
      <c r="CAU118" s="575"/>
      <c r="CAV118" s="583"/>
      <c r="CAW118" s="590"/>
      <c r="CAX118" s="589"/>
      <c r="CAY118" s="585"/>
      <c r="CAZ118" s="577"/>
      <c r="CBA118" s="304"/>
      <c r="CBB118" s="572"/>
      <c r="CBC118" s="573"/>
      <c r="CBD118" s="574"/>
      <c r="CBE118" s="575"/>
      <c r="CBF118" s="583"/>
      <c r="CBG118" s="590"/>
      <c r="CBH118" s="589"/>
      <c r="CBI118" s="585"/>
      <c r="CBJ118" s="577"/>
      <c r="CBK118" s="304"/>
      <c r="CBL118" s="572"/>
      <c r="CBM118" s="573"/>
      <c r="CBN118" s="574"/>
      <c r="CBO118" s="575"/>
      <c r="CBP118" s="583"/>
      <c r="CBQ118" s="590"/>
      <c r="CBR118" s="589"/>
      <c r="CBS118" s="585"/>
      <c r="CBT118" s="577"/>
      <c r="CBU118" s="304"/>
      <c r="CBV118" s="572"/>
      <c r="CBW118" s="573"/>
      <c r="CBX118" s="574"/>
      <c r="CBY118" s="575"/>
      <c r="CBZ118" s="583"/>
      <c r="CCA118" s="590"/>
      <c r="CCB118" s="589"/>
      <c r="CCC118" s="585"/>
      <c r="CCD118" s="577"/>
      <c r="CCE118" s="304"/>
      <c r="CCF118" s="572"/>
      <c r="CCG118" s="573"/>
      <c r="CCH118" s="574"/>
      <c r="CCI118" s="575"/>
      <c r="CCJ118" s="583"/>
      <c r="CCK118" s="590"/>
      <c r="CCL118" s="589"/>
      <c r="CCM118" s="585"/>
      <c r="CCN118" s="577"/>
      <c r="CCO118" s="304"/>
      <c r="CCP118" s="572"/>
      <c r="CCQ118" s="573"/>
      <c r="CCR118" s="574"/>
      <c r="CCS118" s="575"/>
      <c r="CCT118" s="583"/>
      <c r="CCU118" s="590"/>
      <c r="CCV118" s="589"/>
      <c r="CCW118" s="585"/>
      <c r="CCX118" s="577"/>
      <c r="CCY118" s="304"/>
      <c r="CCZ118" s="572"/>
      <c r="CDA118" s="573"/>
      <c r="CDB118" s="574"/>
      <c r="CDC118" s="575"/>
      <c r="CDD118" s="583"/>
      <c r="CDE118" s="590"/>
      <c r="CDF118" s="589"/>
      <c r="CDG118" s="585"/>
      <c r="CDH118" s="577"/>
      <c r="CDI118" s="304"/>
      <c r="CDJ118" s="572"/>
      <c r="CDK118" s="573"/>
      <c r="CDL118" s="574"/>
      <c r="CDM118" s="575"/>
      <c r="CDN118" s="583"/>
      <c r="CDO118" s="590"/>
      <c r="CDP118" s="589"/>
      <c r="CDQ118" s="585"/>
      <c r="CDR118" s="577"/>
      <c r="CDS118" s="304"/>
      <c r="CDT118" s="572"/>
      <c r="CDU118" s="573"/>
      <c r="CDV118" s="574"/>
      <c r="CDW118" s="575"/>
      <c r="CDX118" s="583"/>
      <c r="CDY118" s="590"/>
      <c r="CDZ118" s="589"/>
      <c r="CEA118" s="585"/>
      <c r="CEB118" s="577"/>
      <c r="CEC118" s="304"/>
      <c r="CED118" s="572"/>
      <c r="CEE118" s="573"/>
      <c r="CEF118" s="574"/>
      <c r="CEG118" s="575"/>
      <c r="CEH118" s="583"/>
      <c r="CEI118" s="590"/>
      <c r="CEJ118" s="589"/>
      <c r="CEK118" s="585"/>
      <c r="CEL118" s="577"/>
      <c r="CEM118" s="304"/>
      <c r="CEN118" s="572"/>
      <c r="CEO118" s="573"/>
      <c r="CEP118" s="574"/>
      <c r="CEQ118" s="575"/>
      <c r="CER118" s="583"/>
      <c r="CES118" s="590"/>
      <c r="CET118" s="589"/>
      <c r="CEU118" s="585"/>
      <c r="CEV118" s="577"/>
      <c r="CEW118" s="304"/>
      <c r="CEX118" s="572"/>
      <c r="CEY118" s="573"/>
      <c r="CEZ118" s="574"/>
      <c r="CFA118" s="575"/>
      <c r="CFB118" s="583"/>
      <c r="CFC118" s="590"/>
      <c r="CFD118" s="589"/>
      <c r="CFE118" s="585"/>
      <c r="CFF118" s="577"/>
      <c r="CFG118" s="304"/>
      <c r="CFH118" s="572"/>
      <c r="CFI118" s="573"/>
      <c r="CFJ118" s="574"/>
      <c r="CFK118" s="575"/>
      <c r="CFL118" s="583"/>
      <c r="CFM118" s="590"/>
      <c r="CFN118" s="589"/>
      <c r="CFO118" s="585"/>
      <c r="CFP118" s="577"/>
      <c r="CFQ118" s="304"/>
      <c r="CFR118" s="572"/>
      <c r="CFS118" s="573"/>
      <c r="CFT118" s="574"/>
      <c r="CFU118" s="575"/>
      <c r="CFV118" s="583"/>
      <c r="CFW118" s="590"/>
      <c r="CFX118" s="589"/>
      <c r="CFY118" s="585"/>
      <c r="CFZ118" s="577"/>
      <c r="CGA118" s="304"/>
      <c r="CGB118" s="572"/>
      <c r="CGC118" s="573"/>
      <c r="CGD118" s="574"/>
      <c r="CGE118" s="575"/>
      <c r="CGF118" s="583"/>
      <c r="CGG118" s="590"/>
      <c r="CGH118" s="589"/>
      <c r="CGI118" s="585"/>
      <c r="CGJ118" s="577"/>
      <c r="CGK118" s="304"/>
      <c r="CGL118" s="572"/>
      <c r="CGM118" s="573"/>
      <c r="CGN118" s="574"/>
      <c r="CGO118" s="575"/>
      <c r="CGP118" s="583"/>
      <c r="CGQ118" s="590"/>
      <c r="CGR118" s="589"/>
      <c r="CGS118" s="585"/>
      <c r="CGT118" s="577"/>
      <c r="CGU118" s="304"/>
      <c r="CGV118" s="572"/>
      <c r="CGW118" s="573"/>
      <c r="CGX118" s="574"/>
      <c r="CGY118" s="575"/>
      <c r="CGZ118" s="583"/>
      <c r="CHA118" s="590"/>
      <c r="CHB118" s="589"/>
      <c r="CHC118" s="585"/>
      <c r="CHD118" s="577"/>
      <c r="CHE118" s="304"/>
      <c r="CHF118" s="572"/>
      <c r="CHG118" s="573"/>
      <c r="CHH118" s="574"/>
      <c r="CHI118" s="575"/>
      <c r="CHJ118" s="583"/>
      <c r="CHK118" s="590"/>
      <c r="CHL118" s="589"/>
      <c r="CHM118" s="585"/>
      <c r="CHN118" s="577"/>
      <c r="CHO118" s="304"/>
      <c r="CHP118" s="572"/>
      <c r="CHQ118" s="573"/>
      <c r="CHR118" s="574"/>
      <c r="CHS118" s="575"/>
      <c r="CHT118" s="583"/>
      <c r="CHU118" s="590"/>
      <c r="CHV118" s="589"/>
      <c r="CHW118" s="585"/>
      <c r="CHX118" s="577"/>
      <c r="CHY118" s="304"/>
      <c r="CHZ118" s="572"/>
      <c r="CIA118" s="573"/>
      <c r="CIB118" s="574"/>
      <c r="CIC118" s="575"/>
      <c r="CID118" s="583"/>
      <c r="CIE118" s="590"/>
      <c r="CIF118" s="589"/>
      <c r="CIG118" s="585"/>
      <c r="CIH118" s="577"/>
      <c r="CII118" s="304"/>
      <c r="CIJ118" s="572"/>
      <c r="CIK118" s="573"/>
      <c r="CIL118" s="574"/>
      <c r="CIM118" s="575"/>
      <c r="CIN118" s="583"/>
      <c r="CIO118" s="590"/>
      <c r="CIP118" s="589"/>
      <c r="CIQ118" s="585"/>
      <c r="CIR118" s="577"/>
      <c r="CIS118" s="304"/>
      <c r="CIT118" s="572"/>
      <c r="CIU118" s="573"/>
      <c r="CIV118" s="574"/>
      <c r="CIW118" s="575"/>
      <c r="CIX118" s="583"/>
      <c r="CIY118" s="590"/>
      <c r="CIZ118" s="589"/>
      <c r="CJA118" s="585"/>
      <c r="CJB118" s="577"/>
      <c r="CJC118" s="304"/>
      <c r="CJD118" s="572"/>
      <c r="CJE118" s="573"/>
      <c r="CJF118" s="574"/>
      <c r="CJG118" s="575"/>
      <c r="CJH118" s="583"/>
      <c r="CJI118" s="590"/>
      <c r="CJJ118" s="589"/>
      <c r="CJK118" s="585"/>
      <c r="CJL118" s="577"/>
      <c r="CJM118" s="304"/>
      <c r="CJN118" s="572"/>
      <c r="CJO118" s="573"/>
      <c r="CJP118" s="574"/>
      <c r="CJQ118" s="575"/>
      <c r="CJR118" s="583"/>
      <c r="CJS118" s="590"/>
      <c r="CJT118" s="589"/>
      <c r="CJU118" s="585"/>
      <c r="CJV118" s="577"/>
      <c r="CJW118" s="304"/>
      <c r="CJX118" s="572"/>
      <c r="CJY118" s="573"/>
      <c r="CJZ118" s="574"/>
      <c r="CKA118" s="575"/>
      <c r="CKB118" s="583"/>
      <c r="CKC118" s="590"/>
      <c r="CKD118" s="589"/>
      <c r="CKE118" s="585"/>
      <c r="CKF118" s="577"/>
      <c r="CKG118" s="304"/>
      <c r="CKH118" s="572"/>
      <c r="CKI118" s="573"/>
      <c r="CKJ118" s="574"/>
      <c r="CKK118" s="575"/>
      <c r="CKL118" s="583"/>
      <c r="CKM118" s="590"/>
      <c r="CKN118" s="589"/>
      <c r="CKO118" s="585"/>
      <c r="CKP118" s="577"/>
      <c r="CKQ118" s="304"/>
      <c r="CKR118" s="572"/>
      <c r="CKS118" s="573"/>
      <c r="CKT118" s="574"/>
      <c r="CKU118" s="575"/>
      <c r="CKV118" s="583"/>
      <c r="CKW118" s="590"/>
      <c r="CKX118" s="589"/>
      <c r="CKY118" s="585"/>
      <c r="CKZ118" s="577"/>
      <c r="CLA118" s="304"/>
      <c r="CLB118" s="572"/>
      <c r="CLC118" s="573"/>
      <c r="CLD118" s="574"/>
      <c r="CLE118" s="575"/>
      <c r="CLF118" s="583"/>
      <c r="CLG118" s="590"/>
      <c r="CLH118" s="589"/>
      <c r="CLI118" s="585"/>
      <c r="CLJ118" s="577"/>
      <c r="CLK118" s="304"/>
      <c r="CLL118" s="572"/>
      <c r="CLM118" s="573"/>
      <c r="CLN118" s="574"/>
      <c r="CLO118" s="575"/>
      <c r="CLP118" s="583"/>
      <c r="CLQ118" s="590"/>
      <c r="CLR118" s="589"/>
      <c r="CLS118" s="585"/>
      <c r="CLT118" s="577"/>
      <c r="CLU118" s="304"/>
      <c r="CLV118" s="572"/>
      <c r="CLW118" s="573"/>
      <c r="CLX118" s="574"/>
      <c r="CLY118" s="575"/>
      <c r="CLZ118" s="583"/>
      <c r="CMA118" s="590"/>
      <c r="CMB118" s="589"/>
      <c r="CMC118" s="585"/>
      <c r="CMD118" s="577"/>
      <c r="CME118" s="304"/>
      <c r="CMF118" s="572"/>
      <c r="CMG118" s="573"/>
      <c r="CMH118" s="574"/>
      <c r="CMI118" s="575"/>
      <c r="CMJ118" s="583"/>
      <c r="CMK118" s="590"/>
      <c r="CML118" s="589"/>
      <c r="CMM118" s="585"/>
      <c r="CMN118" s="577"/>
      <c r="CMO118" s="304"/>
      <c r="CMP118" s="572"/>
      <c r="CMQ118" s="573"/>
      <c r="CMR118" s="574"/>
      <c r="CMS118" s="575"/>
      <c r="CMT118" s="583"/>
      <c r="CMU118" s="590"/>
      <c r="CMV118" s="589"/>
      <c r="CMW118" s="585"/>
      <c r="CMX118" s="577"/>
      <c r="CMY118" s="304"/>
      <c r="CMZ118" s="572"/>
      <c r="CNA118" s="573"/>
      <c r="CNB118" s="574"/>
      <c r="CNC118" s="575"/>
      <c r="CND118" s="583"/>
      <c r="CNE118" s="590"/>
      <c r="CNF118" s="589"/>
      <c r="CNG118" s="585"/>
      <c r="CNH118" s="577"/>
      <c r="CNI118" s="304"/>
      <c r="CNJ118" s="572"/>
      <c r="CNK118" s="573"/>
      <c r="CNL118" s="574"/>
      <c r="CNM118" s="575"/>
      <c r="CNN118" s="583"/>
      <c r="CNO118" s="590"/>
      <c r="CNP118" s="589"/>
      <c r="CNQ118" s="585"/>
      <c r="CNR118" s="577"/>
      <c r="CNS118" s="304"/>
      <c r="CNT118" s="572"/>
      <c r="CNU118" s="573"/>
      <c r="CNV118" s="574"/>
      <c r="CNW118" s="575"/>
      <c r="CNX118" s="583"/>
      <c r="CNY118" s="590"/>
      <c r="CNZ118" s="589"/>
      <c r="COA118" s="585"/>
      <c r="COB118" s="577"/>
      <c r="COC118" s="304"/>
      <c r="COD118" s="572"/>
      <c r="COE118" s="573"/>
      <c r="COF118" s="574"/>
      <c r="COG118" s="575"/>
      <c r="COH118" s="583"/>
      <c r="COI118" s="590"/>
      <c r="COJ118" s="589"/>
      <c r="COK118" s="585"/>
      <c r="COL118" s="577"/>
      <c r="COM118" s="304"/>
      <c r="CON118" s="572"/>
      <c r="COO118" s="573"/>
      <c r="COP118" s="574"/>
      <c r="COQ118" s="575"/>
      <c r="COR118" s="583"/>
      <c r="COS118" s="590"/>
      <c r="COT118" s="589"/>
      <c r="COU118" s="585"/>
      <c r="COV118" s="577"/>
      <c r="COW118" s="304"/>
      <c r="COX118" s="572"/>
      <c r="COY118" s="573"/>
      <c r="COZ118" s="574"/>
      <c r="CPA118" s="575"/>
      <c r="CPB118" s="583"/>
      <c r="CPC118" s="590"/>
      <c r="CPD118" s="589"/>
      <c r="CPE118" s="585"/>
      <c r="CPF118" s="577"/>
      <c r="CPG118" s="304"/>
      <c r="CPH118" s="572"/>
      <c r="CPI118" s="573"/>
      <c r="CPJ118" s="574"/>
      <c r="CPK118" s="575"/>
      <c r="CPL118" s="583"/>
      <c r="CPM118" s="590"/>
      <c r="CPN118" s="589"/>
      <c r="CPO118" s="585"/>
      <c r="CPP118" s="577"/>
      <c r="CPQ118" s="304"/>
      <c r="CPR118" s="572"/>
      <c r="CPS118" s="573"/>
      <c r="CPT118" s="574"/>
      <c r="CPU118" s="575"/>
      <c r="CPV118" s="583"/>
      <c r="CPW118" s="590"/>
      <c r="CPX118" s="589"/>
      <c r="CPY118" s="585"/>
      <c r="CPZ118" s="577"/>
      <c r="CQA118" s="304"/>
      <c r="CQB118" s="572"/>
      <c r="CQC118" s="573"/>
      <c r="CQD118" s="574"/>
      <c r="CQE118" s="575"/>
      <c r="CQF118" s="583"/>
      <c r="CQG118" s="590"/>
      <c r="CQH118" s="589"/>
      <c r="CQI118" s="585"/>
      <c r="CQJ118" s="577"/>
      <c r="CQK118" s="304"/>
      <c r="CQL118" s="572"/>
      <c r="CQM118" s="573"/>
      <c r="CQN118" s="574"/>
      <c r="CQO118" s="575"/>
      <c r="CQP118" s="583"/>
      <c r="CQQ118" s="590"/>
      <c r="CQR118" s="589"/>
      <c r="CQS118" s="585"/>
      <c r="CQT118" s="577"/>
      <c r="CQU118" s="304"/>
      <c r="CQV118" s="572"/>
      <c r="CQW118" s="573"/>
      <c r="CQX118" s="574"/>
      <c r="CQY118" s="575"/>
      <c r="CQZ118" s="583"/>
      <c r="CRA118" s="590"/>
      <c r="CRB118" s="589"/>
      <c r="CRC118" s="585"/>
      <c r="CRD118" s="577"/>
      <c r="CRE118" s="304"/>
      <c r="CRF118" s="572"/>
      <c r="CRG118" s="573"/>
      <c r="CRH118" s="574"/>
      <c r="CRI118" s="575"/>
      <c r="CRJ118" s="583"/>
      <c r="CRK118" s="590"/>
      <c r="CRL118" s="589"/>
      <c r="CRM118" s="585"/>
      <c r="CRN118" s="577"/>
      <c r="CRO118" s="304"/>
      <c r="CRP118" s="572"/>
      <c r="CRQ118" s="573"/>
      <c r="CRR118" s="574"/>
      <c r="CRS118" s="575"/>
      <c r="CRT118" s="583"/>
      <c r="CRU118" s="590"/>
      <c r="CRV118" s="589"/>
      <c r="CRW118" s="585"/>
      <c r="CRX118" s="577"/>
      <c r="CRY118" s="304"/>
      <c r="CRZ118" s="572"/>
      <c r="CSA118" s="573"/>
      <c r="CSB118" s="574"/>
      <c r="CSC118" s="575"/>
      <c r="CSD118" s="583"/>
      <c r="CSE118" s="590"/>
      <c r="CSF118" s="589"/>
      <c r="CSG118" s="585"/>
      <c r="CSH118" s="577"/>
      <c r="CSI118" s="304"/>
      <c r="CSJ118" s="572"/>
      <c r="CSK118" s="573"/>
      <c r="CSL118" s="574"/>
      <c r="CSM118" s="575"/>
      <c r="CSN118" s="583"/>
      <c r="CSO118" s="590"/>
      <c r="CSP118" s="589"/>
      <c r="CSQ118" s="585"/>
      <c r="CSR118" s="577"/>
      <c r="CSS118" s="304"/>
      <c r="CST118" s="572"/>
      <c r="CSU118" s="573"/>
      <c r="CSV118" s="574"/>
      <c r="CSW118" s="575"/>
      <c r="CSX118" s="583"/>
      <c r="CSY118" s="590"/>
      <c r="CSZ118" s="589"/>
      <c r="CTA118" s="585"/>
      <c r="CTB118" s="577"/>
      <c r="CTC118" s="304"/>
      <c r="CTD118" s="572"/>
      <c r="CTE118" s="573"/>
      <c r="CTF118" s="574"/>
      <c r="CTG118" s="575"/>
      <c r="CTH118" s="583"/>
      <c r="CTI118" s="590"/>
      <c r="CTJ118" s="589"/>
      <c r="CTK118" s="585"/>
      <c r="CTL118" s="577"/>
      <c r="CTM118" s="304"/>
      <c r="CTN118" s="572"/>
      <c r="CTO118" s="573"/>
      <c r="CTP118" s="574"/>
      <c r="CTQ118" s="575"/>
      <c r="CTR118" s="583"/>
      <c r="CTS118" s="590"/>
      <c r="CTT118" s="589"/>
      <c r="CTU118" s="585"/>
      <c r="CTV118" s="577"/>
      <c r="CTW118" s="304"/>
      <c r="CTX118" s="572"/>
      <c r="CTY118" s="573"/>
      <c r="CTZ118" s="574"/>
      <c r="CUA118" s="575"/>
      <c r="CUB118" s="583"/>
      <c r="CUC118" s="590"/>
      <c r="CUD118" s="589"/>
      <c r="CUE118" s="585"/>
      <c r="CUF118" s="577"/>
      <c r="CUG118" s="304"/>
      <c r="CUH118" s="572"/>
      <c r="CUI118" s="573"/>
      <c r="CUJ118" s="574"/>
      <c r="CUK118" s="575"/>
      <c r="CUL118" s="583"/>
      <c r="CUM118" s="590"/>
      <c r="CUN118" s="589"/>
      <c r="CUO118" s="585"/>
      <c r="CUP118" s="577"/>
      <c r="CUQ118" s="304"/>
      <c r="CUR118" s="572"/>
      <c r="CUS118" s="573"/>
      <c r="CUT118" s="574"/>
      <c r="CUU118" s="575"/>
      <c r="CUV118" s="583"/>
      <c r="CUW118" s="590"/>
      <c r="CUX118" s="589"/>
      <c r="CUY118" s="585"/>
      <c r="CUZ118" s="577"/>
      <c r="CVA118" s="304"/>
      <c r="CVB118" s="572"/>
      <c r="CVC118" s="573"/>
      <c r="CVD118" s="574"/>
      <c r="CVE118" s="575"/>
      <c r="CVF118" s="583"/>
      <c r="CVG118" s="590"/>
      <c r="CVH118" s="589"/>
      <c r="CVI118" s="585"/>
      <c r="CVJ118" s="577"/>
      <c r="CVK118" s="304"/>
      <c r="CVL118" s="572"/>
      <c r="CVM118" s="573"/>
      <c r="CVN118" s="574"/>
      <c r="CVO118" s="575"/>
      <c r="CVP118" s="583"/>
      <c r="CVQ118" s="590"/>
      <c r="CVR118" s="589"/>
      <c r="CVS118" s="585"/>
      <c r="CVT118" s="577"/>
      <c r="CVU118" s="304"/>
      <c r="CVV118" s="572"/>
      <c r="CVW118" s="573"/>
      <c r="CVX118" s="574"/>
      <c r="CVY118" s="575"/>
      <c r="CVZ118" s="583"/>
      <c r="CWA118" s="590"/>
      <c r="CWB118" s="589"/>
      <c r="CWC118" s="585"/>
      <c r="CWD118" s="577"/>
      <c r="CWE118" s="304"/>
      <c r="CWF118" s="572"/>
      <c r="CWG118" s="573"/>
      <c r="CWH118" s="574"/>
      <c r="CWI118" s="575"/>
      <c r="CWJ118" s="583"/>
      <c r="CWK118" s="590"/>
      <c r="CWL118" s="589"/>
      <c r="CWM118" s="585"/>
      <c r="CWN118" s="577"/>
      <c r="CWO118" s="304"/>
      <c r="CWP118" s="572"/>
      <c r="CWQ118" s="573"/>
      <c r="CWR118" s="574"/>
      <c r="CWS118" s="575"/>
      <c r="CWT118" s="583"/>
      <c r="CWU118" s="590"/>
      <c r="CWV118" s="589"/>
      <c r="CWW118" s="585"/>
      <c r="CWX118" s="577"/>
      <c r="CWY118" s="304"/>
      <c r="CWZ118" s="572"/>
      <c r="CXA118" s="573"/>
      <c r="CXB118" s="574"/>
      <c r="CXC118" s="575"/>
      <c r="CXD118" s="583"/>
      <c r="CXE118" s="590"/>
      <c r="CXF118" s="589"/>
      <c r="CXG118" s="585"/>
      <c r="CXH118" s="577"/>
      <c r="CXI118" s="304"/>
      <c r="CXJ118" s="572"/>
      <c r="CXK118" s="573"/>
      <c r="CXL118" s="574"/>
      <c r="CXM118" s="575"/>
      <c r="CXN118" s="583"/>
      <c r="CXO118" s="590"/>
      <c r="CXP118" s="589"/>
      <c r="CXQ118" s="585"/>
      <c r="CXR118" s="577"/>
      <c r="CXS118" s="304"/>
      <c r="CXT118" s="572"/>
      <c r="CXU118" s="573"/>
      <c r="CXV118" s="574"/>
      <c r="CXW118" s="575"/>
      <c r="CXX118" s="583"/>
      <c r="CXY118" s="590"/>
      <c r="CXZ118" s="589"/>
      <c r="CYA118" s="585"/>
      <c r="CYB118" s="577"/>
      <c r="CYC118" s="304"/>
      <c r="CYD118" s="572"/>
      <c r="CYE118" s="573"/>
      <c r="CYF118" s="574"/>
      <c r="CYG118" s="575"/>
      <c r="CYH118" s="583"/>
      <c r="CYI118" s="590"/>
      <c r="CYJ118" s="589"/>
      <c r="CYK118" s="585"/>
      <c r="CYL118" s="577"/>
      <c r="CYM118" s="304"/>
      <c r="CYN118" s="572"/>
      <c r="CYO118" s="573"/>
      <c r="CYP118" s="574"/>
      <c r="CYQ118" s="575"/>
      <c r="CYR118" s="583"/>
      <c r="CYS118" s="590"/>
      <c r="CYT118" s="589"/>
      <c r="CYU118" s="585"/>
      <c r="CYV118" s="577"/>
      <c r="CYW118" s="304"/>
      <c r="CYX118" s="572"/>
      <c r="CYY118" s="573"/>
      <c r="CYZ118" s="574"/>
      <c r="CZA118" s="575"/>
      <c r="CZB118" s="583"/>
      <c r="CZC118" s="590"/>
      <c r="CZD118" s="589"/>
      <c r="CZE118" s="585"/>
      <c r="CZF118" s="577"/>
      <c r="CZG118" s="304"/>
      <c r="CZH118" s="572"/>
      <c r="CZI118" s="573"/>
      <c r="CZJ118" s="574"/>
      <c r="CZK118" s="575"/>
      <c r="CZL118" s="583"/>
      <c r="CZM118" s="590"/>
      <c r="CZN118" s="589"/>
      <c r="CZO118" s="585"/>
      <c r="CZP118" s="577"/>
      <c r="CZQ118" s="304"/>
      <c r="CZR118" s="572"/>
      <c r="CZS118" s="573"/>
      <c r="CZT118" s="574"/>
      <c r="CZU118" s="575"/>
      <c r="CZV118" s="583"/>
      <c r="CZW118" s="590"/>
      <c r="CZX118" s="589"/>
      <c r="CZY118" s="585"/>
      <c r="CZZ118" s="577"/>
      <c r="DAA118" s="304"/>
      <c r="DAB118" s="572"/>
      <c r="DAC118" s="573"/>
      <c r="DAD118" s="574"/>
      <c r="DAE118" s="575"/>
      <c r="DAF118" s="583"/>
      <c r="DAG118" s="590"/>
      <c r="DAH118" s="589"/>
      <c r="DAI118" s="585"/>
      <c r="DAJ118" s="577"/>
      <c r="DAK118" s="304"/>
      <c r="DAL118" s="572"/>
      <c r="DAM118" s="573"/>
      <c r="DAN118" s="574"/>
      <c r="DAO118" s="575"/>
      <c r="DAP118" s="583"/>
      <c r="DAQ118" s="590"/>
      <c r="DAR118" s="589"/>
      <c r="DAS118" s="585"/>
      <c r="DAT118" s="577"/>
      <c r="DAU118" s="304"/>
      <c r="DAV118" s="572"/>
      <c r="DAW118" s="573"/>
      <c r="DAX118" s="574"/>
      <c r="DAY118" s="575"/>
      <c r="DAZ118" s="583"/>
      <c r="DBA118" s="590"/>
      <c r="DBB118" s="589"/>
      <c r="DBC118" s="585"/>
      <c r="DBD118" s="577"/>
      <c r="DBE118" s="304"/>
      <c r="DBF118" s="572"/>
      <c r="DBG118" s="573"/>
      <c r="DBH118" s="574"/>
      <c r="DBI118" s="575"/>
      <c r="DBJ118" s="583"/>
      <c r="DBK118" s="590"/>
      <c r="DBL118" s="589"/>
      <c r="DBM118" s="585"/>
      <c r="DBN118" s="577"/>
      <c r="DBO118" s="304"/>
      <c r="DBP118" s="572"/>
      <c r="DBQ118" s="573"/>
      <c r="DBR118" s="574"/>
      <c r="DBS118" s="575"/>
      <c r="DBT118" s="583"/>
      <c r="DBU118" s="590"/>
      <c r="DBV118" s="589"/>
      <c r="DBW118" s="585"/>
      <c r="DBX118" s="577"/>
      <c r="DBY118" s="304"/>
      <c r="DBZ118" s="572"/>
      <c r="DCA118" s="573"/>
      <c r="DCB118" s="574"/>
      <c r="DCC118" s="575"/>
      <c r="DCD118" s="583"/>
      <c r="DCE118" s="590"/>
      <c r="DCF118" s="589"/>
      <c r="DCG118" s="585"/>
      <c r="DCH118" s="577"/>
      <c r="DCI118" s="304"/>
      <c r="DCJ118" s="572"/>
      <c r="DCK118" s="573"/>
      <c r="DCL118" s="574"/>
      <c r="DCM118" s="575"/>
      <c r="DCN118" s="583"/>
      <c r="DCO118" s="590"/>
      <c r="DCP118" s="589"/>
      <c r="DCQ118" s="585"/>
      <c r="DCR118" s="577"/>
      <c r="DCS118" s="304"/>
      <c r="DCT118" s="572"/>
      <c r="DCU118" s="573"/>
      <c r="DCV118" s="574"/>
      <c r="DCW118" s="575"/>
      <c r="DCX118" s="583"/>
      <c r="DCY118" s="590"/>
      <c r="DCZ118" s="589"/>
      <c r="DDA118" s="585"/>
      <c r="DDB118" s="577"/>
      <c r="DDC118" s="304"/>
      <c r="DDD118" s="572"/>
      <c r="DDE118" s="573"/>
      <c r="DDF118" s="574"/>
      <c r="DDG118" s="575"/>
      <c r="DDH118" s="583"/>
      <c r="DDI118" s="590"/>
      <c r="DDJ118" s="589"/>
      <c r="DDK118" s="585"/>
      <c r="DDL118" s="577"/>
      <c r="DDM118" s="304"/>
      <c r="DDN118" s="572"/>
      <c r="DDO118" s="573"/>
      <c r="DDP118" s="574"/>
      <c r="DDQ118" s="575"/>
      <c r="DDR118" s="583"/>
      <c r="DDS118" s="590"/>
      <c r="DDT118" s="589"/>
      <c r="DDU118" s="585"/>
      <c r="DDV118" s="577"/>
      <c r="DDW118" s="304"/>
      <c r="DDX118" s="572"/>
      <c r="DDY118" s="573"/>
      <c r="DDZ118" s="574"/>
      <c r="DEA118" s="575"/>
      <c r="DEB118" s="583"/>
      <c r="DEC118" s="590"/>
      <c r="DED118" s="589"/>
      <c r="DEE118" s="585"/>
      <c r="DEF118" s="577"/>
      <c r="DEG118" s="304"/>
      <c r="DEH118" s="572"/>
      <c r="DEI118" s="573"/>
      <c r="DEJ118" s="574"/>
      <c r="DEK118" s="575"/>
      <c r="DEL118" s="583"/>
      <c r="DEM118" s="590"/>
      <c r="DEN118" s="589"/>
      <c r="DEO118" s="585"/>
      <c r="DEP118" s="577"/>
      <c r="DEQ118" s="304"/>
      <c r="DER118" s="572"/>
      <c r="DES118" s="573"/>
      <c r="DET118" s="574"/>
      <c r="DEU118" s="575"/>
      <c r="DEV118" s="583"/>
      <c r="DEW118" s="590"/>
      <c r="DEX118" s="589"/>
      <c r="DEY118" s="585"/>
      <c r="DEZ118" s="577"/>
      <c r="DFA118" s="304"/>
      <c r="DFB118" s="572"/>
      <c r="DFC118" s="573"/>
      <c r="DFD118" s="574"/>
      <c r="DFE118" s="575"/>
      <c r="DFF118" s="583"/>
      <c r="DFG118" s="590"/>
      <c r="DFH118" s="589"/>
      <c r="DFI118" s="585"/>
      <c r="DFJ118" s="577"/>
      <c r="DFK118" s="304"/>
      <c r="DFL118" s="572"/>
      <c r="DFM118" s="573"/>
      <c r="DFN118" s="574"/>
      <c r="DFO118" s="575"/>
      <c r="DFP118" s="583"/>
      <c r="DFQ118" s="590"/>
      <c r="DFR118" s="589"/>
      <c r="DFS118" s="585"/>
      <c r="DFT118" s="577"/>
      <c r="DFU118" s="304"/>
      <c r="DFV118" s="572"/>
      <c r="DFW118" s="573"/>
      <c r="DFX118" s="574"/>
      <c r="DFY118" s="575"/>
      <c r="DFZ118" s="583"/>
      <c r="DGA118" s="590"/>
      <c r="DGB118" s="589"/>
      <c r="DGC118" s="585"/>
      <c r="DGD118" s="577"/>
      <c r="DGE118" s="304"/>
      <c r="DGF118" s="572"/>
      <c r="DGG118" s="573"/>
      <c r="DGH118" s="574"/>
      <c r="DGI118" s="575"/>
      <c r="DGJ118" s="583"/>
      <c r="DGK118" s="590"/>
      <c r="DGL118" s="589"/>
      <c r="DGM118" s="585"/>
      <c r="DGN118" s="577"/>
      <c r="DGO118" s="304"/>
      <c r="DGP118" s="572"/>
      <c r="DGQ118" s="573"/>
      <c r="DGR118" s="574"/>
      <c r="DGS118" s="575"/>
      <c r="DGT118" s="583"/>
      <c r="DGU118" s="590"/>
      <c r="DGV118" s="589"/>
      <c r="DGW118" s="585"/>
      <c r="DGX118" s="577"/>
      <c r="DGY118" s="304"/>
      <c r="DGZ118" s="572"/>
      <c r="DHA118" s="573"/>
      <c r="DHB118" s="574"/>
      <c r="DHC118" s="575"/>
      <c r="DHD118" s="583"/>
      <c r="DHE118" s="590"/>
      <c r="DHF118" s="589"/>
      <c r="DHG118" s="585"/>
      <c r="DHH118" s="577"/>
      <c r="DHI118" s="304"/>
      <c r="DHJ118" s="572"/>
      <c r="DHK118" s="573"/>
      <c r="DHL118" s="574"/>
      <c r="DHM118" s="575"/>
      <c r="DHN118" s="583"/>
      <c r="DHO118" s="590"/>
      <c r="DHP118" s="589"/>
      <c r="DHQ118" s="585"/>
      <c r="DHR118" s="577"/>
      <c r="DHS118" s="304"/>
      <c r="DHT118" s="572"/>
      <c r="DHU118" s="573"/>
      <c r="DHV118" s="574"/>
      <c r="DHW118" s="575"/>
      <c r="DHX118" s="583"/>
      <c r="DHY118" s="590"/>
      <c r="DHZ118" s="589"/>
      <c r="DIA118" s="585"/>
      <c r="DIB118" s="577"/>
      <c r="DIC118" s="304"/>
      <c r="DID118" s="572"/>
      <c r="DIE118" s="573"/>
      <c r="DIF118" s="574"/>
      <c r="DIG118" s="575"/>
      <c r="DIH118" s="583"/>
      <c r="DII118" s="590"/>
      <c r="DIJ118" s="589"/>
      <c r="DIK118" s="585"/>
      <c r="DIL118" s="577"/>
      <c r="DIM118" s="304"/>
      <c r="DIN118" s="572"/>
      <c r="DIO118" s="573"/>
      <c r="DIP118" s="574"/>
      <c r="DIQ118" s="575"/>
      <c r="DIR118" s="583"/>
      <c r="DIS118" s="590"/>
      <c r="DIT118" s="589"/>
      <c r="DIU118" s="585"/>
      <c r="DIV118" s="577"/>
      <c r="DIW118" s="304"/>
      <c r="DIX118" s="572"/>
      <c r="DIY118" s="573"/>
      <c r="DIZ118" s="574"/>
      <c r="DJA118" s="575"/>
      <c r="DJB118" s="583"/>
      <c r="DJC118" s="590"/>
      <c r="DJD118" s="589"/>
      <c r="DJE118" s="585"/>
      <c r="DJF118" s="577"/>
      <c r="DJG118" s="304"/>
      <c r="DJH118" s="572"/>
      <c r="DJI118" s="573"/>
      <c r="DJJ118" s="574"/>
      <c r="DJK118" s="575"/>
      <c r="DJL118" s="583"/>
      <c r="DJM118" s="590"/>
      <c r="DJN118" s="589"/>
      <c r="DJO118" s="585"/>
      <c r="DJP118" s="577"/>
      <c r="DJQ118" s="304"/>
      <c r="DJR118" s="572"/>
      <c r="DJS118" s="573"/>
      <c r="DJT118" s="574"/>
      <c r="DJU118" s="575"/>
      <c r="DJV118" s="583"/>
      <c r="DJW118" s="590"/>
      <c r="DJX118" s="589"/>
      <c r="DJY118" s="585"/>
      <c r="DJZ118" s="577"/>
      <c r="DKA118" s="304"/>
      <c r="DKB118" s="572"/>
      <c r="DKC118" s="573"/>
      <c r="DKD118" s="574"/>
      <c r="DKE118" s="575"/>
      <c r="DKF118" s="583"/>
      <c r="DKG118" s="590"/>
      <c r="DKH118" s="589"/>
      <c r="DKI118" s="585"/>
      <c r="DKJ118" s="577"/>
      <c r="DKK118" s="304"/>
      <c r="DKL118" s="572"/>
      <c r="DKM118" s="573"/>
      <c r="DKN118" s="574"/>
      <c r="DKO118" s="575"/>
      <c r="DKP118" s="583"/>
      <c r="DKQ118" s="590"/>
      <c r="DKR118" s="589"/>
      <c r="DKS118" s="585"/>
      <c r="DKT118" s="577"/>
      <c r="DKU118" s="304"/>
      <c r="DKV118" s="572"/>
      <c r="DKW118" s="573"/>
      <c r="DKX118" s="574"/>
      <c r="DKY118" s="575"/>
      <c r="DKZ118" s="583"/>
      <c r="DLA118" s="590"/>
      <c r="DLB118" s="589"/>
      <c r="DLC118" s="585"/>
      <c r="DLD118" s="577"/>
      <c r="DLE118" s="304"/>
      <c r="DLF118" s="572"/>
      <c r="DLG118" s="573"/>
      <c r="DLH118" s="574"/>
      <c r="DLI118" s="575"/>
      <c r="DLJ118" s="583"/>
      <c r="DLK118" s="590"/>
      <c r="DLL118" s="589"/>
      <c r="DLM118" s="585"/>
      <c r="DLN118" s="577"/>
      <c r="DLO118" s="304"/>
      <c r="DLP118" s="572"/>
      <c r="DLQ118" s="573"/>
      <c r="DLR118" s="574"/>
      <c r="DLS118" s="575"/>
      <c r="DLT118" s="583"/>
      <c r="DLU118" s="590"/>
      <c r="DLV118" s="589"/>
      <c r="DLW118" s="585"/>
      <c r="DLX118" s="577"/>
      <c r="DLY118" s="304"/>
      <c r="DLZ118" s="572"/>
      <c r="DMA118" s="573"/>
      <c r="DMB118" s="574"/>
      <c r="DMC118" s="575"/>
      <c r="DMD118" s="583"/>
      <c r="DME118" s="590"/>
      <c r="DMF118" s="589"/>
      <c r="DMG118" s="585"/>
      <c r="DMH118" s="577"/>
      <c r="DMI118" s="304"/>
      <c r="DMJ118" s="572"/>
      <c r="DMK118" s="573"/>
      <c r="DML118" s="574"/>
      <c r="DMM118" s="575"/>
      <c r="DMN118" s="583"/>
      <c r="DMO118" s="590"/>
      <c r="DMP118" s="589"/>
      <c r="DMQ118" s="585"/>
      <c r="DMR118" s="577"/>
      <c r="DMS118" s="304"/>
      <c r="DMT118" s="572"/>
      <c r="DMU118" s="573"/>
      <c r="DMV118" s="574"/>
      <c r="DMW118" s="575"/>
      <c r="DMX118" s="583"/>
      <c r="DMY118" s="590"/>
      <c r="DMZ118" s="589"/>
      <c r="DNA118" s="585"/>
      <c r="DNB118" s="577"/>
      <c r="DNC118" s="304"/>
      <c r="DND118" s="572"/>
      <c r="DNE118" s="573"/>
      <c r="DNF118" s="574"/>
      <c r="DNG118" s="575"/>
      <c r="DNH118" s="583"/>
      <c r="DNI118" s="590"/>
      <c r="DNJ118" s="589"/>
      <c r="DNK118" s="585"/>
      <c r="DNL118" s="577"/>
      <c r="DNM118" s="304"/>
      <c r="DNN118" s="572"/>
      <c r="DNO118" s="573"/>
      <c r="DNP118" s="574"/>
      <c r="DNQ118" s="575"/>
      <c r="DNR118" s="583"/>
      <c r="DNS118" s="590"/>
      <c r="DNT118" s="589"/>
      <c r="DNU118" s="585"/>
      <c r="DNV118" s="577"/>
      <c r="DNW118" s="304"/>
      <c r="DNX118" s="572"/>
      <c r="DNY118" s="573"/>
      <c r="DNZ118" s="574"/>
      <c r="DOA118" s="575"/>
      <c r="DOB118" s="583"/>
      <c r="DOC118" s="590"/>
      <c r="DOD118" s="589"/>
      <c r="DOE118" s="585"/>
      <c r="DOF118" s="577"/>
      <c r="DOG118" s="304"/>
      <c r="DOH118" s="572"/>
      <c r="DOI118" s="573"/>
      <c r="DOJ118" s="574"/>
      <c r="DOK118" s="575"/>
      <c r="DOL118" s="583"/>
      <c r="DOM118" s="590"/>
      <c r="DON118" s="589"/>
      <c r="DOO118" s="585"/>
      <c r="DOP118" s="577"/>
      <c r="DOQ118" s="304"/>
      <c r="DOR118" s="572"/>
      <c r="DOS118" s="573"/>
      <c r="DOT118" s="574"/>
      <c r="DOU118" s="575"/>
      <c r="DOV118" s="583"/>
      <c r="DOW118" s="590"/>
      <c r="DOX118" s="589"/>
      <c r="DOY118" s="585"/>
      <c r="DOZ118" s="577"/>
      <c r="DPA118" s="304"/>
      <c r="DPB118" s="572"/>
      <c r="DPC118" s="573"/>
      <c r="DPD118" s="574"/>
      <c r="DPE118" s="575"/>
      <c r="DPF118" s="583"/>
      <c r="DPG118" s="590"/>
      <c r="DPH118" s="589"/>
      <c r="DPI118" s="585"/>
      <c r="DPJ118" s="577"/>
      <c r="DPK118" s="304"/>
      <c r="DPL118" s="572"/>
      <c r="DPM118" s="573"/>
      <c r="DPN118" s="574"/>
      <c r="DPO118" s="575"/>
      <c r="DPP118" s="583"/>
      <c r="DPQ118" s="590"/>
      <c r="DPR118" s="589"/>
      <c r="DPS118" s="585"/>
      <c r="DPT118" s="577"/>
      <c r="DPU118" s="304"/>
      <c r="DPV118" s="572"/>
      <c r="DPW118" s="573"/>
      <c r="DPX118" s="574"/>
      <c r="DPY118" s="575"/>
      <c r="DPZ118" s="583"/>
      <c r="DQA118" s="590"/>
      <c r="DQB118" s="589"/>
      <c r="DQC118" s="585"/>
      <c r="DQD118" s="577"/>
      <c r="DQE118" s="304"/>
      <c r="DQF118" s="572"/>
      <c r="DQG118" s="573"/>
      <c r="DQH118" s="574"/>
      <c r="DQI118" s="575"/>
      <c r="DQJ118" s="583"/>
      <c r="DQK118" s="590"/>
      <c r="DQL118" s="589"/>
      <c r="DQM118" s="585"/>
      <c r="DQN118" s="577"/>
      <c r="DQO118" s="304"/>
      <c r="DQP118" s="572"/>
      <c r="DQQ118" s="573"/>
      <c r="DQR118" s="574"/>
      <c r="DQS118" s="575"/>
      <c r="DQT118" s="583"/>
      <c r="DQU118" s="590"/>
      <c r="DQV118" s="589"/>
      <c r="DQW118" s="585"/>
      <c r="DQX118" s="577"/>
      <c r="DQY118" s="304"/>
      <c r="DQZ118" s="572"/>
      <c r="DRA118" s="573"/>
      <c r="DRB118" s="574"/>
      <c r="DRC118" s="575"/>
      <c r="DRD118" s="583"/>
      <c r="DRE118" s="590"/>
      <c r="DRF118" s="589"/>
      <c r="DRG118" s="585"/>
      <c r="DRH118" s="577"/>
      <c r="DRI118" s="304"/>
      <c r="DRJ118" s="572"/>
      <c r="DRK118" s="573"/>
      <c r="DRL118" s="574"/>
      <c r="DRM118" s="575"/>
      <c r="DRN118" s="583"/>
      <c r="DRO118" s="590"/>
      <c r="DRP118" s="589"/>
      <c r="DRQ118" s="585"/>
      <c r="DRR118" s="577"/>
      <c r="DRS118" s="304"/>
      <c r="DRT118" s="572"/>
      <c r="DRU118" s="573"/>
      <c r="DRV118" s="574"/>
      <c r="DRW118" s="575"/>
      <c r="DRX118" s="583"/>
      <c r="DRY118" s="590"/>
      <c r="DRZ118" s="589"/>
      <c r="DSA118" s="585"/>
      <c r="DSB118" s="577"/>
      <c r="DSC118" s="304"/>
      <c r="DSD118" s="572"/>
      <c r="DSE118" s="573"/>
      <c r="DSF118" s="574"/>
      <c r="DSG118" s="575"/>
      <c r="DSH118" s="583"/>
      <c r="DSI118" s="590"/>
      <c r="DSJ118" s="589"/>
      <c r="DSK118" s="585"/>
      <c r="DSL118" s="577"/>
      <c r="DSM118" s="304"/>
      <c r="DSN118" s="572"/>
      <c r="DSO118" s="573"/>
      <c r="DSP118" s="574"/>
      <c r="DSQ118" s="575"/>
      <c r="DSR118" s="583"/>
      <c r="DSS118" s="590"/>
      <c r="DST118" s="589"/>
      <c r="DSU118" s="585"/>
      <c r="DSV118" s="577"/>
      <c r="DSW118" s="304"/>
      <c r="DSX118" s="572"/>
      <c r="DSY118" s="573"/>
      <c r="DSZ118" s="574"/>
      <c r="DTA118" s="575"/>
      <c r="DTB118" s="583"/>
      <c r="DTC118" s="590"/>
      <c r="DTD118" s="589"/>
      <c r="DTE118" s="585"/>
      <c r="DTF118" s="577"/>
      <c r="DTG118" s="304"/>
      <c r="DTH118" s="572"/>
      <c r="DTI118" s="573"/>
      <c r="DTJ118" s="574"/>
      <c r="DTK118" s="575"/>
      <c r="DTL118" s="583"/>
      <c r="DTM118" s="590"/>
      <c r="DTN118" s="589"/>
      <c r="DTO118" s="585"/>
      <c r="DTP118" s="577"/>
      <c r="DTQ118" s="304"/>
      <c r="DTR118" s="572"/>
      <c r="DTS118" s="573"/>
      <c r="DTT118" s="574"/>
      <c r="DTU118" s="575"/>
      <c r="DTV118" s="583"/>
      <c r="DTW118" s="590"/>
      <c r="DTX118" s="589"/>
      <c r="DTY118" s="585"/>
      <c r="DTZ118" s="577"/>
      <c r="DUA118" s="304"/>
      <c r="DUB118" s="572"/>
      <c r="DUC118" s="573"/>
      <c r="DUD118" s="574"/>
      <c r="DUE118" s="575"/>
      <c r="DUF118" s="583"/>
      <c r="DUG118" s="590"/>
      <c r="DUH118" s="589"/>
      <c r="DUI118" s="585"/>
      <c r="DUJ118" s="577"/>
      <c r="DUK118" s="304"/>
      <c r="DUL118" s="572"/>
      <c r="DUM118" s="573"/>
      <c r="DUN118" s="574"/>
      <c r="DUO118" s="575"/>
      <c r="DUP118" s="583"/>
      <c r="DUQ118" s="590"/>
      <c r="DUR118" s="589"/>
      <c r="DUS118" s="585"/>
      <c r="DUT118" s="577"/>
      <c r="DUU118" s="304"/>
      <c r="DUV118" s="572"/>
      <c r="DUW118" s="573"/>
      <c r="DUX118" s="574"/>
      <c r="DUY118" s="575"/>
      <c r="DUZ118" s="583"/>
      <c r="DVA118" s="590"/>
      <c r="DVB118" s="589"/>
      <c r="DVC118" s="585"/>
      <c r="DVD118" s="577"/>
      <c r="DVE118" s="304"/>
      <c r="DVF118" s="572"/>
      <c r="DVG118" s="573"/>
      <c r="DVH118" s="574"/>
      <c r="DVI118" s="575"/>
      <c r="DVJ118" s="583"/>
      <c r="DVK118" s="590"/>
      <c r="DVL118" s="589"/>
      <c r="DVM118" s="585"/>
      <c r="DVN118" s="577"/>
      <c r="DVO118" s="304"/>
      <c r="DVP118" s="572"/>
      <c r="DVQ118" s="573"/>
      <c r="DVR118" s="574"/>
      <c r="DVS118" s="575"/>
      <c r="DVT118" s="583"/>
      <c r="DVU118" s="590"/>
      <c r="DVV118" s="589"/>
      <c r="DVW118" s="585"/>
      <c r="DVX118" s="577"/>
      <c r="DVY118" s="304"/>
      <c r="DVZ118" s="572"/>
      <c r="DWA118" s="573"/>
      <c r="DWB118" s="574"/>
      <c r="DWC118" s="575"/>
      <c r="DWD118" s="583"/>
      <c r="DWE118" s="590"/>
      <c r="DWF118" s="589"/>
      <c r="DWG118" s="585"/>
      <c r="DWH118" s="577"/>
      <c r="DWI118" s="304"/>
      <c r="DWJ118" s="572"/>
      <c r="DWK118" s="573"/>
      <c r="DWL118" s="574"/>
      <c r="DWM118" s="575"/>
      <c r="DWN118" s="583"/>
      <c r="DWO118" s="590"/>
      <c r="DWP118" s="589"/>
      <c r="DWQ118" s="585"/>
      <c r="DWR118" s="577"/>
      <c r="DWS118" s="304"/>
      <c r="DWT118" s="572"/>
      <c r="DWU118" s="573"/>
      <c r="DWV118" s="574"/>
      <c r="DWW118" s="575"/>
      <c r="DWX118" s="583"/>
      <c r="DWY118" s="590"/>
      <c r="DWZ118" s="589"/>
      <c r="DXA118" s="585"/>
      <c r="DXB118" s="577"/>
      <c r="DXC118" s="304"/>
      <c r="DXD118" s="572"/>
      <c r="DXE118" s="573"/>
      <c r="DXF118" s="574"/>
      <c r="DXG118" s="575"/>
      <c r="DXH118" s="583"/>
      <c r="DXI118" s="590"/>
      <c r="DXJ118" s="589"/>
      <c r="DXK118" s="585"/>
      <c r="DXL118" s="577"/>
      <c r="DXM118" s="304"/>
      <c r="DXN118" s="572"/>
      <c r="DXO118" s="573"/>
      <c r="DXP118" s="574"/>
      <c r="DXQ118" s="575"/>
      <c r="DXR118" s="583"/>
      <c r="DXS118" s="590"/>
      <c r="DXT118" s="589"/>
      <c r="DXU118" s="585"/>
      <c r="DXV118" s="577"/>
      <c r="DXW118" s="304"/>
      <c r="DXX118" s="572"/>
      <c r="DXY118" s="573"/>
      <c r="DXZ118" s="574"/>
      <c r="DYA118" s="575"/>
      <c r="DYB118" s="583"/>
      <c r="DYC118" s="590"/>
      <c r="DYD118" s="589"/>
      <c r="DYE118" s="585"/>
      <c r="DYF118" s="577"/>
      <c r="DYG118" s="304"/>
      <c r="DYH118" s="572"/>
      <c r="DYI118" s="573"/>
      <c r="DYJ118" s="574"/>
      <c r="DYK118" s="575"/>
      <c r="DYL118" s="583"/>
      <c r="DYM118" s="590"/>
      <c r="DYN118" s="589"/>
      <c r="DYO118" s="585"/>
      <c r="DYP118" s="577"/>
      <c r="DYQ118" s="304"/>
      <c r="DYR118" s="572"/>
      <c r="DYS118" s="573"/>
      <c r="DYT118" s="574"/>
      <c r="DYU118" s="575"/>
      <c r="DYV118" s="583"/>
      <c r="DYW118" s="590"/>
      <c r="DYX118" s="589"/>
      <c r="DYY118" s="585"/>
      <c r="DYZ118" s="577"/>
      <c r="DZA118" s="304"/>
      <c r="DZB118" s="572"/>
      <c r="DZC118" s="573"/>
      <c r="DZD118" s="574"/>
      <c r="DZE118" s="575"/>
      <c r="DZF118" s="583"/>
      <c r="DZG118" s="590"/>
      <c r="DZH118" s="589"/>
      <c r="DZI118" s="585"/>
      <c r="DZJ118" s="577"/>
      <c r="DZK118" s="304"/>
      <c r="DZL118" s="572"/>
      <c r="DZM118" s="573"/>
      <c r="DZN118" s="574"/>
      <c r="DZO118" s="575"/>
      <c r="DZP118" s="583"/>
      <c r="DZQ118" s="590"/>
      <c r="DZR118" s="589"/>
      <c r="DZS118" s="585"/>
      <c r="DZT118" s="577"/>
      <c r="DZU118" s="304"/>
      <c r="DZV118" s="572"/>
      <c r="DZW118" s="573"/>
      <c r="DZX118" s="574"/>
      <c r="DZY118" s="575"/>
      <c r="DZZ118" s="583"/>
      <c r="EAA118" s="590"/>
      <c r="EAB118" s="589"/>
      <c r="EAC118" s="585"/>
      <c r="EAD118" s="577"/>
      <c r="EAE118" s="304"/>
      <c r="EAF118" s="572"/>
      <c r="EAG118" s="573"/>
      <c r="EAH118" s="574"/>
      <c r="EAI118" s="575"/>
      <c r="EAJ118" s="583"/>
      <c r="EAK118" s="590"/>
      <c r="EAL118" s="589"/>
      <c r="EAM118" s="585"/>
      <c r="EAN118" s="577"/>
      <c r="EAO118" s="304"/>
      <c r="EAP118" s="572"/>
      <c r="EAQ118" s="573"/>
      <c r="EAR118" s="574"/>
      <c r="EAS118" s="575"/>
      <c r="EAT118" s="583"/>
      <c r="EAU118" s="590"/>
      <c r="EAV118" s="589"/>
      <c r="EAW118" s="585"/>
      <c r="EAX118" s="577"/>
      <c r="EAY118" s="304"/>
      <c r="EAZ118" s="572"/>
      <c r="EBA118" s="573"/>
      <c r="EBB118" s="574"/>
      <c r="EBC118" s="575"/>
      <c r="EBD118" s="583"/>
      <c r="EBE118" s="590"/>
      <c r="EBF118" s="589"/>
      <c r="EBG118" s="585"/>
      <c r="EBH118" s="577"/>
      <c r="EBI118" s="304"/>
      <c r="EBJ118" s="572"/>
      <c r="EBK118" s="573"/>
      <c r="EBL118" s="574"/>
      <c r="EBM118" s="575"/>
      <c r="EBN118" s="583"/>
      <c r="EBO118" s="590"/>
      <c r="EBP118" s="589"/>
      <c r="EBQ118" s="585"/>
      <c r="EBR118" s="577"/>
      <c r="EBS118" s="304"/>
      <c r="EBT118" s="572"/>
      <c r="EBU118" s="573"/>
      <c r="EBV118" s="574"/>
      <c r="EBW118" s="575"/>
      <c r="EBX118" s="583"/>
      <c r="EBY118" s="590"/>
      <c r="EBZ118" s="589"/>
      <c r="ECA118" s="585"/>
      <c r="ECB118" s="577"/>
      <c r="ECC118" s="304"/>
      <c r="ECD118" s="572"/>
      <c r="ECE118" s="573"/>
      <c r="ECF118" s="574"/>
      <c r="ECG118" s="575"/>
      <c r="ECH118" s="583"/>
      <c r="ECI118" s="590"/>
      <c r="ECJ118" s="589"/>
      <c r="ECK118" s="585"/>
      <c r="ECL118" s="577"/>
      <c r="ECM118" s="304"/>
      <c r="ECN118" s="572"/>
      <c r="ECO118" s="573"/>
      <c r="ECP118" s="574"/>
      <c r="ECQ118" s="575"/>
      <c r="ECR118" s="583"/>
      <c r="ECS118" s="590"/>
      <c r="ECT118" s="589"/>
      <c r="ECU118" s="585"/>
      <c r="ECV118" s="577"/>
      <c r="ECW118" s="304"/>
      <c r="ECX118" s="572"/>
      <c r="ECY118" s="573"/>
      <c r="ECZ118" s="574"/>
      <c r="EDA118" s="575"/>
      <c r="EDB118" s="583"/>
      <c r="EDC118" s="590"/>
      <c r="EDD118" s="589"/>
      <c r="EDE118" s="585"/>
      <c r="EDF118" s="577"/>
      <c r="EDG118" s="304"/>
      <c r="EDH118" s="572"/>
      <c r="EDI118" s="573"/>
      <c r="EDJ118" s="574"/>
      <c r="EDK118" s="575"/>
      <c r="EDL118" s="583"/>
      <c r="EDM118" s="590"/>
      <c r="EDN118" s="589"/>
      <c r="EDO118" s="585"/>
      <c r="EDP118" s="577"/>
      <c r="EDQ118" s="304"/>
      <c r="EDR118" s="572"/>
      <c r="EDS118" s="573"/>
      <c r="EDT118" s="574"/>
      <c r="EDU118" s="575"/>
      <c r="EDV118" s="583"/>
      <c r="EDW118" s="590"/>
      <c r="EDX118" s="589"/>
      <c r="EDY118" s="585"/>
      <c r="EDZ118" s="577"/>
      <c r="EEA118" s="304"/>
      <c r="EEB118" s="572"/>
      <c r="EEC118" s="573"/>
      <c r="EED118" s="574"/>
      <c r="EEE118" s="575"/>
      <c r="EEF118" s="583"/>
      <c r="EEG118" s="590"/>
      <c r="EEH118" s="589"/>
      <c r="EEI118" s="585"/>
      <c r="EEJ118" s="577"/>
      <c r="EEK118" s="304"/>
      <c r="EEL118" s="572"/>
      <c r="EEM118" s="573"/>
      <c r="EEN118" s="574"/>
      <c r="EEO118" s="575"/>
      <c r="EEP118" s="583"/>
      <c r="EEQ118" s="590"/>
      <c r="EER118" s="589"/>
      <c r="EES118" s="585"/>
      <c r="EET118" s="577"/>
      <c r="EEU118" s="304"/>
      <c r="EEV118" s="572"/>
      <c r="EEW118" s="573"/>
      <c r="EEX118" s="574"/>
      <c r="EEY118" s="575"/>
      <c r="EEZ118" s="583"/>
      <c r="EFA118" s="590"/>
      <c r="EFB118" s="589"/>
      <c r="EFC118" s="585"/>
      <c r="EFD118" s="577"/>
      <c r="EFE118" s="304"/>
      <c r="EFF118" s="572"/>
      <c r="EFG118" s="573"/>
      <c r="EFH118" s="574"/>
      <c r="EFI118" s="575"/>
      <c r="EFJ118" s="583"/>
      <c r="EFK118" s="590"/>
      <c r="EFL118" s="589"/>
      <c r="EFM118" s="585"/>
      <c r="EFN118" s="577"/>
      <c r="EFO118" s="304"/>
      <c r="EFP118" s="572"/>
      <c r="EFQ118" s="573"/>
      <c r="EFR118" s="574"/>
      <c r="EFS118" s="575"/>
      <c r="EFT118" s="583"/>
      <c r="EFU118" s="590"/>
      <c r="EFV118" s="589"/>
      <c r="EFW118" s="585"/>
      <c r="EFX118" s="577"/>
      <c r="EFY118" s="304"/>
      <c r="EFZ118" s="572"/>
      <c r="EGA118" s="573"/>
      <c r="EGB118" s="574"/>
      <c r="EGC118" s="575"/>
      <c r="EGD118" s="583"/>
      <c r="EGE118" s="590"/>
      <c r="EGF118" s="589"/>
      <c r="EGG118" s="585"/>
      <c r="EGH118" s="577"/>
      <c r="EGI118" s="304"/>
      <c r="EGJ118" s="572"/>
      <c r="EGK118" s="573"/>
      <c r="EGL118" s="574"/>
      <c r="EGM118" s="575"/>
      <c r="EGN118" s="583"/>
      <c r="EGO118" s="590"/>
      <c r="EGP118" s="589"/>
      <c r="EGQ118" s="585"/>
      <c r="EGR118" s="577"/>
      <c r="EGS118" s="304"/>
      <c r="EGT118" s="572"/>
      <c r="EGU118" s="573"/>
      <c r="EGV118" s="574"/>
      <c r="EGW118" s="575"/>
      <c r="EGX118" s="583"/>
      <c r="EGY118" s="590"/>
      <c r="EGZ118" s="589"/>
      <c r="EHA118" s="585"/>
      <c r="EHB118" s="577"/>
      <c r="EHC118" s="304"/>
      <c r="EHD118" s="572"/>
      <c r="EHE118" s="573"/>
      <c r="EHF118" s="574"/>
      <c r="EHG118" s="575"/>
      <c r="EHH118" s="583"/>
      <c r="EHI118" s="590"/>
      <c r="EHJ118" s="589"/>
      <c r="EHK118" s="585"/>
      <c r="EHL118" s="577"/>
      <c r="EHM118" s="304"/>
      <c r="EHN118" s="572"/>
      <c r="EHO118" s="573"/>
      <c r="EHP118" s="574"/>
      <c r="EHQ118" s="575"/>
      <c r="EHR118" s="583"/>
      <c r="EHS118" s="590"/>
      <c r="EHT118" s="589"/>
      <c r="EHU118" s="585"/>
      <c r="EHV118" s="577"/>
      <c r="EHW118" s="304"/>
      <c r="EHX118" s="572"/>
      <c r="EHY118" s="573"/>
      <c r="EHZ118" s="574"/>
      <c r="EIA118" s="575"/>
      <c r="EIB118" s="583"/>
      <c r="EIC118" s="590"/>
      <c r="EID118" s="589"/>
      <c r="EIE118" s="585"/>
      <c r="EIF118" s="577"/>
      <c r="EIG118" s="304"/>
      <c r="EIH118" s="572"/>
      <c r="EII118" s="573"/>
      <c r="EIJ118" s="574"/>
      <c r="EIK118" s="575"/>
      <c r="EIL118" s="583"/>
      <c r="EIM118" s="590"/>
      <c r="EIN118" s="589"/>
      <c r="EIO118" s="585"/>
      <c r="EIP118" s="577"/>
      <c r="EIQ118" s="304"/>
      <c r="EIR118" s="572"/>
      <c r="EIS118" s="573"/>
      <c r="EIT118" s="574"/>
      <c r="EIU118" s="575"/>
      <c r="EIV118" s="583"/>
      <c r="EIW118" s="590"/>
      <c r="EIX118" s="589"/>
      <c r="EIY118" s="585"/>
      <c r="EIZ118" s="577"/>
      <c r="EJA118" s="304"/>
      <c r="EJB118" s="572"/>
      <c r="EJC118" s="573"/>
      <c r="EJD118" s="574"/>
      <c r="EJE118" s="575"/>
      <c r="EJF118" s="583"/>
      <c r="EJG118" s="590"/>
      <c r="EJH118" s="589"/>
      <c r="EJI118" s="585"/>
      <c r="EJJ118" s="577"/>
      <c r="EJK118" s="304"/>
      <c r="EJL118" s="572"/>
      <c r="EJM118" s="573"/>
      <c r="EJN118" s="574"/>
      <c r="EJO118" s="575"/>
      <c r="EJP118" s="583"/>
      <c r="EJQ118" s="590"/>
      <c r="EJR118" s="589"/>
      <c r="EJS118" s="585"/>
      <c r="EJT118" s="577"/>
      <c r="EJU118" s="304"/>
      <c r="EJV118" s="572"/>
      <c r="EJW118" s="573"/>
      <c r="EJX118" s="574"/>
      <c r="EJY118" s="575"/>
      <c r="EJZ118" s="583"/>
      <c r="EKA118" s="590"/>
      <c r="EKB118" s="589"/>
      <c r="EKC118" s="585"/>
      <c r="EKD118" s="577"/>
      <c r="EKE118" s="304"/>
      <c r="EKF118" s="572"/>
      <c r="EKG118" s="573"/>
      <c r="EKH118" s="574"/>
      <c r="EKI118" s="575"/>
      <c r="EKJ118" s="583"/>
      <c r="EKK118" s="590"/>
      <c r="EKL118" s="589"/>
      <c r="EKM118" s="585"/>
      <c r="EKN118" s="577"/>
      <c r="EKO118" s="304"/>
      <c r="EKP118" s="572"/>
      <c r="EKQ118" s="573"/>
      <c r="EKR118" s="574"/>
      <c r="EKS118" s="575"/>
      <c r="EKT118" s="583"/>
      <c r="EKU118" s="590"/>
      <c r="EKV118" s="589"/>
      <c r="EKW118" s="585"/>
      <c r="EKX118" s="577"/>
      <c r="EKY118" s="304"/>
      <c r="EKZ118" s="572"/>
      <c r="ELA118" s="573"/>
      <c r="ELB118" s="574"/>
      <c r="ELC118" s="575"/>
      <c r="ELD118" s="583"/>
      <c r="ELE118" s="590"/>
      <c r="ELF118" s="589"/>
      <c r="ELG118" s="585"/>
      <c r="ELH118" s="577"/>
      <c r="ELI118" s="304"/>
      <c r="ELJ118" s="572"/>
      <c r="ELK118" s="573"/>
      <c r="ELL118" s="574"/>
      <c r="ELM118" s="575"/>
      <c r="ELN118" s="583"/>
      <c r="ELO118" s="590"/>
      <c r="ELP118" s="589"/>
      <c r="ELQ118" s="585"/>
      <c r="ELR118" s="577"/>
      <c r="ELS118" s="304"/>
      <c r="ELT118" s="572"/>
      <c r="ELU118" s="573"/>
      <c r="ELV118" s="574"/>
      <c r="ELW118" s="575"/>
      <c r="ELX118" s="583"/>
      <c r="ELY118" s="590"/>
      <c r="ELZ118" s="589"/>
      <c r="EMA118" s="585"/>
      <c r="EMB118" s="577"/>
      <c r="EMC118" s="304"/>
      <c r="EMD118" s="572"/>
      <c r="EME118" s="573"/>
      <c r="EMF118" s="574"/>
      <c r="EMG118" s="575"/>
      <c r="EMH118" s="583"/>
      <c r="EMI118" s="590"/>
      <c r="EMJ118" s="589"/>
      <c r="EMK118" s="585"/>
      <c r="EML118" s="577"/>
      <c r="EMM118" s="304"/>
      <c r="EMN118" s="572"/>
      <c r="EMO118" s="573"/>
      <c r="EMP118" s="574"/>
      <c r="EMQ118" s="575"/>
      <c r="EMR118" s="583"/>
      <c r="EMS118" s="590"/>
      <c r="EMT118" s="589"/>
      <c r="EMU118" s="585"/>
      <c r="EMV118" s="577"/>
      <c r="EMW118" s="304"/>
      <c r="EMX118" s="572"/>
      <c r="EMY118" s="573"/>
      <c r="EMZ118" s="574"/>
      <c r="ENA118" s="575"/>
      <c r="ENB118" s="583"/>
      <c r="ENC118" s="590"/>
      <c r="END118" s="589"/>
      <c r="ENE118" s="585"/>
      <c r="ENF118" s="577"/>
      <c r="ENG118" s="304"/>
      <c r="ENH118" s="572"/>
      <c r="ENI118" s="573"/>
      <c r="ENJ118" s="574"/>
      <c r="ENK118" s="575"/>
      <c r="ENL118" s="583"/>
      <c r="ENM118" s="590"/>
      <c r="ENN118" s="589"/>
      <c r="ENO118" s="585"/>
      <c r="ENP118" s="577"/>
      <c r="ENQ118" s="304"/>
      <c r="ENR118" s="572"/>
      <c r="ENS118" s="573"/>
      <c r="ENT118" s="574"/>
      <c r="ENU118" s="575"/>
      <c r="ENV118" s="583"/>
      <c r="ENW118" s="590"/>
      <c r="ENX118" s="589"/>
      <c r="ENY118" s="585"/>
      <c r="ENZ118" s="577"/>
      <c r="EOA118" s="304"/>
      <c r="EOB118" s="572"/>
      <c r="EOC118" s="573"/>
      <c r="EOD118" s="574"/>
      <c r="EOE118" s="575"/>
      <c r="EOF118" s="583"/>
      <c r="EOG118" s="590"/>
      <c r="EOH118" s="589"/>
      <c r="EOI118" s="585"/>
      <c r="EOJ118" s="577"/>
      <c r="EOK118" s="304"/>
      <c r="EOL118" s="572"/>
      <c r="EOM118" s="573"/>
      <c r="EON118" s="574"/>
      <c r="EOO118" s="575"/>
      <c r="EOP118" s="583"/>
      <c r="EOQ118" s="590"/>
      <c r="EOR118" s="589"/>
      <c r="EOS118" s="585"/>
      <c r="EOT118" s="577"/>
      <c r="EOU118" s="304"/>
      <c r="EOV118" s="572"/>
      <c r="EOW118" s="573"/>
      <c r="EOX118" s="574"/>
      <c r="EOY118" s="575"/>
      <c r="EOZ118" s="583"/>
      <c r="EPA118" s="590"/>
      <c r="EPB118" s="589"/>
      <c r="EPC118" s="585"/>
      <c r="EPD118" s="577"/>
      <c r="EPE118" s="304"/>
      <c r="EPF118" s="572"/>
      <c r="EPG118" s="573"/>
      <c r="EPH118" s="574"/>
      <c r="EPI118" s="575"/>
      <c r="EPJ118" s="583"/>
      <c r="EPK118" s="590"/>
      <c r="EPL118" s="589"/>
      <c r="EPM118" s="585"/>
      <c r="EPN118" s="577"/>
      <c r="EPO118" s="304"/>
      <c r="EPP118" s="572"/>
      <c r="EPQ118" s="573"/>
      <c r="EPR118" s="574"/>
      <c r="EPS118" s="575"/>
      <c r="EPT118" s="583"/>
      <c r="EPU118" s="590"/>
      <c r="EPV118" s="589"/>
      <c r="EPW118" s="585"/>
      <c r="EPX118" s="577"/>
      <c r="EPY118" s="304"/>
      <c r="EPZ118" s="572"/>
      <c r="EQA118" s="573"/>
      <c r="EQB118" s="574"/>
      <c r="EQC118" s="575"/>
      <c r="EQD118" s="583"/>
      <c r="EQE118" s="590"/>
      <c r="EQF118" s="589"/>
      <c r="EQG118" s="585"/>
      <c r="EQH118" s="577"/>
      <c r="EQI118" s="304"/>
      <c r="EQJ118" s="572"/>
      <c r="EQK118" s="573"/>
      <c r="EQL118" s="574"/>
      <c r="EQM118" s="575"/>
      <c r="EQN118" s="583"/>
      <c r="EQO118" s="590"/>
      <c r="EQP118" s="589"/>
      <c r="EQQ118" s="585"/>
      <c r="EQR118" s="577"/>
      <c r="EQS118" s="304"/>
      <c r="EQT118" s="572"/>
      <c r="EQU118" s="573"/>
      <c r="EQV118" s="574"/>
      <c r="EQW118" s="575"/>
      <c r="EQX118" s="583"/>
      <c r="EQY118" s="590"/>
      <c r="EQZ118" s="589"/>
      <c r="ERA118" s="585"/>
      <c r="ERB118" s="577"/>
      <c r="ERC118" s="304"/>
      <c r="ERD118" s="572"/>
      <c r="ERE118" s="573"/>
      <c r="ERF118" s="574"/>
      <c r="ERG118" s="575"/>
      <c r="ERH118" s="583"/>
      <c r="ERI118" s="590"/>
      <c r="ERJ118" s="589"/>
      <c r="ERK118" s="585"/>
      <c r="ERL118" s="577"/>
      <c r="ERM118" s="304"/>
      <c r="ERN118" s="572"/>
      <c r="ERO118" s="573"/>
      <c r="ERP118" s="574"/>
      <c r="ERQ118" s="575"/>
      <c r="ERR118" s="583"/>
      <c r="ERS118" s="590"/>
      <c r="ERT118" s="589"/>
      <c r="ERU118" s="585"/>
      <c r="ERV118" s="577"/>
      <c r="ERW118" s="304"/>
      <c r="ERX118" s="572"/>
      <c r="ERY118" s="573"/>
      <c r="ERZ118" s="574"/>
      <c r="ESA118" s="575"/>
      <c r="ESB118" s="583"/>
      <c r="ESC118" s="590"/>
      <c r="ESD118" s="589"/>
      <c r="ESE118" s="585"/>
      <c r="ESF118" s="577"/>
      <c r="ESG118" s="304"/>
      <c r="ESH118" s="572"/>
      <c r="ESI118" s="573"/>
      <c r="ESJ118" s="574"/>
      <c r="ESK118" s="575"/>
      <c r="ESL118" s="583"/>
      <c r="ESM118" s="590"/>
      <c r="ESN118" s="589"/>
      <c r="ESO118" s="585"/>
      <c r="ESP118" s="577"/>
      <c r="ESQ118" s="304"/>
      <c r="ESR118" s="572"/>
      <c r="ESS118" s="573"/>
      <c r="EST118" s="574"/>
      <c r="ESU118" s="575"/>
      <c r="ESV118" s="583"/>
      <c r="ESW118" s="590"/>
      <c r="ESX118" s="589"/>
      <c r="ESY118" s="585"/>
      <c r="ESZ118" s="577"/>
      <c r="ETA118" s="304"/>
      <c r="ETB118" s="572"/>
      <c r="ETC118" s="573"/>
      <c r="ETD118" s="574"/>
      <c r="ETE118" s="575"/>
      <c r="ETF118" s="583"/>
      <c r="ETG118" s="590"/>
      <c r="ETH118" s="589"/>
      <c r="ETI118" s="585"/>
      <c r="ETJ118" s="577"/>
      <c r="ETK118" s="304"/>
      <c r="ETL118" s="572"/>
      <c r="ETM118" s="573"/>
      <c r="ETN118" s="574"/>
      <c r="ETO118" s="575"/>
      <c r="ETP118" s="583"/>
      <c r="ETQ118" s="590"/>
      <c r="ETR118" s="589"/>
      <c r="ETS118" s="585"/>
      <c r="ETT118" s="577"/>
      <c r="ETU118" s="304"/>
      <c r="ETV118" s="572"/>
      <c r="ETW118" s="573"/>
      <c r="ETX118" s="574"/>
      <c r="ETY118" s="575"/>
      <c r="ETZ118" s="583"/>
      <c r="EUA118" s="590"/>
      <c r="EUB118" s="589"/>
      <c r="EUC118" s="585"/>
      <c r="EUD118" s="577"/>
      <c r="EUE118" s="304"/>
      <c r="EUF118" s="572"/>
      <c r="EUG118" s="573"/>
      <c r="EUH118" s="574"/>
      <c r="EUI118" s="575"/>
      <c r="EUJ118" s="583"/>
      <c r="EUK118" s="590"/>
      <c r="EUL118" s="589"/>
      <c r="EUM118" s="585"/>
      <c r="EUN118" s="577"/>
      <c r="EUO118" s="304"/>
      <c r="EUP118" s="572"/>
      <c r="EUQ118" s="573"/>
      <c r="EUR118" s="574"/>
      <c r="EUS118" s="575"/>
      <c r="EUT118" s="583"/>
      <c r="EUU118" s="590"/>
      <c r="EUV118" s="589"/>
      <c r="EUW118" s="585"/>
      <c r="EUX118" s="577"/>
      <c r="EUY118" s="304"/>
      <c r="EUZ118" s="572"/>
      <c r="EVA118" s="573"/>
      <c r="EVB118" s="574"/>
      <c r="EVC118" s="575"/>
      <c r="EVD118" s="583"/>
      <c r="EVE118" s="590"/>
      <c r="EVF118" s="589"/>
      <c r="EVG118" s="585"/>
      <c r="EVH118" s="577"/>
      <c r="EVI118" s="304"/>
      <c r="EVJ118" s="572"/>
      <c r="EVK118" s="573"/>
      <c r="EVL118" s="574"/>
      <c r="EVM118" s="575"/>
      <c r="EVN118" s="583"/>
      <c r="EVO118" s="590"/>
      <c r="EVP118" s="589"/>
      <c r="EVQ118" s="585"/>
      <c r="EVR118" s="577"/>
      <c r="EVS118" s="304"/>
      <c r="EVT118" s="572"/>
      <c r="EVU118" s="573"/>
      <c r="EVV118" s="574"/>
      <c r="EVW118" s="575"/>
      <c r="EVX118" s="583"/>
      <c r="EVY118" s="590"/>
      <c r="EVZ118" s="589"/>
      <c r="EWA118" s="585"/>
      <c r="EWB118" s="577"/>
      <c r="EWC118" s="304"/>
      <c r="EWD118" s="572"/>
      <c r="EWE118" s="573"/>
      <c r="EWF118" s="574"/>
      <c r="EWG118" s="575"/>
      <c r="EWH118" s="583"/>
      <c r="EWI118" s="590"/>
      <c r="EWJ118" s="589"/>
      <c r="EWK118" s="585"/>
      <c r="EWL118" s="577"/>
      <c r="EWM118" s="304"/>
      <c r="EWN118" s="572"/>
      <c r="EWO118" s="573"/>
      <c r="EWP118" s="574"/>
      <c r="EWQ118" s="575"/>
      <c r="EWR118" s="583"/>
      <c r="EWS118" s="590"/>
      <c r="EWT118" s="589"/>
      <c r="EWU118" s="585"/>
      <c r="EWV118" s="577"/>
      <c r="EWW118" s="304"/>
      <c r="EWX118" s="572"/>
      <c r="EWY118" s="573"/>
      <c r="EWZ118" s="574"/>
      <c r="EXA118" s="575"/>
      <c r="EXB118" s="583"/>
      <c r="EXC118" s="590"/>
      <c r="EXD118" s="589"/>
      <c r="EXE118" s="585"/>
      <c r="EXF118" s="577"/>
      <c r="EXG118" s="304"/>
      <c r="EXH118" s="572"/>
      <c r="EXI118" s="573"/>
      <c r="EXJ118" s="574"/>
      <c r="EXK118" s="575"/>
      <c r="EXL118" s="583"/>
      <c r="EXM118" s="590"/>
      <c r="EXN118" s="589"/>
      <c r="EXO118" s="585"/>
      <c r="EXP118" s="577"/>
      <c r="EXQ118" s="304"/>
      <c r="EXR118" s="572"/>
      <c r="EXS118" s="573"/>
      <c r="EXT118" s="574"/>
      <c r="EXU118" s="575"/>
      <c r="EXV118" s="583"/>
      <c r="EXW118" s="590"/>
      <c r="EXX118" s="589"/>
      <c r="EXY118" s="585"/>
      <c r="EXZ118" s="577"/>
      <c r="EYA118" s="304"/>
      <c r="EYB118" s="572"/>
      <c r="EYC118" s="573"/>
      <c r="EYD118" s="574"/>
      <c r="EYE118" s="575"/>
      <c r="EYF118" s="583"/>
      <c r="EYG118" s="590"/>
      <c r="EYH118" s="589"/>
      <c r="EYI118" s="585"/>
      <c r="EYJ118" s="577"/>
      <c r="EYK118" s="304"/>
      <c r="EYL118" s="572"/>
      <c r="EYM118" s="573"/>
      <c r="EYN118" s="574"/>
      <c r="EYO118" s="575"/>
      <c r="EYP118" s="583"/>
      <c r="EYQ118" s="590"/>
      <c r="EYR118" s="589"/>
      <c r="EYS118" s="585"/>
      <c r="EYT118" s="577"/>
      <c r="EYU118" s="304"/>
      <c r="EYV118" s="572"/>
      <c r="EYW118" s="573"/>
      <c r="EYX118" s="574"/>
      <c r="EYY118" s="575"/>
      <c r="EYZ118" s="583"/>
      <c r="EZA118" s="590"/>
      <c r="EZB118" s="589"/>
      <c r="EZC118" s="585"/>
      <c r="EZD118" s="577"/>
      <c r="EZE118" s="304"/>
      <c r="EZF118" s="572"/>
      <c r="EZG118" s="573"/>
      <c r="EZH118" s="574"/>
      <c r="EZI118" s="575"/>
      <c r="EZJ118" s="583"/>
      <c r="EZK118" s="590"/>
      <c r="EZL118" s="589"/>
      <c r="EZM118" s="585"/>
      <c r="EZN118" s="577"/>
      <c r="EZO118" s="304"/>
      <c r="EZP118" s="572"/>
      <c r="EZQ118" s="573"/>
      <c r="EZR118" s="574"/>
      <c r="EZS118" s="575"/>
      <c r="EZT118" s="583"/>
      <c r="EZU118" s="590"/>
      <c r="EZV118" s="589"/>
      <c r="EZW118" s="585"/>
      <c r="EZX118" s="577"/>
      <c r="EZY118" s="304"/>
      <c r="EZZ118" s="572"/>
      <c r="FAA118" s="573"/>
      <c r="FAB118" s="574"/>
      <c r="FAC118" s="575"/>
      <c r="FAD118" s="583"/>
      <c r="FAE118" s="590"/>
      <c r="FAF118" s="589"/>
      <c r="FAG118" s="585"/>
      <c r="FAH118" s="577"/>
      <c r="FAI118" s="304"/>
      <c r="FAJ118" s="572"/>
      <c r="FAK118" s="573"/>
      <c r="FAL118" s="574"/>
      <c r="FAM118" s="575"/>
      <c r="FAN118" s="583"/>
      <c r="FAO118" s="590"/>
      <c r="FAP118" s="589"/>
      <c r="FAQ118" s="585"/>
      <c r="FAR118" s="577"/>
      <c r="FAS118" s="304"/>
      <c r="FAT118" s="572"/>
      <c r="FAU118" s="573"/>
      <c r="FAV118" s="574"/>
      <c r="FAW118" s="575"/>
      <c r="FAX118" s="583"/>
      <c r="FAY118" s="590"/>
      <c r="FAZ118" s="589"/>
      <c r="FBA118" s="585"/>
      <c r="FBB118" s="577"/>
      <c r="FBC118" s="304"/>
      <c r="FBD118" s="572"/>
      <c r="FBE118" s="573"/>
      <c r="FBF118" s="574"/>
      <c r="FBG118" s="575"/>
      <c r="FBH118" s="583"/>
      <c r="FBI118" s="590"/>
      <c r="FBJ118" s="589"/>
      <c r="FBK118" s="585"/>
      <c r="FBL118" s="577"/>
      <c r="FBM118" s="304"/>
      <c r="FBN118" s="572"/>
      <c r="FBO118" s="573"/>
      <c r="FBP118" s="574"/>
      <c r="FBQ118" s="575"/>
      <c r="FBR118" s="583"/>
      <c r="FBS118" s="590"/>
      <c r="FBT118" s="589"/>
      <c r="FBU118" s="585"/>
      <c r="FBV118" s="577"/>
      <c r="FBW118" s="304"/>
      <c r="FBX118" s="572"/>
      <c r="FBY118" s="573"/>
      <c r="FBZ118" s="574"/>
      <c r="FCA118" s="575"/>
      <c r="FCB118" s="583"/>
      <c r="FCC118" s="590"/>
      <c r="FCD118" s="589"/>
      <c r="FCE118" s="585"/>
      <c r="FCF118" s="577"/>
      <c r="FCG118" s="304"/>
      <c r="FCH118" s="572"/>
      <c r="FCI118" s="573"/>
      <c r="FCJ118" s="574"/>
      <c r="FCK118" s="575"/>
      <c r="FCL118" s="583"/>
      <c r="FCM118" s="590"/>
      <c r="FCN118" s="589"/>
      <c r="FCO118" s="585"/>
      <c r="FCP118" s="577"/>
      <c r="FCQ118" s="304"/>
      <c r="FCR118" s="572"/>
      <c r="FCS118" s="573"/>
      <c r="FCT118" s="574"/>
      <c r="FCU118" s="575"/>
      <c r="FCV118" s="583"/>
      <c r="FCW118" s="590"/>
      <c r="FCX118" s="589"/>
      <c r="FCY118" s="585"/>
      <c r="FCZ118" s="577"/>
      <c r="FDA118" s="304"/>
      <c r="FDB118" s="572"/>
      <c r="FDC118" s="573"/>
      <c r="FDD118" s="574"/>
      <c r="FDE118" s="575"/>
      <c r="FDF118" s="583"/>
      <c r="FDG118" s="590"/>
      <c r="FDH118" s="589"/>
      <c r="FDI118" s="585"/>
      <c r="FDJ118" s="577"/>
      <c r="FDK118" s="304"/>
      <c r="FDL118" s="572"/>
      <c r="FDM118" s="573"/>
      <c r="FDN118" s="574"/>
      <c r="FDO118" s="575"/>
      <c r="FDP118" s="583"/>
      <c r="FDQ118" s="590"/>
      <c r="FDR118" s="589"/>
      <c r="FDS118" s="585"/>
      <c r="FDT118" s="577"/>
      <c r="FDU118" s="304"/>
      <c r="FDV118" s="572"/>
      <c r="FDW118" s="573"/>
      <c r="FDX118" s="574"/>
      <c r="FDY118" s="575"/>
      <c r="FDZ118" s="583"/>
      <c r="FEA118" s="590"/>
      <c r="FEB118" s="589"/>
      <c r="FEC118" s="585"/>
      <c r="FED118" s="577"/>
      <c r="FEE118" s="304"/>
      <c r="FEF118" s="572"/>
      <c r="FEG118" s="573"/>
      <c r="FEH118" s="574"/>
      <c r="FEI118" s="575"/>
      <c r="FEJ118" s="583"/>
      <c r="FEK118" s="590"/>
      <c r="FEL118" s="589"/>
      <c r="FEM118" s="585"/>
      <c r="FEN118" s="577"/>
      <c r="FEO118" s="304"/>
      <c r="FEP118" s="572"/>
      <c r="FEQ118" s="573"/>
      <c r="FER118" s="574"/>
      <c r="FES118" s="575"/>
      <c r="FET118" s="583"/>
      <c r="FEU118" s="590"/>
      <c r="FEV118" s="589"/>
      <c r="FEW118" s="585"/>
      <c r="FEX118" s="577"/>
      <c r="FEY118" s="304"/>
      <c r="FEZ118" s="572"/>
      <c r="FFA118" s="573"/>
      <c r="FFB118" s="574"/>
      <c r="FFC118" s="575"/>
      <c r="FFD118" s="583"/>
      <c r="FFE118" s="590"/>
      <c r="FFF118" s="589"/>
      <c r="FFG118" s="585"/>
      <c r="FFH118" s="577"/>
      <c r="FFI118" s="304"/>
      <c r="FFJ118" s="572"/>
      <c r="FFK118" s="573"/>
      <c r="FFL118" s="574"/>
      <c r="FFM118" s="575"/>
      <c r="FFN118" s="583"/>
      <c r="FFO118" s="590"/>
      <c r="FFP118" s="589"/>
      <c r="FFQ118" s="585"/>
      <c r="FFR118" s="577"/>
      <c r="FFS118" s="304"/>
      <c r="FFT118" s="572"/>
      <c r="FFU118" s="573"/>
      <c r="FFV118" s="574"/>
      <c r="FFW118" s="575"/>
      <c r="FFX118" s="583"/>
      <c r="FFY118" s="590"/>
      <c r="FFZ118" s="589"/>
      <c r="FGA118" s="585"/>
      <c r="FGB118" s="577"/>
      <c r="FGC118" s="304"/>
      <c r="FGD118" s="572"/>
      <c r="FGE118" s="573"/>
      <c r="FGF118" s="574"/>
      <c r="FGG118" s="575"/>
      <c r="FGH118" s="583"/>
      <c r="FGI118" s="590"/>
      <c r="FGJ118" s="589"/>
      <c r="FGK118" s="585"/>
      <c r="FGL118" s="577"/>
      <c r="FGM118" s="304"/>
      <c r="FGN118" s="572"/>
      <c r="FGO118" s="573"/>
      <c r="FGP118" s="574"/>
      <c r="FGQ118" s="575"/>
      <c r="FGR118" s="583"/>
      <c r="FGS118" s="590"/>
      <c r="FGT118" s="589"/>
      <c r="FGU118" s="585"/>
      <c r="FGV118" s="577"/>
      <c r="FGW118" s="304"/>
      <c r="FGX118" s="572"/>
      <c r="FGY118" s="573"/>
      <c r="FGZ118" s="574"/>
      <c r="FHA118" s="575"/>
      <c r="FHB118" s="583"/>
      <c r="FHC118" s="590"/>
      <c r="FHD118" s="589"/>
      <c r="FHE118" s="585"/>
      <c r="FHF118" s="577"/>
      <c r="FHG118" s="304"/>
      <c r="FHH118" s="572"/>
      <c r="FHI118" s="573"/>
      <c r="FHJ118" s="574"/>
      <c r="FHK118" s="575"/>
      <c r="FHL118" s="583"/>
      <c r="FHM118" s="590"/>
      <c r="FHN118" s="589"/>
      <c r="FHO118" s="585"/>
      <c r="FHP118" s="577"/>
      <c r="FHQ118" s="304"/>
      <c r="FHR118" s="572"/>
      <c r="FHS118" s="573"/>
      <c r="FHT118" s="574"/>
      <c r="FHU118" s="575"/>
      <c r="FHV118" s="583"/>
      <c r="FHW118" s="590"/>
      <c r="FHX118" s="589"/>
      <c r="FHY118" s="585"/>
      <c r="FHZ118" s="577"/>
      <c r="FIA118" s="304"/>
      <c r="FIB118" s="572"/>
      <c r="FIC118" s="573"/>
      <c r="FID118" s="574"/>
      <c r="FIE118" s="575"/>
      <c r="FIF118" s="583"/>
      <c r="FIG118" s="590"/>
      <c r="FIH118" s="589"/>
      <c r="FII118" s="585"/>
      <c r="FIJ118" s="577"/>
      <c r="FIK118" s="304"/>
      <c r="FIL118" s="572"/>
      <c r="FIM118" s="573"/>
      <c r="FIN118" s="574"/>
      <c r="FIO118" s="575"/>
      <c r="FIP118" s="583"/>
      <c r="FIQ118" s="590"/>
      <c r="FIR118" s="589"/>
      <c r="FIS118" s="585"/>
      <c r="FIT118" s="577"/>
      <c r="FIU118" s="304"/>
      <c r="FIV118" s="572"/>
      <c r="FIW118" s="573"/>
      <c r="FIX118" s="574"/>
      <c r="FIY118" s="575"/>
      <c r="FIZ118" s="583"/>
      <c r="FJA118" s="590"/>
      <c r="FJB118" s="589"/>
      <c r="FJC118" s="585"/>
      <c r="FJD118" s="577"/>
      <c r="FJE118" s="304"/>
      <c r="FJF118" s="572"/>
      <c r="FJG118" s="573"/>
      <c r="FJH118" s="574"/>
      <c r="FJI118" s="575"/>
      <c r="FJJ118" s="583"/>
      <c r="FJK118" s="590"/>
      <c r="FJL118" s="589"/>
      <c r="FJM118" s="585"/>
      <c r="FJN118" s="577"/>
      <c r="FJO118" s="304"/>
      <c r="FJP118" s="572"/>
      <c r="FJQ118" s="573"/>
      <c r="FJR118" s="574"/>
      <c r="FJS118" s="575"/>
      <c r="FJT118" s="583"/>
      <c r="FJU118" s="590"/>
      <c r="FJV118" s="589"/>
      <c r="FJW118" s="585"/>
      <c r="FJX118" s="577"/>
      <c r="FJY118" s="304"/>
      <c r="FJZ118" s="572"/>
      <c r="FKA118" s="573"/>
      <c r="FKB118" s="574"/>
      <c r="FKC118" s="575"/>
      <c r="FKD118" s="583"/>
      <c r="FKE118" s="590"/>
      <c r="FKF118" s="589"/>
      <c r="FKG118" s="585"/>
      <c r="FKH118" s="577"/>
      <c r="FKI118" s="304"/>
      <c r="FKJ118" s="572"/>
      <c r="FKK118" s="573"/>
      <c r="FKL118" s="574"/>
      <c r="FKM118" s="575"/>
      <c r="FKN118" s="583"/>
      <c r="FKO118" s="590"/>
      <c r="FKP118" s="589"/>
      <c r="FKQ118" s="585"/>
      <c r="FKR118" s="577"/>
      <c r="FKS118" s="304"/>
      <c r="FKT118" s="572"/>
      <c r="FKU118" s="573"/>
      <c r="FKV118" s="574"/>
      <c r="FKW118" s="575"/>
      <c r="FKX118" s="583"/>
      <c r="FKY118" s="590"/>
      <c r="FKZ118" s="589"/>
      <c r="FLA118" s="585"/>
      <c r="FLB118" s="577"/>
      <c r="FLC118" s="304"/>
      <c r="FLD118" s="572"/>
      <c r="FLE118" s="573"/>
      <c r="FLF118" s="574"/>
      <c r="FLG118" s="575"/>
      <c r="FLH118" s="583"/>
      <c r="FLI118" s="590"/>
      <c r="FLJ118" s="589"/>
      <c r="FLK118" s="585"/>
      <c r="FLL118" s="577"/>
      <c r="FLM118" s="304"/>
      <c r="FLN118" s="572"/>
      <c r="FLO118" s="573"/>
      <c r="FLP118" s="574"/>
      <c r="FLQ118" s="575"/>
      <c r="FLR118" s="583"/>
      <c r="FLS118" s="590"/>
      <c r="FLT118" s="589"/>
      <c r="FLU118" s="585"/>
      <c r="FLV118" s="577"/>
      <c r="FLW118" s="304"/>
      <c r="FLX118" s="572"/>
      <c r="FLY118" s="573"/>
      <c r="FLZ118" s="574"/>
      <c r="FMA118" s="575"/>
      <c r="FMB118" s="583"/>
      <c r="FMC118" s="590"/>
      <c r="FMD118" s="589"/>
      <c r="FME118" s="585"/>
      <c r="FMF118" s="577"/>
      <c r="FMG118" s="304"/>
      <c r="FMH118" s="572"/>
      <c r="FMI118" s="573"/>
      <c r="FMJ118" s="574"/>
      <c r="FMK118" s="575"/>
      <c r="FML118" s="583"/>
      <c r="FMM118" s="590"/>
      <c r="FMN118" s="589"/>
      <c r="FMO118" s="585"/>
      <c r="FMP118" s="577"/>
      <c r="FMQ118" s="304"/>
      <c r="FMR118" s="572"/>
      <c r="FMS118" s="573"/>
      <c r="FMT118" s="574"/>
      <c r="FMU118" s="575"/>
      <c r="FMV118" s="583"/>
      <c r="FMW118" s="590"/>
      <c r="FMX118" s="589"/>
      <c r="FMY118" s="585"/>
      <c r="FMZ118" s="577"/>
      <c r="FNA118" s="304"/>
      <c r="FNB118" s="572"/>
      <c r="FNC118" s="573"/>
      <c r="FND118" s="574"/>
      <c r="FNE118" s="575"/>
      <c r="FNF118" s="583"/>
      <c r="FNG118" s="590"/>
      <c r="FNH118" s="589"/>
      <c r="FNI118" s="585"/>
      <c r="FNJ118" s="577"/>
      <c r="FNK118" s="304"/>
      <c r="FNL118" s="572"/>
      <c r="FNM118" s="573"/>
      <c r="FNN118" s="574"/>
      <c r="FNO118" s="575"/>
      <c r="FNP118" s="583"/>
      <c r="FNQ118" s="590"/>
      <c r="FNR118" s="589"/>
      <c r="FNS118" s="585"/>
      <c r="FNT118" s="577"/>
      <c r="FNU118" s="304"/>
      <c r="FNV118" s="572"/>
      <c r="FNW118" s="573"/>
      <c r="FNX118" s="574"/>
      <c r="FNY118" s="575"/>
      <c r="FNZ118" s="583"/>
      <c r="FOA118" s="590"/>
      <c r="FOB118" s="589"/>
      <c r="FOC118" s="585"/>
      <c r="FOD118" s="577"/>
      <c r="FOE118" s="304"/>
      <c r="FOF118" s="572"/>
      <c r="FOG118" s="573"/>
      <c r="FOH118" s="574"/>
      <c r="FOI118" s="575"/>
      <c r="FOJ118" s="583"/>
      <c r="FOK118" s="590"/>
      <c r="FOL118" s="589"/>
      <c r="FOM118" s="585"/>
      <c r="FON118" s="577"/>
      <c r="FOO118" s="304"/>
      <c r="FOP118" s="572"/>
      <c r="FOQ118" s="573"/>
      <c r="FOR118" s="574"/>
      <c r="FOS118" s="575"/>
      <c r="FOT118" s="583"/>
      <c r="FOU118" s="590"/>
      <c r="FOV118" s="589"/>
      <c r="FOW118" s="585"/>
      <c r="FOX118" s="577"/>
      <c r="FOY118" s="304"/>
      <c r="FOZ118" s="572"/>
      <c r="FPA118" s="573"/>
      <c r="FPB118" s="574"/>
      <c r="FPC118" s="575"/>
      <c r="FPD118" s="583"/>
      <c r="FPE118" s="590"/>
      <c r="FPF118" s="589"/>
      <c r="FPG118" s="585"/>
      <c r="FPH118" s="577"/>
      <c r="FPI118" s="304"/>
      <c r="FPJ118" s="572"/>
      <c r="FPK118" s="573"/>
      <c r="FPL118" s="574"/>
      <c r="FPM118" s="575"/>
      <c r="FPN118" s="583"/>
      <c r="FPO118" s="590"/>
      <c r="FPP118" s="589"/>
      <c r="FPQ118" s="585"/>
      <c r="FPR118" s="577"/>
      <c r="FPS118" s="304"/>
      <c r="FPT118" s="572"/>
      <c r="FPU118" s="573"/>
      <c r="FPV118" s="574"/>
      <c r="FPW118" s="575"/>
      <c r="FPX118" s="583"/>
      <c r="FPY118" s="590"/>
      <c r="FPZ118" s="589"/>
      <c r="FQA118" s="585"/>
      <c r="FQB118" s="577"/>
      <c r="FQC118" s="304"/>
      <c r="FQD118" s="572"/>
      <c r="FQE118" s="573"/>
      <c r="FQF118" s="574"/>
      <c r="FQG118" s="575"/>
      <c r="FQH118" s="583"/>
      <c r="FQI118" s="590"/>
      <c r="FQJ118" s="589"/>
      <c r="FQK118" s="585"/>
      <c r="FQL118" s="577"/>
      <c r="FQM118" s="304"/>
      <c r="FQN118" s="572"/>
      <c r="FQO118" s="573"/>
      <c r="FQP118" s="574"/>
      <c r="FQQ118" s="575"/>
      <c r="FQR118" s="583"/>
      <c r="FQS118" s="590"/>
      <c r="FQT118" s="589"/>
      <c r="FQU118" s="585"/>
      <c r="FQV118" s="577"/>
      <c r="FQW118" s="304"/>
      <c r="FQX118" s="572"/>
      <c r="FQY118" s="573"/>
      <c r="FQZ118" s="574"/>
      <c r="FRA118" s="575"/>
      <c r="FRB118" s="583"/>
      <c r="FRC118" s="590"/>
      <c r="FRD118" s="589"/>
      <c r="FRE118" s="585"/>
      <c r="FRF118" s="577"/>
      <c r="FRG118" s="304"/>
      <c r="FRH118" s="572"/>
      <c r="FRI118" s="573"/>
      <c r="FRJ118" s="574"/>
      <c r="FRK118" s="575"/>
      <c r="FRL118" s="583"/>
      <c r="FRM118" s="590"/>
      <c r="FRN118" s="589"/>
      <c r="FRO118" s="585"/>
      <c r="FRP118" s="577"/>
      <c r="FRQ118" s="304"/>
      <c r="FRR118" s="572"/>
      <c r="FRS118" s="573"/>
      <c r="FRT118" s="574"/>
      <c r="FRU118" s="575"/>
      <c r="FRV118" s="583"/>
      <c r="FRW118" s="590"/>
      <c r="FRX118" s="589"/>
      <c r="FRY118" s="585"/>
      <c r="FRZ118" s="577"/>
      <c r="FSA118" s="304"/>
      <c r="FSB118" s="572"/>
      <c r="FSC118" s="573"/>
      <c r="FSD118" s="574"/>
      <c r="FSE118" s="575"/>
      <c r="FSF118" s="583"/>
      <c r="FSG118" s="590"/>
      <c r="FSH118" s="589"/>
      <c r="FSI118" s="585"/>
      <c r="FSJ118" s="577"/>
      <c r="FSK118" s="304"/>
      <c r="FSL118" s="572"/>
      <c r="FSM118" s="573"/>
      <c r="FSN118" s="574"/>
      <c r="FSO118" s="575"/>
      <c r="FSP118" s="583"/>
      <c r="FSQ118" s="590"/>
      <c r="FSR118" s="589"/>
      <c r="FSS118" s="585"/>
      <c r="FST118" s="577"/>
      <c r="FSU118" s="304"/>
      <c r="FSV118" s="572"/>
      <c r="FSW118" s="573"/>
      <c r="FSX118" s="574"/>
      <c r="FSY118" s="575"/>
      <c r="FSZ118" s="583"/>
      <c r="FTA118" s="590"/>
      <c r="FTB118" s="589"/>
      <c r="FTC118" s="585"/>
      <c r="FTD118" s="577"/>
      <c r="FTE118" s="304"/>
      <c r="FTF118" s="572"/>
      <c r="FTG118" s="573"/>
      <c r="FTH118" s="574"/>
      <c r="FTI118" s="575"/>
      <c r="FTJ118" s="583"/>
      <c r="FTK118" s="590"/>
      <c r="FTL118" s="589"/>
      <c r="FTM118" s="585"/>
      <c r="FTN118" s="577"/>
      <c r="FTO118" s="304"/>
      <c r="FTP118" s="572"/>
      <c r="FTQ118" s="573"/>
      <c r="FTR118" s="574"/>
      <c r="FTS118" s="575"/>
      <c r="FTT118" s="583"/>
      <c r="FTU118" s="590"/>
      <c r="FTV118" s="589"/>
      <c r="FTW118" s="585"/>
      <c r="FTX118" s="577"/>
      <c r="FTY118" s="304"/>
      <c r="FTZ118" s="572"/>
      <c r="FUA118" s="573"/>
      <c r="FUB118" s="574"/>
      <c r="FUC118" s="575"/>
      <c r="FUD118" s="583"/>
      <c r="FUE118" s="590"/>
      <c r="FUF118" s="589"/>
      <c r="FUG118" s="585"/>
      <c r="FUH118" s="577"/>
      <c r="FUI118" s="304"/>
      <c r="FUJ118" s="572"/>
      <c r="FUK118" s="573"/>
      <c r="FUL118" s="574"/>
      <c r="FUM118" s="575"/>
      <c r="FUN118" s="583"/>
      <c r="FUO118" s="590"/>
      <c r="FUP118" s="589"/>
      <c r="FUQ118" s="585"/>
      <c r="FUR118" s="577"/>
      <c r="FUS118" s="304"/>
      <c r="FUT118" s="572"/>
      <c r="FUU118" s="573"/>
      <c r="FUV118" s="574"/>
      <c r="FUW118" s="575"/>
      <c r="FUX118" s="583"/>
      <c r="FUY118" s="590"/>
      <c r="FUZ118" s="589"/>
      <c r="FVA118" s="585"/>
      <c r="FVB118" s="577"/>
      <c r="FVC118" s="304"/>
      <c r="FVD118" s="572"/>
      <c r="FVE118" s="573"/>
      <c r="FVF118" s="574"/>
      <c r="FVG118" s="575"/>
      <c r="FVH118" s="583"/>
      <c r="FVI118" s="590"/>
      <c r="FVJ118" s="589"/>
      <c r="FVK118" s="585"/>
      <c r="FVL118" s="577"/>
      <c r="FVM118" s="304"/>
      <c r="FVN118" s="572"/>
      <c r="FVO118" s="573"/>
      <c r="FVP118" s="574"/>
      <c r="FVQ118" s="575"/>
      <c r="FVR118" s="583"/>
      <c r="FVS118" s="590"/>
      <c r="FVT118" s="589"/>
      <c r="FVU118" s="585"/>
      <c r="FVV118" s="577"/>
      <c r="FVW118" s="304"/>
      <c r="FVX118" s="572"/>
      <c r="FVY118" s="573"/>
      <c r="FVZ118" s="574"/>
      <c r="FWA118" s="575"/>
      <c r="FWB118" s="583"/>
      <c r="FWC118" s="590"/>
      <c r="FWD118" s="589"/>
      <c r="FWE118" s="585"/>
      <c r="FWF118" s="577"/>
      <c r="FWG118" s="304"/>
      <c r="FWH118" s="572"/>
      <c r="FWI118" s="573"/>
      <c r="FWJ118" s="574"/>
      <c r="FWK118" s="575"/>
      <c r="FWL118" s="583"/>
      <c r="FWM118" s="590"/>
      <c r="FWN118" s="589"/>
      <c r="FWO118" s="585"/>
      <c r="FWP118" s="577"/>
      <c r="FWQ118" s="304"/>
      <c r="FWR118" s="572"/>
      <c r="FWS118" s="573"/>
      <c r="FWT118" s="574"/>
      <c r="FWU118" s="575"/>
      <c r="FWV118" s="583"/>
      <c r="FWW118" s="590"/>
      <c r="FWX118" s="589"/>
      <c r="FWY118" s="585"/>
      <c r="FWZ118" s="577"/>
      <c r="FXA118" s="304"/>
      <c r="FXB118" s="572"/>
      <c r="FXC118" s="573"/>
      <c r="FXD118" s="574"/>
      <c r="FXE118" s="575"/>
      <c r="FXF118" s="583"/>
      <c r="FXG118" s="590"/>
      <c r="FXH118" s="589"/>
      <c r="FXI118" s="585"/>
      <c r="FXJ118" s="577"/>
      <c r="FXK118" s="304"/>
      <c r="FXL118" s="572"/>
      <c r="FXM118" s="573"/>
      <c r="FXN118" s="574"/>
      <c r="FXO118" s="575"/>
      <c r="FXP118" s="583"/>
      <c r="FXQ118" s="590"/>
      <c r="FXR118" s="589"/>
      <c r="FXS118" s="585"/>
      <c r="FXT118" s="577"/>
      <c r="FXU118" s="304"/>
      <c r="FXV118" s="572"/>
      <c r="FXW118" s="573"/>
      <c r="FXX118" s="574"/>
      <c r="FXY118" s="575"/>
      <c r="FXZ118" s="583"/>
      <c r="FYA118" s="590"/>
      <c r="FYB118" s="589"/>
      <c r="FYC118" s="585"/>
      <c r="FYD118" s="577"/>
      <c r="FYE118" s="304"/>
      <c r="FYF118" s="572"/>
      <c r="FYG118" s="573"/>
      <c r="FYH118" s="574"/>
      <c r="FYI118" s="575"/>
      <c r="FYJ118" s="583"/>
      <c r="FYK118" s="590"/>
      <c r="FYL118" s="589"/>
      <c r="FYM118" s="585"/>
      <c r="FYN118" s="577"/>
      <c r="FYO118" s="304"/>
      <c r="FYP118" s="572"/>
      <c r="FYQ118" s="573"/>
      <c r="FYR118" s="574"/>
      <c r="FYS118" s="575"/>
      <c r="FYT118" s="583"/>
      <c r="FYU118" s="590"/>
      <c r="FYV118" s="589"/>
      <c r="FYW118" s="585"/>
      <c r="FYX118" s="577"/>
      <c r="FYY118" s="304"/>
      <c r="FYZ118" s="572"/>
      <c r="FZA118" s="573"/>
      <c r="FZB118" s="574"/>
      <c r="FZC118" s="575"/>
      <c r="FZD118" s="583"/>
      <c r="FZE118" s="590"/>
      <c r="FZF118" s="589"/>
      <c r="FZG118" s="585"/>
      <c r="FZH118" s="577"/>
      <c r="FZI118" s="304"/>
      <c r="FZJ118" s="572"/>
      <c r="FZK118" s="573"/>
      <c r="FZL118" s="574"/>
      <c r="FZM118" s="575"/>
      <c r="FZN118" s="583"/>
      <c r="FZO118" s="590"/>
      <c r="FZP118" s="589"/>
      <c r="FZQ118" s="585"/>
      <c r="FZR118" s="577"/>
      <c r="FZS118" s="304"/>
      <c r="FZT118" s="572"/>
      <c r="FZU118" s="573"/>
      <c r="FZV118" s="574"/>
      <c r="FZW118" s="575"/>
      <c r="FZX118" s="583"/>
      <c r="FZY118" s="590"/>
      <c r="FZZ118" s="589"/>
      <c r="GAA118" s="585"/>
      <c r="GAB118" s="577"/>
      <c r="GAC118" s="304"/>
      <c r="GAD118" s="572"/>
      <c r="GAE118" s="573"/>
      <c r="GAF118" s="574"/>
      <c r="GAG118" s="575"/>
      <c r="GAH118" s="583"/>
      <c r="GAI118" s="590"/>
      <c r="GAJ118" s="589"/>
      <c r="GAK118" s="585"/>
      <c r="GAL118" s="577"/>
      <c r="GAM118" s="304"/>
      <c r="GAN118" s="572"/>
      <c r="GAO118" s="573"/>
      <c r="GAP118" s="574"/>
      <c r="GAQ118" s="575"/>
      <c r="GAR118" s="583"/>
      <c r="GAS118" s="590"/>
      <c r="GAT118" s="589"/>
      <c r="GAU118" s="585"/>
      <c r="GAV118" s="577"/>
      <c r="GAW118" s="304"/>
      <c r="GAX118" s="572"/>
      <c r="GAY118" s="573"/>
      <c r="GAZ118" s="574"/>
      <c r="GBA118" s="575"/>
      <c r="GBB118" s="583"/>
      <c r="GBC118" s="590"/>
      <c r="GBD118" s="589"/>
      <c r="GBE118" s="585"/>
      <c r="GBF118" s="577"/>
      <c r="GBG118" s="304"/>
      <c r="GBH118" s="572"/>
      <c r="GBI118" s="573"/>
      <c r="GBJ118" s="574"/>
      <c r="GBK118" s="575"/>
      <c r="GBL118" s="583"/>
      <c r="GBM118" s="590"/>
      <c r="GBN118" s="589"/>
      <c r="GBO118" s="585"/>
      <c r="GBP118" s="577"/>
      <c r="GBQ118" s="304"/>
      <c r="GBR118" s="572"/>
      <c r="GBS118" s="573"/>
      <c r="GBT118" s="574"/>
      <c r="GBU118" s="575"/>
      <c r="GBV118" s="583"/>
      <c r="GBW118" s="590"/>
      <c r="GBX118" s="589"/>
      <c r="GBY118" s="585"/>
      <c r="GBZ118" s="577"/>
      <c r="GCA118" s="304"/>
      <c r="GCB118" s="572"/>
      <c r="GCC118" s="573"/>
      <c r="GCD118" s="574"/>
      <c r="GCE118" s="575"/>
      <c r="GCF118" s="583"/>
      <c r="GCG118" s="590"/>
      <c r="GCH118" s="589"/>
      <c r="GCI118" s="585"/>
      <c r="GCJ118" s="577"/>
      <c r="GCK118" s="304"/>
      <c r="GCL118" s="572"/>
      <c r="GCM118" s="573"/>
      <c r="GCN118" s="574"/>
      <c r="GCO118" s="575"/>
      <c r="GCP118" s="583"/>
      <c r="GCQ118" s="590"/>
      <c r="GCR118" s="589"/>
      <c r="GCS118" s="585"/>
      <c r="GCT118" s="577"/>
      <c r="GCU118" s="304"/>
      <c r="GCV118" s="572"/>
      <c r="GCW118" s="573"/>
      <c r="GCX118" s="574"/>
      <c r="GCY118" s="575"/>
      <c r="GCZ118" s="583"/>
      <c r="GDA118" s="590"/>
      <c r="GDB118" s="589"/>
      <c r="GDC118" s="585"/>
      <c r="GDD118" s="577"/>
      <c r="GDE118" s="304"/>
      <c r="GDF118" s="572"/>
      <c r="GDG118" s="573"/>
      <c r="GDH118" s="574"/>
      <c r="GDI118" s="575"/>
      <c r="GDJ118" s="583"/>
      <c r="GDK118" s="590"/>
      <c r="GDL118" s="589"/>
      <c r="GDM118" s="585"/>
      <c r="GDN118" s="577"/>
      <c r="GDO118" s="304"/>
      <c r="GDP118" s="572"/>
      <c r="GDQ118" s="573"/>
      <c r="GDR118" s="574"/>
      <c r="GDS118" s="575"/>
      <c r="GDT118" s="583"/>
      <c r="GDU118" s="590"/>
      <c r="GDV118" s="589"/>
      <c r="GDW118" s="585"/>
      <c r="GDX118" s="577"/>
      <c r="GDY118" s="304"/>
      <c r="GDZ118" s="572"/>
      <c r="GEA118" s="573"/>
      <c r="GEB118" s="574"/>
      <c r="GEC118" s="575"/>
      <c r="GED118" s="583"/>
      <c r="GEE118" s="590"/>
      <c r="GEF118" s="589"/>
      <c r="GEG118" s="585"/>
      <c r="GEH118" s="577"/>
      <c r="GEI118" s="304"/>
      <c r="GEJ118" s="572"/>
      <c r="GEK118" s="573"/>
      <c r="GEL118" s="574"/>
      <c r="GEM118" s="575"/>
      <c r="GEN118" s="583"/>
      <c r="GEO118" s="590"/>
      <c r="GEP118" s="589"/>
      <c r="GEQ118" s="585"/>
      <c r="GER118" s="577"/>
      <c r="GES118" s="304"/>
      <c r="GET118" s="572"/>
      <c r="GEU118" s="573"/>
      <c r="GEV118" s="574"/>
      <c r="GEW118" s="575"/>
      <c r="GEX118" s="583"/>
      <c r="GEY118" s="590"/>
      <c r="GEZ118" s="589"/>
      <c r="GFA118" s="585"/>
      <c r="GFB118" s="577"/>
      <c r="GFC118" s="304"/>
      <c r="GFD118" s="572"/>
      <c r="GFE118" s="573"/>
      <c r="GFF118" s="574"/>
      <c r="GFG118" s="575"/>
      <c r="GFH118" s="583"/>
      <c r="GFI118" s="590"/>
      <c r="GFJ118" s="589"/>
      <c r="GFK118" s="585"/>
      <c r="GFL118" s="577"/>
      <c r="GFM118" s="304"/>
      <c r="GFN118" s="572"/>
      <c r="GFO118" s="573"/>
      <c r="GFP118" s="574"/>
      <c r="GFQ118" s="575"/>
      <c r="GFR118" s="583"/>
      <c r="GFS118" s="590"/>
      <c r="GFT118" s="589"/>
      <c r="GFU118" s="585"/>
      <c r="GFV118" s="577"/>
      <c r="GFW118" s="304"/>
      <c r="GFX118" s="572"/>
      <c r="GFY118" s="573"/>
      <c r="GFZ118" s="574"/>
      <c r="GGA118" s="575"/>
      <c r="GGB118" s="583"/>
      <c r="GGC118" s="590"/>
      <c r="GGD118" s="589"/>
      <c r="GGE118" s="585"/>
      <c r="GGF118" s="577"/>
      <c r="GGG118" s="304"/>
      <c r="GGH118" s="572"/>
      <c r="GGI118" s="573"/>
      <c r="GGJ118" s="574"/>
      <c r="GGK118" s="575"/>
      <c r="GGL118" s="583"/>
      <c r="GGM118" s="590"/>
      <c r="GGN118" s="589"/>
      <c r="GGO118" s="585"/>
      <c r="GGP118" s="577"/>
      <c r="GGQ118" s="304"/>
      <c r="GGR118" s="572"/>
      <c r="GGS118" s="573"/>
      <c r="GGT118" s="574"/>
      <c r="GGU118" s="575"/>
      <c r="GGV118" s="583"/>
      <c r="GGW118" s="590"/>
      <c r="GGX118" s="589"/>
      <c r="GGY118" s="585"/>
      <c r="GGZ118" s="577"/>
      <c r="GHA118" s="304"/>
      <c r="GHB118" s="572"/>
      <c r="GHC118" s="573"/>
      <c r="GHD118" s="574"/>
      <c r="GHE118" s="575"/>
      <c r="GHF118" s="583"/>
      <c r="GHG118" s="590"/>
      <c r="GHH118" s="589"/>
      <c r="GHI118" s="585"/>
      <c r="GHJ118" s="577"/>
      <c r="GHK118" s="304"/>
      <c r="GHL118" s="572"/>
      <c r="GHM118" s="573"/>
      <c r="GHN118" s="574"/>
      <c r="GHO118" s="575"/>
      <c r="GHP118" s="583"/>
      <c r="GHQ118" s="590"/>
      <c r="GHR118" s="589"/>
      <c r="GHS118" s="585"/>
      <c r="GHT118" s="577"/>
      <c r="GHU118" s="304"/>
      <c r="GHV118" s="572"/>
      <c r="GHW118" s="573"/>
      <c r="GHX118" s="574"/>
      <c r="GHY118" s="575"/>
      <c r="GHZ118" s="583"/>
      <c r="GIA118" s="590"/>
      <c r="GIB118" s="589"/>
      <c r="GIC118" s="585"/>
      <c r="GID118" s="577"/>
      <c r="GIE118" s="304"/>
      <c r="GIF118" s="572"/>
      <c r="GIG118" s="573"/>
      <c r="GIH118" s="574"/>
      <c r="GII118" s="575"/>
      <c r="GIJ118" s="583"/>
      <c r="GIK118" s="590"/>
      <c r="GIL118" s="589"/>
      <c r="GIM118" s="585"/>
      <c r="GIN118" s="577"/>
      <c r="GIO118" s="304"/>
      <c r="GIP118" s="572"/>
      <c r="GIQ118" s="573"/>
      <c r="GIR118" s="574"/>
      <c r="GIS118" s="575"/>
      <c r="GIT118" s="583"/>
      <c r="GIU118" s="590"/>
      <c r="GIV118" s="589"/>
      <c r="GIW118" s="585"/>
      <c r="GIX118" s="577"/>
      <c r="GIY118" s="304"/>
      <c r="GIZ118" s="572"/>
      <c r="GJA118" s="573"/>
      <c r="GJB118" s="574"/>
      <c r="GJC118" s="575"/>
      <c r="GJD118" s="583"/>
      <c r="GJE118" s="590"/>
      <c r="GJF118" s="589"/>
      <c r="GJG118" s="585"/>
      <c r="GJH118" s="577"/>
      <c r="GJI118" s="304"/>
      <c r="GJJ118" s="572"/>
      <c r="GJK118" s="573"/>
      <c r="GJL118" s="574"/>
      <c r="GJM118" s="575"/>
      <c r="GJN118" s="583"/>
      <c r="GJO118" s="590"/>
      <c r="GJP118" s="589"/>
      <c r="GJQ118" s="585"/>
      <c r="GJR118" s="577"/>
      <c r="GJS118" s="304"/>
      <c r="GJT118" s="572"/>
      <c r="GJU118" s="573"/>
      <c r="GJV118" s="574"/>
      <c r="GJW118" s="575"/>
      <c r="GJX118" s="583"/>
      <c r="GJY118" s="590"/>
      <c r="GJZ118" s="589"/>
      <c r="GKA118" s="585"/>
      <c r="GKB118" s="577"/>
      <c r="GKC118" s="304"/>
      <c r="GKD118" s="572"/>
      <c r="GKE118" s="573"/>
      <c r="GKF118" s="574"/>
      <c r="GKG118" s="575"/>
      <c r="GKH118" s="583"/>
      <c r="GKI118" s="590"/>
      <c r="GKJ118" s="589"/>
      <c r="GKK118" s="585"/>
      <c r="GKL118" s="577"/>
      <c r="GKM118" s="304"/>
      <c r="GKN118" s="572"/>
      <c r="GKO118" s="573"/>
      <c r="GKP118" s="574"/>
      <c r="GKQ118" s="575"/>
      <c r="GKR118" s="583"/>
      <c r="GKS118" s="590"/>
      <c r="GKT118" s="589"/>
      <c r="GKU118" s="585"/>
      <c r="GKV118" s="577"/>
      <c r="GKW118" s="304"/>
      <c r="GKX118" s="572"/>
      <c r="GKY118" s="573"/>
      <c r="GKZ118" s="574"/>
      <c r="GLA118" s="575"/>
      <c r="GLB118" s="583"/>
      <c r="GLC118" s="590"/>
      <c r="GLD118" s="589"/>
      <c r="GLE118" s="585"/>
      <c r="GLF118" s="577"/>
      <c r="GLG118" s="304"/>
      <c r="GLH118" s="572"/>
      <c r="GLI118" s="573"/>
      <c r="GLJ118" s="574"/>
      <c r="GLK118" s="575"/>
      <c r="GLL118" s="583"/>
      <c r="GLM118" s="590"/>
      <c r="GLN118" s="589"/>
      <c r="GLO118" s="585"/>
      <c r="GLP118" s="577"/>
      <c r="GLQ118" s="304"/>
      <c r="GLR118" s="572"/>
      <c r="GLS118" s="573"/>
      <c r="GLT118" s="574"/>
      <c r="GLU118" s="575"/>
      <c r="GLV118" s="583"/>
      <c r="GLW118" s="590"/>
      <c r="GLX118" s="589"/>
      <c r="GLY118" s="585"/>
      <c r="GLZ118" s="577"/>
      <c r="GMA118" s="304"/>
      <c r="GMB118" s="572"/>
      <c r="GMC118" s="573"/>
      <c r="GMD118" s="574"/>
      <c r="GME118" s="575"/>
      <c r="GMF118" s="583"/>
      <c r="GMG118" s="590"/>
      <c r="GMH118" s="589"/>
      <c r="GMI118" s="585"/>
      <c r="GMJ118" s="577"/>
      <c r="GMK118" s="304"/>
      <c r="GML118" s="572"/>
      <c r="GMM118" s="573"/>
      <c r="GMN118" s="574"/>
      <c r="GMO118" s="575"/>
      <c r="GMP118" s="583"/>
      <c r="GMQ118" s="590"/>
      <c r="GMR118" s="589"/>
      <c r="GMS118" s="585"/>
      <c r="GMT118" s="577"/>
      <c r="GMU118" s="304"/>
      <c r="GMV118" s="572"/>
      <c r="GMW118" s="573"/>
      <c r="GMX118" s="574"/>
      <c r="GMY118" s="575"/>
      <c r="GMZ118" s="583"/>
      <c r="GNA118" s="590"/>
      <c r="GNB118" s="589"/>
      <c r="GNC118" s="585"/>
      <c r="GND118" s="577"/>
      <c r="GNE118" s="304"/>
      <c r="GNF118" s="572"/>
      <c r="GNG118" s="573"/>
      <c r="GNH118" s="574"/>
      <c r="GNI118" s="575"/>
      <c r="GNJ118" s="583"/>
      <c r="GNK118" s="590"/>
      <c r="GNL118" s="589"/>
      <c r="GNM118" s="585"/>
      <c r="GNN118" s="577"/>
      <c r="GNO118" s="304"/>
      <c r="GNP118" s="572"/>
      <c r="GNQ118" s="573"/>
      <c r="GNR118" s="574"/>
      <c r="GNS118" s="575"/>
      <c r="GNT118" s="583"/>
      <c r="GNU118" s="590"/>
      <c r="GNV118" s="589"/>
      <c r="GNW118" s="585"/>
      <c r="GNX118" s="577"/>
      <c r="GNY118" s="304"/>
      <c r="GNZ118" s="572"/>
      <c r="GOA118" s="573"/>
      <c r="GOB118" s="574"/>
      <c r="GOC118" s="575"/>
      <c r="GOD118" s="583"/>
      <c r="GOE118" s="590"/>
      <c r="GOF118" s="589"/>
      <c r="GOG118" s="585"/>
      <c r="GOH118" s="577"/>
      <c r="GOI118" s="304"/>
      <c r="GOJ118" s="572"/>
      <c r="GOK118" s="573"/>
      <c r="GOL118" s="574"/>
      <c r="GOM118" s="575"/>
      <c r="GON118" s="583"/>
      <c r="GOO118" s="590"/>
      <c r="GOP118" s="589"/>
      <c r="GOQ118" s="585"/>
      <c r="GOR118" s="577"/>
      <c r="GOS118" s="304"/>
      <c r="GOT118" s="572"/>
      <c r="GOU118" s="573"/>
      <c r="GOV118" s="574"/>
      <c r="GOW118" s="575"/>
      <c r="GOX118" s="583"/>
      <c r="GOY118" s="590"/>
      <c r="GOZ118" s="589"/>
      <c r="GPA118" s="585"/>
      <c r="GPB118" s="577"/>
      <c r="GPC118" s="304"/>
      <c r="GPD118" s="572"/>
      <c r="GPE118" s="573"/>
      <c r="GPF118" s="574"/>
      <c r="GPG118" s="575"/>
      <c r="GPH118" s="583"/>
      <c r="GPI118" s="590"/>
      <c r="GPJ118" s="589"/>
      <c r="GPK118" s="585"/>
      <c r="GPL118" s="577"/>
      <c r="GPM118" s="304"/>
      <c r="GPN118" s="572"/>
      <c r="GPO118" s="573"/>
      <c r="GPP118" s="574"/>
      <c r="GPQ118" s="575"/>
      <c r="GPR118" s="583"/>
      <c r="GPS118" s="590"/>
      <c r="GPT118" s="589"/>
      <c r="GPU118" s="585"/>
      <c r="GPV118" s="577"/>
      <c r="GPW118" s="304"/>
      <c r="GPX118" s="572"/>
      <c r="GPY118" s="573"/>
      <c r="GPZ118" s="574"/>
      <c r="GQA118" s="575"/>
      <c r="GQB118" s="583"/>
      <c r="GQC118" s="590"/>
      <c r="GQD118" s="589"/>
      <c r="GQE118" s="585"/>
      <c r="GQF118" s="577"/>
      <c r="GQG118" s="304"/>
      <c r="GQH118" s="572"/>
      <c r="GQI118" s="573"/>
      <c r="GQJ118" s="574"/>
      <c r="GQK118" s="575"/>
      <c r="GQL118" s="583"/>
      <c r="GQM118" s="590"/>
      <c r="GQN118" s="589"/>
      <c r="GQO118" s="585"/>
      <c r="GQP118" s="577"/>
      <c r="GQQ118" s="304"/>
      <c r="GQR118" s="572"/>
      <c r="GQS118" s="573"/>
      <c r="GQT118" s="574"/>
      <c r="GQU118" s="575"/>
      <c r="GQV118" s="583"/>
      <c r="GQW118" s="590"/>
      <c r="GQX118" s="589"/>
      <c r="GQY118" s="585"/>
      <c r="GQZ118" s="577"/>
      <c r="GRA118" s="304"/>
      <c r="GRB118" s="572"/>
      <c r="GRC118" s="573"/>
      <c r="GRD118" s="574"/>
      <c r="GRE118" s="575"/>
      <c r="GRF118" s="583"/>
      <c r="GRG118" s="590"/>
      <c r="GRH118" s="589"/>
      <c r="GRI118" s="585"/>
      <c r="GRJ118" s="577"/>
      <c r="GRK118" s="304"/>
      <c r="GRL118" s="572"/>
      <c r="GRM118" s="573"/>
      <c r="GRN118" s="574"/>
      <c r="GRO118" s="575"/>
      <c r="GRP118" s="583"/>
      <c r="GRQ118" s="590"/>
      <c r="GRR118" s="589"/>
      <c r="GRS118" s="585"/>
      <c r="GRT118" s="577"/>
      <c r="GRU118" s="304"/>
      <c r="GRV118" s="572"/>
      <c r="GRW118" s="573"/>
      <c r="GRX118" s="574"/>
      <c r="GRY118" s="575"/>
      <c r="GRZ118" s="583"/>
      <c r="GSA118" s="590"/>
      <c r="GSB118" s="589"/>
      <c r="GSC118" s="585"/>
      <c r="GSD118" s="577"/>
      <c r="GSE118" s="304"/>
      <c r="GSF118" s="572"/>
      <c r="GSG118" s="573"/>
      <c r="GSH118" s="574"/>
      <c r="GSI118" s="575"/>
      <c r="GSJ118" s="583"/>
      <c r="GSK118" s="590"/>
      <c r="GSL118" s="589"/>
      <c r="GSM118" s="585"/>
      <c r="GSN118" s="577"/>
      <c r="GSO118" s="304"/>
      <c r="GSP118" s="572"/>
      <c r="GSQ118" s="573"/>
      <c r="GSR118" s="574"/>
      <c r="GSS118" s="575"/>
      <c r="GST118" s="583"/>
      <c r="GSU118" s="590"/>
      <c r="GSV118" s="589"/>
      <c r="GSW118" s="585"/>
      <c r="GSX118" s="577"/>
      <c r="GSY118" s="304"/>
      <c r="GSZ118" s="572"/>
      <c r="GTA118" s="573"/>
      <c r="GTB118" s="574"/>
      <c r="GTC118" s="575"/>
      <c r="GTD118" s="583"/>
      <c r="GTE118" s="590"/>
      <c r="GTF118" s="589"/>
      <c r="GTG118" s="585"/>
      <c r="GTH118" s="577"/>
      <c r="GTI118" s="304"/>
      <c r="GTJ118" s="572"/>
      <c r="GTK118" s="573"/>
      <c r="GTL118" s="574"/>
      <c r="GTM118" s="575"/>
      <c r="GTN118" s="583"/>
      <c r="GTO118" s="590"/>
      <c r="GTP118" s="589"/>
      <c r="GTQ118" s="585"/>
      <c r="GTR118" s="577"/>
      <c r="GTS118" s="304"/>
      <c r="GTT118" s="572"/>
      <c r="GTU118" s="573"/>
      <c r="GTV118" s="574"/>
      <c r="GTW118" s="575"/>
      <c r="GTX118" s="583"/>
      <c r="GTY118" s="590"/>
      <c r="GTZ118" s="589"/>
      <c r="GUA118" s="585"/>
      <c r="GUB118" s="577"/>
      <c r="GUC118" s="304"/>
      <c r="GUD118" s="572"/>
      <c r="GUE118" s="573"/>
      <c r="GUF118" s="574"/>
      <c r="GUG118" s="575"/>
      <c r="GUH118" s="583"/>
      <c r="GUI118" s="590"/>
      <c r="GUJ118" s="589"/>
      <c r="GUK118" s="585"/>
      <c r="GUL118" s="577"/>
      <c r="GUM118" s="304"/>
      <c r="GUN118" s="572"/>
      <c r="GUO118" s="573"/>
      <c r="GUP118" s="574"/>
      <c r="GUQ118" s="575"/>
      <c r="GUR118" s="583"/>
      <c r="GUS118" s="590"/>
      <c r="GUT118" s="589"/>
      <c r="GUU118" s="585"/>
      <c r="GUV118" s="577"/>
      <c r="GUW118" s="304"/>
      <c r="GUX118" s="572"/>
      <c r="GUY118" s="573"/>
      <c r="GUZ118" s="574"/>
      <c r="GVA118" s="575"/>
      <c r="GVB118" s="583"/>
      <c r="GVC118" s="590"/>
      <c r="GVD118" s="589"/>
      <c r="GVE118" s="585"/>
      <c r="GVF118" s="577"/>
      <c r="GVG118" s="304"/>
      <c r="GVH118" s="572"/>
      <c r="GVI118" s="573"/>
      <c r="GVJ118" s="574"/>
      <c r="GVK118" s="575"/>
      <c r="GVL118" s="583"/>
      <c r="GVM118" s="590"/>
      <c r="GVN118" s="589"/>
      <c r="GVO118" s="585"/>
      <c r="GVP118" s="577"/>
      <c r="GVQ118" s="304"/>
      <c r="GVR118" s="572"/>
      <c r="GVS118" s="573"/>
      <c r="GVT118" s="574"/>
      <c r="GVU118" s="575"/>
      <c r="GVV118" s="583"/>
      <c r="GVW118" s="590"/>
      <c r="GVX118" s="589"/>
      <c r="GVY118" s="585"/>
      <c r="GVZ118" s="577"/>
      <c r="GWA118" s="304"/>
      <c r="GWB118" s="572"/>
      <c r="GWC118" s="573"/>
      <c r="GWD118" s="574"/>
      <c r="GWE118" s="575"/>
      <c r="GWF118" s="583"/>
      <c r="GWG118" s="590"/>
      <c r="GWH118" s="589"/>
      <c r="GWI118" s="585"/>
      <c r="GWJ118" s="577"/>
      <c r="GWK118" s="304"/>
      <c r="GWL118" s="572"/>
      <c r="GWM118" s="573"/>
      <c r="GWN118" s="574"/>
      <c r="GWO118" s="575"/>
      <c r="GWP118" s="583"/>
      <c r="GWQ118" s="590"/>
      <c r="GWR118" s="589"/>
      <c r="GWS118" s="585"/>
      <c r="GWT118" s="577"/>
      <c r="GWU118" s="304"/>
      <c r="GWV118" s="572"/>
      <c r="GWW118" s="573"/>
      <c r="GWX118" s="574"/>
      <c r="GWY118" s="575"/>
      <c r="GWZ118" s="583"/>
      <c r="GXA118" s="590"/>
      <c r="GXB118" s="589"/>
      <c r="GXC118" s="585"/>
      <c r="GXD118" s="577"/>
      <c r="GXE118" s="304"/>
      <c r="GXF118" s="572"/>
      <c r="GXG118" s="573"/>
      <c r="GXH118" s="574"/>
      <c r="GXI118" s="575"/>
      <c r="GXJ118" s="583"/>
      <c r="GXK118" s="590"/>
      <c r="GXL118" s="589"/>
      <c r="GXM118" s="585"/>
      <c r="GXN118" s="577"/>
      <c r="GXO118" s="304"/>
      <c r="GXP118" s="572"/>
      <c r="GXQ118" s="573"/>
      <c r="GXR118" s="574"/>
      <c r="GXS118" s="575"/>
      <c r="GXT118" s="583"/>
      <c r="GXU118" s="590"/>
      <c r="GXV118" s="589"/>
      <c r="GXW118" s="585"/>
      <c r="GXX118" s="577"/>
      <c r="GXY118" s="304"/>
      <c r="GXZ118" s="572"/>
      <c r="GYA118" s="573"/>
      <c r="GYB118" s="574"/>
      <c r="GYC118" s="575"/>
      <c r="GYD118" s="583"/>
      <c r="GYE118" s="590"/>
      <c r="GYF118" s="589"/>
      <c r="GYG118" s="585"/>
      <c r="GYH118" s="577"/>
      <c r="GYI118" s="304"/>
      <c r="GYJ118" s="572"/>
      <c r="GYK118" s="573"/>
      <c r="GYL118" s="574"/>
      <c r="GYM118" s="575"/>
      <c r="GYN118" s="583"/>
      <c r="GYO118" s="590"/>
      <c r="GYP118" s="589"/>
      <c r="GYQ118" s="585"/>
      <c r="GYR118" s="577"/>
      <c r="GYS118" s="304"/>
      <c r="GYT118" s="572"/>
      <c r="GYU118" s="573"/>
      <c r="GYV118" s="574"/>
      <c r="GYW118" s="575"/>
      <c r="GYX118" s="583"/>
      <c r="GYY118" s="590"/>
      <c r="GYZ118" s="589"/>
      <c r="GZA118" s="585"/>
      <c r="GZB118" s="577"/>
      <c r="GZC118" s="304"/>
      <c r="GZD118" s="572"/>
      <c r="GZE118" s="573"/>
      <c r="GZF118" s="574"/>
      <c r="GZG118" s="575"/>
      <c r="GZH118" s="583"/>
      <c r="GZI118" s="590"/>
      <c r="GZJ118" s="589"/>
      <c r="GZK118" s="585"/>
      <c r="GZL118" s="577"/>
      <c r="GZM118" s="304"/>
      <c r="GZN118" s="572"/>
      <c r="GZO118" s="573"/>
      <c r="GZP118" s="574"/>
      <c r="GZQ118" s="575"/>
      <c r="GZR118" s="583"/>
      <c r="GZS118" s="590"/>
      <c r="GZT118" s="589"/>
      <c r="GZU118" s="585"/>
      <c r="GZV118" s="577"/>
      <c r="GZW118" s="304"/>
      <c r="GZX118" s="572"/>
      <c r="GZY118" s="573"/>
      <c r="GZZ118" s="574"/>
      <c r="HAA118" s="575"/>
      <c r="HAB118" s="583"/>
      <c r="HAC118" s="590"/>
      <c r="HAD118" s="589"/>
      <c r="HAE118" s="585"/>
      <c r="HAF118" s="577"/>
      <c r="HAG118" s="304"/>
      <c r="HAH118" s="572"/>
      <c r="HAI118" s="573"/>
      <c r="HAJ118" s="574"/>
      <c r="HAK118" s="575"/>
      <c r="HAL118" s="583"/>
      <c r="HAM118" s="590"/>
      <c r="HAN118" s="589"/>
      <c r="HAO118" s="585"/>
      <c r="HAP118" s="577"/>
      <c r="HAQ118" s="304"/>
      <c r="HAR118" s="572"/>
      <c r="HAS118" s="573"/>
      <c r="HAT118" s="574"/>
      <c r="HAU118" s="575"/>
      <c r="HAV118" s="583"/>
      <c r="HAW118" s="590"/>
      <c r="HAX118" s="589"/>
      <c r="HAY118" s="585"/>
      <c r="HAZ118" s="577"/>
      <c r="HBA118" s="304"/>
      <c r="HBB118" s="572"/>
      <c r="HBC118" s="573"/>
      <c r="HBD118" s="574"/>
      <c r="HBE118" s="575"/>
      <c r="HBF118" s="583"/>
      <c r="HBG118" s="590"/>
      <c r="HBH118" s="589"/>
      <c r="HBI118" s="585"/>
      <c r="HBJ118" s="577"/>
      <c r="HBK118" s="304"/>
      <c r="HBL118" s="572"/>
      <c r="HBM118" s="573"/>
      <c r="HBN118" s="574"/>
      <c r="HBO118" s="575"/>
      <c r="HBP118" s="583"/>
      <c r="HBQ118" s="590"/>
      <c r="HBR118" s="589"/>
      <c r="HBS118" s="585"/>
      <c r="HBT118" s="577"/>
      <c r="HBU118" s="304"/>
      <c r="HBV118" s="572"/>
      <c r="HBW118" s="573"/>
      <c r="HBX118" s="574"/>
      <c r="HBY118" s="575"/>
      <c r="HBZ118" s="583"/>
      <c r="HCA118" s="590"/>
      <c r="HCB118" s="589"/>
      <c r="HCC118" s="585"/>
      <c r="HCD118" s="577"/>
      <c r="HCE118" s="304"/>
      <c r="HCF118" s="572"/>
      <c r="HCG118" s="573"/>
      <c r="HCH118" s="574"/>
      <c r="HCI118" s="575"/>
      <c r="HCJ118" s="583"/>
      <c r="HCK118" s="590"/>
      <c r="HCL118" s="589"/>
      <c r="HCM118" s="585"/>
      <c r="HCN118" s="577"/>
      <c r="HCO118" s="304"/>
      <c r="HCP118" s="572"/>
      <c r="HCQ118" s="573"/>
      <c r="HCR118" s="574"/>
      <c r="HCS118" s="575"/>
      <c r="HCT118" s="583"/>
      <c r="HCU118" s="590"/>
      <c r="HCV118" s="589"/>
      <c r="HCW118" s="585"/>
      <c r="HCX118" s="577"/>
      <c r="HCY118" s="304"/>
      <c r="HCZ118" s="572"/>
      <c r="HDA118" s="573"/>
      <c r="HDB118" s="574"/>
      <c r="HDC118" s="575"/>
      <c r="HDD118" s="583"/>
      <c r="HDE118" s="590"/>
      <c r="HDF118" s="589"/>
      <c r="HDG118" s="585"/>
      <c r="HDH118" s="577"/>
      <c r="HDI118" s="304"/>
      <c r="HDJ118" s="572"/>
      <c r="HDK118" s="573"/>
      <c r="HDL118" s="574"/>
      <c r="HDM118" s="575"/>
      <c r="HDN118" s="583"/>
      <c r="HDO118" s="590"/>
      <c r="HDP118" s="589"/>
      <c r="HDQ118" s="585"/>
      <c r="HDR118" s="577"/>
      <c r="HDS118" s="304"/>
      <c r="HDT118" s="572"/>
      <c r="HDU118" s="573"/>
      <c r="HDV118" s="574"/>
      <c r="HDW118" s="575"/>
      <c r="HDX118" s="583"/>
      <c r="HDY118" s="590"/>
      <c r="HDZ118" s="589"/>
      <c r="HEA118" s="585"/>
      <c r="HEB118" s="577"/>
      <c r="HEC118" s="304"/>
      <c r="HED118" s="572"/>
      <c r="HEE118" s="573"/>
      <c r="HEF118" s="574"/>
      <c r="HEG118" s="575"/>
      <c r="HEH118" s="583"/>
      <c r="HEI118" s="590"/>
      <c r="HEJ118" s="589"/>
      <c r="HEK118" s="585"/>
      <c r="HEL118" s="577"/>
      <c r="HEM118" s="304"/>
      <c r="HEN118" s="572"/>
      <c r="HEO118" s="573"/>
      <c r="HEP118" s="574"/>
      <c r="HEQ118" s="575"/>
      <c r="HER118" s="583"/>
      <c r="HES118" s="590"/>
      <c r="HET118" s="589"/>
      <c r="HEU118" s="585"/>
      <c r="HEV118" s="577"/>
      <c r="HEW118" s="304"/>
      <c r="HEX118" s="572"/>
      <c r="HEY118" s="573"/>
      <c r="HEZ118" s="574"/>
      <c r="HFA118" s="575"/>
      <c r="HFB118" s="583"/>
      <c r="HFC118" s="590"/>
      <c r="HFD118" s="589"/>
      <c r="HFE118" s="585"/>
      <c r="HFF118" s="577"/>
      <c r="HFG118" s="304"/>
      <c r="HFH118" s="572"/>
      <c r="HFI118" s="573"/>
      <c r="HFJ118" s="574"/>
      <c r="HFK118" s="575"/>
      <c r="HFL118" s="583"/>
      <c r="HFM118" s="590"/>
      <c r="HFN118" s="589"/>
      <c r="HFO118" s="585"/>
      <c r="HFP118" s="577"/>
      <c r="HFQ118" s="304"/>
      <c r="HFR118" s="572"/>
      <c r="HFS118" s="573"/>
      <c r="HFT118" s="574"/>
      <c r="HFU118" s="575"/>
      <c r="HFV118" s="583"/>
      <c r="HFW118" s="590"/>
      <c r="HFX118" s="589"/>
      <c r="HFY118" s="585"/>
      <c r="HFZ118" s="577"/>
      <c r="HGA118" s="304"/>
      <c r="HGB118" s="572"/>
      <c r="HGC118" s="573"/>
      <c r="HGD118" s="574"/>
      <c r="HGE118" s="575"/>
      <c r="HGF118" s="583"/>
      <c r="HGG118" s="590"/>
      <c r="HGH118" s="589"/>
      <c r="HGI118" s="585"/>
      <c r="HGJ118" s="577"/>
      <c r="HGK118" s="304"/>
      <c r="HGL118" s="572"/>
      <c r="HGM118" s="573"/>
      <c r="HGN118" s="574"/>
      <c r="HGO118" s="575"/>
      <c r="HGP118" s="583"/>
      <c r="HGQ118" s="590"/>
      <c r="HGR118" s="589"/>
      <c r="HGS118" s="585"/>
      <c r="HGT118" s="577"/>
      <c r="HGU118" s="304"/>
      <c r="HGV118" s="572"/>
      <c r="HGW118" s="573"/>
      <c r="HGX118" s="574"/>
      <c r="HGY118" s="575"/>
      <c r="HGZ118" s="583"/>
      <c r="HHA118" s="590"/>
      <c r="HHB118" s="589"/>
      <c r="HHC118" s="585"/>
      <c r="HHD118" s="577"/>
      <c r="HHE118" s="304"/>
      <c r="HHF118" s="572"/>
      <c r="HHG118" s="573"/>
      <c r="HHH118" s="574"/>
      <c r="HHI118" s="575"/>
      <c r="HHJ118" s="583"/>
      <c r="HHK118" s="590"/>
      <c r="HHL118" s="589"/>
      <c r="HHM118" s="585"/>
      <c r="HHN118" s="577"/>
      <c r="HHO118" s="304"/>
      <c r="HHP118" s="572"/>
      <c r="HHQ118" s="573"/>
      <c r="HHR118" s="574"/>
      <c r="HHS118" s="575"/>
      <c r="HHT118" s="583"/>
      <c r="HHU118" s="590"/>
      <c r="HHV118" s="589"/>
      <c r="HHW118" s="585"/>
      <c r="HHX118" s="577"/>
      <c r="HHY118" s="304"/>
      <c r="HHZ118" s="572"/>
      <c r="HIA118" s="573"/>
      <c r="HIB118" s="574"/>
      <c r="HIC118" s="575"/>
      <c r="HID118" s="583"/>
      <c r="HIE118" s="590"/>
      <c r="HIF118" s="589"/>
      <c r="HIG118" s="585"/>
      <c r="HIH118" s="577"/>
      <c r="HII118" s="304"/>
      <c r="HIJ118" s="572"/>
      <c r="HIK118" s="573"/>
      <c r="HIL118" s="574"/>
      <c r="HIM118" s="575"/>
      <c r="HIN118" s="583"/>
      <c r="HIO118" s="590"/>
      <c r="HIP118" s="589"/>
      <c r="HIQ118" s="585"/>
      <c r="HIR118" s="577"/>
      <c r="HIS118" s="304"/>
      <c r="HIT118" s="572"/>
      <c r="HIU118" s="573"/>
      <c r="HIV118" s="574"/>
      <c r="HIW118" s="575"/>
      <c r="HIX118" s="583"/>
      <c r="HIY118" s="590"/>
      <c r="HIZ118" s="589"/>
      <c r="HJA118" s="585"/>
      <c r="HJB118" s="577"/>
      <c r="HJC118" s="304"/>
      <c r="HJD118" s="572"/>
      <c r="HJE118" s="573"/>
      <c r="HJF118" s="574"/>
      <c r="HJG118" s="575"/>
      <c r="HJH118" s="583"/>
      <c r="HJI118" s="590"/>
      <c r="HJJ118" s="589"/>
      <c r="HJK118" s="585"/>
      <c r="HJL118" s="577"/>
      <c r="HJM118" s="304"/>
      <c r="HJN118" s="572"/>
      <c r="HJO118" s="573"/>
      <c r="HJP118" s="574"/>
      <c r="HJQ118" s="575"/>
      <c r="HJR118" s="583"/>
      <c r="HJS118" s="590"/>
      <c r="HJT118" s="589"/>
      <c r="HJU118" s="585"/>
      <c r="HJV118" s="577"/>
      <c r="HJW118" s="304"/>
      <c r="HJX118" s="572"/>
      <c r="HJY118" s="573"/>
      <c r="HJZ118" s="574"/>
      <c r="HKA118" s="575"/>
      <c r="HKB118" s="583"/>
      <c r="HKC118" s="590"/>
      <c r="HKD118" s="589"/>
      <c r="HKE118" s="585"/>
      <c r="HKF118" s="577"/>
      <c r="HKG118" s="304"/>
      <c r="HKH118" s="572"/>
      <c r="HKI118" s="573"/>
      <c r="HKJ118" s="574"/>
      <c r="HKK118" s="575"/>
      <c r="HKL118" s="583"/>
      <c r="HKM118" s="590"/>
      <c r="HKN118" s="589"/>
      <c r="HKO118" s="585"/>
      <c r="HKP118" s="577"/>
      <c r="HKQ118" s="304"/>
      <c r="HKR118" s="572"/>
      <c r="HKS118" s="573"/>
      <c r="HKT118" s="574"/>
      <c r="HKU118" s="575"/>
      <c r="HKV118" s="583"/>
      <c r="HKW118" s="590"/>
      <c r="HKX118" s="589"/>
      <c r="HKY118" s="585"/>
      <c r="HKZ118" s="577"/>
      <c r="HLA118" s="304"/>
      <c r="HLB118" s="572"/>
      <c r="HLC118" s="573"/>
      <c r="HLD118" s="574"/>
      <c r="HLE118" s="575"/>
      <c r="HLF118" s="583"/>
      <c r="HLG118" s="590"/>
      <c r="HLH118" s="589"/>
      <c r="HLI118" s="585"/>
      <c r="HLJ118" s="577"/>
      <c r="HLK118" s="304"/>
      <c r="HLL118" s="572"/>
      <c r="HLM118" s="573"/>
      <c r="HLN118" s="574"/>
      <c r="HLO118" s="575"/>
      <c r="HLP118" s="583"/>
      <c r="HLQ118" s="590"/>
      <c r="HLR118" s="589"/>
      <c r="HLS118" s="585"/>
      <c r="HLT118" s="577"/>
      <c r="HLU118" s="304"/>
      <c r="HLV118" s="572"/>
      <c r="HLW118" s="573"/>
      <c r="HLX118" s="574"/>
      <c r="HLY118" s="575"/>
      <c r="HLZ118" s="583"/>
      <c r="HMA118" s="590"/>
      <c r="HMB118" s="589"/>
      <c r="HMC118" s="585"/>
      <c r="HMD118" s="577"/>
      <c r="HME118" s="304"/>
      <c r="HMF118" s="572"/>
      <c r="HMG118" s="573"/>
      <c r="HMH118" s="574"/>
      <c r="HMI118" s="575"/>
      <c r="HMJ118" s="583"/>
      <c r="HMK118" s="590"/>
      <c r="HML118" s="589"/>
      <c r="HMM118" s="585"/>
      <c r="HMN118" s="577"/>
      <c r="HMO118" s="304"/>
      <c r="HMP118" s="572"/>
      <c r="HMQ118" s="573"/>
      <c r="HMR118" s="574"/>
      <c r="HMS118" s="575"/>
      <c r="HMT118" s="583"/>
      <c r="HMU118" s="590"/>
      <c r="HMV118" s="589"/>
      <c r="HMW118" s="585"/>
      <c r="HMX118" s="577"/>
      <c r="HMY118" s="304"/>
      <c r="HMZ118" s="572"/>
      <c r="HNA118" s="573"/>
      <c r="HNB118" s="574"/>
      <c r="HNC118" s="575"/>
      <c r="HND118" s="583"/>
      <c r="HNE118" s="590"/>
      <c r="HNF118" s="589"/>
      <c r="HNG118" s="585"/>
      <c r="HNH118" s="577"/>
      <c r="HNI118" s="304"/>
      <c r="HNJ118" s="572"/>
      <c r="HNK118" s="573"/>
      <c r="HNL118" s="574"/>
      <c r="HNM118" s="575"/>
      <c r="HNN118" s="583"/>
      <c r="HNO118" s="590"/>
      <c r="HNP118" s="589"/>
      <c r="HNQ118" s="585"/>
      <c r="HNR118" s="577"/>
      <c r="HNS118" s="304"/>
      <c r="HNT118" s="572"/>
      <c r="HNU118" s="573"/>
      <c r="HNV118" s="574"/>
      <c r="HNW118" s="575"/>
      <c r="HNX118" s="583"/>
      <c r="HNY118" s="590"/>
      <c r="HNZ118" s="589"/>
      <c r="HOA118" s="585"/>
      <c r="HOB118" s="577"/>
      <c r="HOC118" s="304"/>
      <c r="HOD118" s="572"/>
      <c r="HOE118" s="573"/>
      <c r="HOF118" s="574"/>
      <c r="HOG118" s="575"/>
      <c r="HOH118" s="583"/>
      <c r="HOI118" s="590"/>
      <c r="HOJ118" s="589"/>
      <c r="HOK118" s="585"/>
      <c r="HOL118" s="577"/>
      <c r="HOM118" s="304"/>
      <c r="HON118" s="572"/>
      <c r="HOO118" s="573"/>
      <c r="HOP118" s="574"/>
      <c r="HOQ118" s="575"/>
      <c r="HOR118" s="583"/>
      <c r="HOS118" s="590"/>
      <c r="HOT118" s="589"/>
      <c r="HOU118" s="585"/>
      <c r="HOV118" s="577"/>
      <c r="HOW118" s="304"/>
      <c r="HOX118" s="572"/>
      <c r="HOY118" s="573"/>
      <c r="HOZ118" s="574"/>
      <c r="HPA118" s="575"/>
      <c r="HPB118" s="583"/>
      <c r="HPC118" s="590"/>
      <c r="HPD118" s="589"/>
      <c r="HPE118" s="585"/>
      <c r="HPF118" s="577"/>
      <c r="HPG118" s="304"/>
      <c r="HPH118" s="572"/>
      <c r="HPI118" s="573"/>
      <c r="HPJ118" s="574"/>
      <c r="HPK118" s="575"/>
      <c r="HPL118" s="583"/>
      <c r="HPM118" s="590"/>
      <c r="HPN118" s="589"/>
      <c r="HPO118" s="585"/>
      <c r="HPP118" s="577"/>
      <c r="HPQ118" s="304"/>
      <c r="HPR118" s="572"/>
      <c r="HPS118" s="573"/>
      <c r="HPT118" s="574"/>
      <c r="HPU118" s="575"/>
      <c r="HPV118" s="583"/>
      <c r="HPW118" s="590"/>
      <c r="HPX118" s="589"/>
      <c r="HPY118" s="585"/>
      <c r="HPZ118" s="577"/>
      <c r="HQA118" s="304"/>
      <c r="HQB118" s="572"/>
      <c r="HQC118" s="573"/>
      <c r="HQD118" s="574"/>
      <c r="HQE118" s="575"/>
      <c r="HQF118" s="583"/>
      <c r="HQG118" s="590"/>
      <c r="HQH118" s="589"/>
      <c r="HQI118" s="585"/>
      <c r="HQJ118" s="577"/>
      <c r="HQK118" s="304"/>
      <c r="HQL118" s="572"/>
      <c r="HQM118" s="573"/>
      <c r="HQN118" s="574"/>
      <c r="HQO118" s="575"/>
      <c r="HQP118" s="583"/>
      <c r="HQQ118" s="590"/>
      <c r="HQR118" s="589"/>
      <c r="HQS118" s="585"/>
      <c r="HQT118" s="577"/>
      <c r="HQU118" s="304"/>
      <c r="HQV118" s="572"/>
      <c r="HQW118" s="573"/>
      <c r="HQX118" s="574"/>
      <c r="HQY118" s="575"/>
      <c r="HQZ118" s="583"/>
      <c r="HRA118" s="590"/>
      <c r="HRB118" s="589"/>
      <c r="HRC118" s="585"/>
      <c r="HRD118" s="577"/>
      <c r="HRE118" s="304"/>
      <c r="HRF118" s="572"/>
      <c r="HRG118" s="573"/>
      <c r="HRH118" s="574"/>
      <c r="HRI118" s="575"/>
      <c r="HRJ118" s="583"/>
      <c r="HRK118" s="590"/>
      <c r="HRL118" s="589"/>
      <c r="HRM118" s="585"/>
      <c r="HRN118" s="577"/>
      <c r="HRO118" s="304"/>
      <c r="HRP118" s="572"/>
      <c r="HRQ118" s="573"/>
      <c r="HRR118" s="574"/>
      <c r="HRS118" s="575"/>
      <c r="HRT118" s="583"/>
      <c r="HRU118" s="590"/>
      <c r="HRV118" s="589"/>
      <c r="HRW118" s="585"/>
      <c r="HRX118" s="577"/>
      <c r="HRY118" s="304"/>
      <c r="HRZ118" s="572"/>
      <c r="HSA118" s="573"/>
      <c r="HSB118" s="574"/>
      <c r="HSC118" s="575"/>
      <c r="HSD118" s="583"/>
      <c r="HSE118" s="590"/>
      <c r="HSF118" s="589"/>
      <c r="HSG118" s="585"/>
      <c r="HSH118" s="577"/>
      <c r="HSI118" s="304"/>
      <c r="HSJ118" s="572"/>
      <c r="HSK118" s="573"/>
      <c r="HSL118" s="574"/>
      <c r="HSM118" s="575"/>
      <c r="HSN118" s="583"/>
      <c r="HSO118" s="590"/>
      <c r="HSP118" s="589"/>
      <c r="HSQ118" s="585"/>
      <c r="HSR118" s="577"/>
      <c r="HSS118" s="304"/>
      <c r="HST118" s="572"/>
      <c r="HSU118" s="573"/>
      <c r="HSV118" s="574"/>
      <c r="HSW118" s="575"/>
      <c r="HSX118" s="583"/>
      <c r="HSY118" s="590"/>
      <c r="HSZ118" s="589"/>
      <c r="HTA118" s="585"/>
      <c r="HTB118" s="577"/>
      <c r="HTC118" s="304"/>
      <c r="HTD118" s="572"/>
      <c r="HTE118" s="573"/>
      <c r="HTF118" s="574"/>
      <c r="HTG118" s="575"/>
      <c r="HTH118" s="583"/>
      <c r="HTI118" s="590"/>
      <c r="HTJ118" s="589"/>
      <c r="HTK118" s="585"/>
      <c r="HTL118" s="577"/>
      <c r="HTM118" s="304"/>
      <c r="HTN118" s="572"/>
      <c r="HTO118" s="573"/>
      <c r="HTP118" s="574"/>
      <c r="HTQ118" s="575"/>
      <c r="HTR118" s="583"/>
      <c r="HTS118" s="590"/>
      <c r="HTT118" s="589"/>
      <c r="HTU118" s="585"/>
      <c r="HTV118" s="577"/>
      <c r="HTW118" s="304"/>
      <c r="HTX118" s="572"/>
      <c r="HTY118" s="573"/>
      <c r="HTZ118" s="574"/>
      <c r="HUA118" s="575"/>
      <c r="HUB118" s="583"/>
      <c r="HUC118" s="590"/>
      <c r="HUD118" s="589"/>
      <c r="HUE118" s="585"/>
      <c r="HUF118" s="577"/>
      <c r="HUG118" s="304"/>
      <c r="HUH118" s="572"/>
      <c r="HUI118" s="573"/>
      <c r="HUJ118" s="574"/>
      <c r="HUK118" s="575"/>
      <c r="HUL118" s="583"/>
      <c r="HUM118" s="590"/>
      <c r="HUN118" s="589"/>
      <c r="HUO118" s="585"/>
      <c r="HUP118" s="577"/>
      <c r="HUQ118" s="304"/>
      <c r="HUR118" s="572"/>
      <c r="HUS118" s="573"/>
      <c r="HUT118" s="574"/>
      <c r="HUU118" s="575"/>
      <c r="HUV118" s="583"/>
      <c r="HUW118" s="590"/>
      <c r="HUX118" s="589"/>
      <c r="HUY118" s="585"/>
      <c r="HUZ118" s="577"/>
      <c r="HVA118" s="304"/>
      <c r="HVB118" s="572"/>
      <c r="HVC118" s="573"/>
      <c r="HVD118" s="574"/>
      <c r="HVE118" s="575"/>
      <c r="HVF118" s="583"/>
      <c r="HVG118" s="590"/>
      <c r="HVH118" s="589"/>
      <c r="HVI118" s="585"/>
      <c r="HVJ118" s="577"/>
      <c r="HVK118" s="304"/>
      <c r="HVL118" s="572"/>
      <c r="HVM118" s="573"/>
      <c r="HVN118" s="574"/>
      <c r="HVO118" s="575"/>
      <c r="HVP118" s="583"/>
      <c r="HVQ118" s="590"/>
      <c r="HVR118" s="589"/>
      <c r="HVS118" s="585"/>
      <c r="HVT118" s="577"/>
      <c r="HVU118" s="304"/>
      <c r="HVV118" s="572"/>
      <c r="HVW118" s="573"/>
      <c r="HVX118" s="574"/>
      <c r="HVY118" s="575"/>
      <c r="HVZ118" s="583"/>
      <c r="HWA118" s="590"/>
      <c r="HWB118" s="589"/>
      <c r="HWC118" s="585"/>
      <c r="HWD118" s="577"/>
      <c r="HWE118" s="304"/>
      <c r="HWF118" s="572"/>
      <c r="HWG118" s="573"/>
      <c r="HWH118" s="574"/>
      <c r="HWI118" s="575"/>
      <c r="HWJ118" s="583"/>
      <c r="HWK118" s="590"/>
      <c r="HWL118" s="589"/>
      <c r="HWM118" s="585"/>
      <c r="HWN118" s="577"/>
      <c r="HWO118" s="304"/>
      <c r="HWP118" s="572"/>
      <c r="HWQ118" s="573"/>
      <c r="HWR118" s="574"/>
      <c r="HWS118" s="575"/>
      <c r="HWT118" s="583"/>
      <c r="HWU118" s="590"/>
      <c r="HWV118" s="589"/>
      <c r="HWW118" s="585"/>
      <c r="HWX118" s="577"/>
      <c r="HWY118" s="304"/>
      <c r="HWZ118" s="572"/>
      <c r="HXA118" s="573"/>
      <c r="HXB118" s="574"/>
      <c r="HXC118" s="575"/>
      <c r="HXD118" s="583"/>
      <c r="HXE118" s="590"/>
      <c r="HXF118" s="589"/>
      <c r="HXG118" s="585"/>
      <c r="HXH118" s="577"/>
      <c r="HXI118" s="304"/>
      <c r="HXJ118" s="572"/>
      <c r="HXK118" s="573"/>
      <c r="HXL118" s="574"/>
      <c r="HXM118" s="575"/>
      <c r="HXN118" s="583"/>
      <c r="HXO118" s="590"/>
      <c r="HXP118" s="589"/>
      <c r="HXQ118" s="585"/>
      <c r="HXR118" s="577"/>
      <c r="HXS118" s="304"/>
      <c r="HXT118" s="572"/>
      <c r="HXU118" s="573"/>
      <c r="HXV118" s="574"/>
      <c r="HXW118" s="575"/>
      <c r="HXX118" s="583"/>
      <c r="HXY118" s="590"/>
      <c r="HXZ118" s="589"/>
      <c r="HYA118" s="585"/>
      <c r="HYB118" s="577"/>
      <c r="HYC118" s="304"/>
      <c r="HYD118" s="572"/>
      <c r="HYE118" s="573"/>
      <c r="HYF118" s="574"/>
      <c r="HYG118" s="575"/>
      <c r="HYH118" s="583"/>
      <c r="HYI118" s="590"/>
      <c r="HYJ118" s="589"/>
      <c r="HYK118" s="585"/>
      <c r="HYL118" s="577"/>
      <c r="HYM118" s="304"/>
      <c r="HYN118" s="572"/>
      <c r="HYO118" s="573"/>
      <c r="HYP118" s="574"/>
      <c r="HYQ118" s="575"/>
      <c r="HYR118" s="583"/>
      <c r="HYS118" s="590"/>
      <c r="HYT118" s="589"/>
      <c r="HYU118" s="585"/>
      <c r="HYV118" s="577"/>
      <c r="HYW118" s="304"/>
      <c r="HYX118" s="572"/>
      <c r="HYY118" s="573"/>
      <c r="HYZ118" s="574"/>
      <c r="HZA118" s="575"/>
      <c r="HZB118" s="583"/>
      <c r="HZC118" s="590"/>
      <c r="HZD118" s="589"/>
      <c r="HZE118" s="585"/>
      <c r="HZF118" s="577"/>
      <c r="HZG118" s="304"/>
      <c r="HZH118" s="572"/>
      <c r="HZI118" s="573"/>
      <c r="HZJ118" s="574"/>
      <c r="HZK118" s="575"/>
      <c r="HZL118" s="583"/>
      <c r="HZM118" s="590"/>
      <c r="HZN118" s="589"/>
      <c r="HZO118" s="585"/>
      <c r="HZP118" s="577"/>
      <c r="HZQ118" s="304"/>
      <c r="HZR118" s="572"/>
      <c r="HZS118" s="573"/>
      <c r="HZT118" s="574"/>
      <c r="HZU118" s="575"/>
      <c r="HZV118" s="583"/>
      <c r="HZW118" s="590"/>
      <c r="HZX118" s="589"/>
      <c r="HZY118" s="585"/>
      <c r="HZZ118" s="577"/>
      <c r="IAA118" s="304"/>
      <c r="IAB118" s="572"/>
      <c r="IAC118" s="573"/>
      <c r="IAD118" s="574"/>
      <c r="IAE118" s="575"/>
      <c r="IAF118" s="583"/>
      <c r="IAG118" s="590"/>
      <c r="IAH118" s="589"/>
      <c r="IAI118" s="585"/>
      <c r="IAJ118" s="577"/>
      <c r="IAK118" s="304"/>
      <c r="IAL118" s="572"/>
      <c r="IAM118" s="573"/>
      <c r="IAN118" s="574"/>
      <c r="IAO118" s="575"/>
      <c r="IAP118" s="583"/>
      <c r="IAQ118" s="590"/>
      <c r="IAR118" s="589"/>
      <c r="IAS118" s="585"/>
      <c r="IAT118" s="577"/>
      <c r="IAU118" s="304"/>
      <c r="IAV118" s="572"/>
      <c r="IAW118" s="573"/>
      <c r="IAX118" s="574"/>
      <c r="IAY118" s="575"/>
      <c r="IAZ118" s="583"/>
      <c r="IBA118" s="590"/>
      <c r="IBB118" s="589"/>
      <c r="IBC118" s="585"/>
      <c r="IBD118" s="577"/>
      <c r="IBE118" s="304"/>
      <c r="IBF118" s="572"/>
      <c r="IBG118" s="573"/>
      <c r="IBH118" s="574"/>
      <c r="IBI118" s="575"/>
      <c r="IBJ118" s="583"/>
      <c r="IBK118" s="590"/>
      <c r="IBL118" s="589"/>
      <c r="IBM118" s="585"/>
      <c r="IBN118" s="577"/>
      <c r="IBO118" s="304"/>
      <c r="IBP118" s="572"/>
      <c r="IBQ118" s="573"/>
      <c r="IBR118" s="574"/>
      <c r="IBS118" s="575"/>
      <c r="IBT118" s="583"/>
      <c r="IBU118" s="590"/>
      <c r="IBV118" s="589"/>
      <c r="IBW118" s="585"/>
      <c r="IBX118" s="577"/>
      <c r="IBY118" s="304"/>
      <c r="IBZ118" s="572"/>
      <c r="ICA118" s="573"/>
      <c r="ICB118" s="574"/>
      <c r="ICC118" s="575"/>
      <c r="ICD118" s="583"/>
      <c r="ICE118" s="590"/>
      <c r="ICF118" s="589"/>
      <c r="ICG118" s="585"/>
      <c r="ICH118" s="577"/>
      <c r="ICI118" s="304"/>
      <c r="ICJ118" s="572"/>
      <c r="ICK118" s="573"/>
      <c r="ICL118" s="574"/>
      <c r="ICM118" s="575"/>
      <c r="ICN118" s="583"/>
      <c r="ICO118" s="590"/>
      <c r="ICP118" s="589"/>
      <c r="ICQ118" s="585"/>
      <c r="ICR118" s="577"/>
      <c r="ICS118" s="304"/>
      <c r="ICT118" s="572"/>
      <c r="ICU118" s="573"/>
      <c r="ICV118" s="574"/>
      <c r="ICW118" s="575"/>
      <c r="ICX118" s="583"/>
      <c r="ICY118" s="590"/>
      <c r="ICZ118" s="589"/>
      <c r="IDA118" s="585"/>
      <c r="IDB118" s="577"/>
      <c r="IDC118" s="304"/>
      <c r="IDD118" s="572"/>
      <c r="IDE118" s="573"/>
      <c r="IDF118" s="574"/>
      <c r="IDG118" s="575"/>
      <c r="IDH118" s="583"/>
      <c r="IDI118" s="590"/>
      <c r="IDJ118" s="589"/>
      <c r="IDK118" s="585"/>
      <c r="IDL118" s="577"/>
      <c r="IDM118" s="304"/>
      <c r="IDN118" s="572"/>
      <c r="IDO118" s="573"/>
      <c r="IDP118" s="574"/>
      <c r="IDQ118" s="575"/>
      <c r="IDR118" s="583"/>
      <c r="IDS118" s="590"/>
      <c r="IDT118" s="589"/>
      <c r="IDU118" s="585"/>
      <c r="IDV118" s="577"/>
      <c r="IDW118" s="304"/>
      <c r="IDX118" s="572"/>
      <c r="IDY118" s="573"/>
      <c r="IDZ118" s="574"/>
      <c r="IEA118" s="575"/>
      <c r="IEB118" s="583"/>
      <c r="IEC118" s="590"/>
      <c r="IED118" s="589"/>
      <c r="IEE118" s="585"/>
      <c r="IEF118" s="577"/>
      <c r="IEG118" s="304"/>
      <c r="IEH118" s="572"/>
      <c r="IEI118" s="573"/>
      <c r="IEJ118" s="574"/>
      <c r="IEK118" s="575"/>
      <c r="IEL118" s="583"/>
      <c r="IEM118" s="590"/>
      <c r="IEN118" s="589"/>
      <c r="IEO118" s="585"/>
      <c r="IEP118" s="577"/>
      <c r="IEQ118" s="304"/>
      <c r="IER118" s="572"/>
      <c r="IES118" s="573"/>
      <c r="IET118" s="574"/>
      <c r="IEU118" s="575"/>
      <c r="IEV118" s="583"/>
      <c r="IEW118" s="590"/>
      <c r="IEX118" s="589"/>
      <c r="IEY118" s="585"/>
      <c r="IEZ118" s="577"/>
      <c r="IFA118" s="304"/>
      <c r="IFB118" s="572"/>
      <c r="IFC118" s="573"/>
      <c r="IFD118" s="574"/>
      <c r="IFE118" s="575"/>
      <c r="IFF118" s="583"/>
      <c r="IFG118" s="590"/>
      <c r="IFH118" s="589"/>
      <c r="IFI118" s="585"/>
      <c r="IFJ118" s="577"/>
      <c r="IFK118" s="304"/>
      <c r="IFL118" s="572"/>
      <c r="IFM118" s="573"/>
      <c r="IFN118" s="574"/>
      <c r="IFO118" s="575"/>
      <c r="IFP118" s="583"/>
      <c r="IFQ118" s="590"/>
      <c r="IFR118" s="589"/>
      <c r="IFS118" s="585"/>
      <c r="IFT118" s="577"/>
      <c r="IFU118" s="304"/>
      <c r="IFV118" s="572"/>
      <c r="IFW118" s="573"/>
      <c r="IFX118" s="574"/>
      <c r="IFY118" s="575"/>
      <c r="IFZ118" s="583"/>
      <c r="IGA118" s="590"/>
      <c r="IGB118" s="589"/>
      <c r="IGC118" s="585"/>
      <c r="IGD118" s="577"/>
      <c r="IGE118" s="304"/>
      <c r="IGF118" s="572"/>
      <c r="IGG118" s="573"/>
      <c r="IGH118" s="574"/>
      <c r="IGI118" s="575"/>
      <c r="IGJ118" s="583"/>
      <c r="IGK118" s="590"/>
      <c r="IGL118" s="589"/>
      <c r="IGM118" s="585"/>
      <c r="IGN118" s="577"/>
      <c r="IGO118" s="304"/>
      <c r="IGP118" s="572"/>
      <c r="IGQ118" s="573"/>
      <c r="IGR118" s="574"/>
      <c r="IGS118" s="575"/>
      <c r="IGT118" s="583"/>
      <c r="IGU118" s="590"/>
      <c r="IGV118" s="589"/>
      <c r="IGW118" s="585"/>
      <c r="IGX118" s="577"/>
      <c r="IGY118" s="304"/>
      <c r="IGZ118" s="572"/>
      <c r="IHA118" s="573"/>
      <c r="IHB118" s="574"/>
      <c r="IHC118" s="575"/>
      <c r="IHD118" s="583"/>
      <c r="IHE118" s="590"/>
      <c r="IHF118" s="589"/>
      <c r="IHG118" s="585"/>
      <c r="IHH118" s="577"/>
      <c r="IHI118" s="304"/>
      <c r="IHJ118" s="572"/>
      <c r="IHK118" s="573"/>
      <c r="IHL118" s="574"/>
      <c r="IHM118" s="575"/>
      <c r="IHN118" s="583"/>
      <c r="IHO118" s="590"/>
      <c r="IHP118" s="589"/>
      <c r="IHQ118" s="585"/>
      <c r="IHR118" s="577"/>
      <c r="IHS118" s="304"/>
      <c r="IHT118" s="572"/>
      <c r="IHU118" s="573"/>
      <c r="IHV118" s="574"/>
      <c r="IHW118" s="575"/>
      <c r="IHX118" s="583"/>
      <c r="IHY118" s="590"/>
      <c r="IHZ118" s="589"/>
      <c r="IIA118" s="585"/>
      <c r="IIB118" s="577"/>
      <c r="IIC118" s="304"/>
      <c r="IID118" s="572"/>
      <c r="IIE118" s="573"/>
      <c r="IIF118" s="574"/>
      <c r="IIG118" s="575"/>
      <c r="IIH118" s="583"/>
      <c r="III118" s="590"/>
      <c r="IIJ118" s="589"/>
      <c r="IIK118" s="585"/>
      <c r="IIL118" s="577"/>
      <c r="IIM118" s="304"/>
      <c r="IIN118" s="572"/>
      <c r="IIO118" s="573"/>
      <c r="IIP118" s="574"/>
      <c r="IIQ118" s="575"/>
      <c r="IIR118" s="583"/>
      <c r="IIS118" s="590"/>
      <c r="IIT118" s="589"/>
      <c r="IIU118" s="585"/>
      <c r="IIV118" s="577"/>
      <c r="IIW118" s="304"/>
      <c r="IIX118" s="572"/>
      <c r="IIY118" s="573"/>
      <c r="IIZ118" s="574"/>
      <c r="IJA118" s="575"/>
      <c r="IJB118" s="583"/>
      <c r="IJC118" s="590"/>
      <c r="IJD118" s="589"/>
      <c r="IJE118" s="585"/>
      <c r="IJF118" s="577"/>
      <c r="IJG118" s="304"/>
      <c r="IJH118" s="572"/>
      <c r="IJI118" s="573"/>
      <c r="IJJ118" s="574"/>
      <c r="IJK118" s="575"/>
      <c r="IJL118" s="583"/>
      <c r="IJM118" s="590"/>
      <c r="IJN118" s="589"/>
      <c r="IJO118" s="585"/>
      <c r="IJP118" s="577"/>
      <c r="IJQ118" s="304"/>
      <c r="IJR118" s="572"/>
      <c r="IJS118" s="573"/>
      <c r="IJT118" s="574"/>
      <c r="IJU118" s="575"/>
      <c r="IJV118" s="583"/>
      <c r="IJW118" s="590"/>
      <c r="IJX118" s="589"/>
      <c r="IJY118" s="585"/>
      <c r="IJZ118" s="577"/>
      <c r="IKA118" s="304"/>
      <c r="IKB118" s="572"/>
      <c r="IKC118" s="573"/>
      <c r="IKD118" s="574"/>
      <c r="IKE118" s="575"/>
      <c r="IKF118" s="583"/>
      <c r="IKG118" s="590"/>
      <c r="IKH118" s="589"/>
      <c r="IKI118" s="585"/>
      <c r="IKJ118" s="577"/>
      <c r="IKK118" s="304"/>
      <c r="IKL118" s="572"/>
      <c r="IKM118" s="573"/>
      <c r="IKN118" s="574"/>
      <c r="IKO118" s="575"/>
      <c r="IKP118" s="583"/>
      <c r="IKQ118" s="590"/>
      <c r="IKR118" s="589"/>
      <c r="IKS118" s="585"/>
      <c r="IKT118" s="577"/>
      <c r="IKU118" s="304"/>
      <c r="IKV118" s="572"/>
      <c r="IKW118" s="573"/>
      <c r="IKX118" s="574"/>
      <c r="IKY118" s="575"/>
      <c r="IKZ118" s="583"/>
      <c r="ILA118" s="590"/>
      <c r="ILB118" s="589"/>
      <c r="ILC118" s="585"/>
      <c r="ILD118" s="577"/>
      <c r="ILE118" s="304"/>
      <c r="ILF118" s="572"/>
      <c r="ILG118" s="573"/>
      <c r="ILH118" s="574"/>
      <c r="ILI118" s="575"/>
      <c r="ILJ118" s="583"/>
      <c r="ILK118" s="590"/>
      <c r="ILL118" s="589"/>
      <c r="ILM118" s="585"/>
      <c r="ILN118" s="577"/>
      <c r="ILO118" s="304"/>
      <c r="ILP118" s="572"/>
      <c r="ILQ118" s="573"/>
      <c r="ILR118" s="574"/>
      <c r="ILS118" s="575"/>
      <c r="ILT118" s="583"/>
      <c r="ILU118" s="590"/>
      <c r="ILV118" s="589"/>
      <c r="ILW118" s="585"/>
      <c r="ILX118" s="577"/>
      <c r="ILY118" s="304"/>
      <c r="ILZ118" s="572"/>
      <c r="IMA118" s="573"/>
      <c r="IMB118" s="574"/>
      <c r="IMC118" s="575"/>
      <c r="IMD118" s="583"/>
      <c r="IME118" s="590"/>
      <c r="IMF118" s="589"/>
      <c r="IMG118" s="585"/>
      <c r="IMH118" s="577"/>
      <c r="IMI118" s="304"/>
      <c r="IMJ118" s="572"/>
      <c r="IMK118" s="573"/>
      <c r="IML118" s="574"/>
      <c r="IMM118" s="575"/>
      <c r="IMN118" s="583"/>
      <c r="IMO118" s="590"/>
      <c r="IMP118" s="589"/>
      <c r="IMQ118" s="585"/>
      <c r="IMR118" s="577"/>
      <c r="IMS118" s="304"/>
      <c r="IMT118" s="572"/>
      <c r="IMU118" s="573"/>
      <c r="IMV118" s="574"/>
      <c r="IMW118" s="575"/>
      <c r="IMX118" s="583"/>
      <c r="IMY118" s="590"/>
      <c r="IMZ118" s="589"/>
      <c r="INA118" s="585"/>
      <c r="INB118" s="577"/>
      <c r="INC118" s="304"/>
      <c r="IND118" s="572"/>
      <c r="INE118" s="573"/>
      <c r="INF118" s="574"/>
      <c r="ING118" s="575"/>
      <c r="INH118" s="583"/>
      <c r="INI118" s="590"/>
      <c r="INJ118" s="589"/>
      <c r="INK118" s="585"/>
      <c r="INL118" s="577"/>
      <c r="INM118" s="304"/>
      <c r="INN118" s="572"/>
      <c r="INO118" s="573"/>
      <c r="INP118" s="574"/>
      <c r="INQ118" s="575"/>
      <c r="INR118" s="583"/>
      <c r="INS118" s="590"/>
      <c r="INT118" s="589"/>
      <c r="INU118" s="585"/>
      <c r="INV118" s="577"/>
      <c r="INW118" s="304"/>
      <c r="INX118" s="572"/>
      <c r="INY118" s="573"/>
      <c r="INZ118" s="574"/>
      <c r="IOA118" s="575"/>
      <c r="IOB118" s="583"/>
      <c r="IOC118" s="590"/>
      <c r="IOD118" s="589"/>
      <c r="IOE118" s="585"/>
      <c r="IOF118" s="577"/>
      <c r="IOG118" s="304"/>
      <c r="IOH118" s="572"/>
      <c r="IOI118" s="573"/>
      <c r="IOJ118" s="574"/>
      <c r="IOK118" s="575"/>
      <c r="IOL118" s="583"/>
      <c r="IOM118" s="590"/>
      <c r="ION118" s="589"/>
      <c r="IOO118" s="585"/>
      <c r="IOP118" s="577"/>
      <c r="IOQ118" s="304"/>
      <c r="IOR118" s="572"/>
      <c r="IOS118" s="573"/>
      <c r="IOT118" s="574"/>
      <c r="IOU118" s="575"/>
      <c r="IOV118" s="583"/>
      <c r="IOW118" s="590"/>
      <c r="IOX118" s="589"/>
      <c r="IOY118" s="585"/>
      <c r="IOZ118" s="577"/>
      <c r="IPA118" s="304"/>
      <c r="IPB118" s="572"/>
      <c r="IPC118" s="573"/>
      <c r="IPD118" s="574"/>
      <c r="IPE118" s="575"/>
      <c r="IPF118" s="583"/>
      <c r="IPG118" s="590"/>
      <c r="IPH118" s="589"/>
      <c r="IPI118" s="585"/>
      <c r="IPJ118" s="577"/>
      <c r="IPK118" s="304"/>
      <c r="IPL118" s="572"/>
      <c r="IPM118" s="573"/>
      <c r="IPN118" s="574"/>
      <c r="IPO118" s="575"/>
      <c r="IPP118" s="583"/>
      <c r="IPQ118" s="590"/>
      <c r="IPR118" s="589"/>
      <c r="IPS118" s="585"/>
      <c r="IPT118" s="577"/>
      <c r="IPU118" s="304"/>
      <c r="IPV118" s="572"/>
      <c r="IPW118" s="573"/>
      <c r="IPX118" s="574"/>
      <c r="IPY118" s="575"/>
      <c r="IPZ118" s="583"/>
      <c r="IQA118" s="590"/>
      <c r="IQB118" s="589"/>
      <c r="IQC118" s="585"/>
      <c r="IQD118" s="577"/>
      <c r="IQE118" s="304"/>
      <c r="IQF118" s="572"/>
      <c r="IQG118" s="573"/>
      <c r="IQH118" s="574"/>
      <c r="IQI118" s="575"/>
      <c r="IQJ118" s="583"/>
      <c r="IQK118" s="590"/>
      <c r="IQL118" s="589"/>
      <c r="IQM118" s="585"/>
      <c r="IQN118" s="577"/>
      <c r="IQO118" s="304"/>
      <c r="IQP118" s="572"/>
      <c r="IQQ118" s="573"/>
      <c r="IQR118" s="574"/>
      <c r="IQS118" s="575"/>
      <c r="IQT118" s="583"/>
      <c r="IQU118" s="590"/>
      <c r="IQV118" s="589"/>
      <c r="IQW118" s="585"/>
      <c r="IQX118" s="577"/>
      <c r="IQY118" s="304"/>
      <c r="IQZ118" s="572"/>
      <c r="IRA118" s="573"/>
      <c r="IRB118" s="574"/>
      <c r="IRC118" s="575"/>
      <c r="IRD118" s="583"/>
      <c r="IRE118" s="590"/>
      <c r="IRF118" s="589"/>
      <c r="IRG118" s="585"/>
      <c r="IRH118" s="577"/>
      <c r="IRI118" s="304"/>
      <c r="IRJ118" s="572"/>
      <c r="IRK118" s="573"/>
      <c r="IRL118" s="574"/>
      <c r="IRM118" s="575"/>
      <c r="IRN118" s="583"/>
      <c r="IRO118" s="590"/>
      <c r="IRP118" s="589"/>
      <c r="IRQ118" s="585"/>
      <c r="IRR118" s="577"/>
      <c r="IRS118" s="304"/>
      <c r="IRT118" s="572"/>
      <c r="IRU118" s="573"/>
      <c r="IRV118" s="574"/>
      <c r="IRW118" s="575"/>
      <c r="IRX118" s="583"/>
      <c r="IRY118" s="590"/>
      <c r="IRZ118" s="589"/>
      <c r="ISA118" s="585"/>
      <c r="ISB118" s="577"/>
      <c r="ISC118" s="304"/>
      <c r="ISD118" s="572"/>
      <c r="ISE118" s="573"/>
      <c r="ISF118" s="574"/>
      <c r="ISG118" s="575"/>
      <c r="ISH118" s="583"/>
      <c r="ISI118" s="590"/>
      <c r="ISJ118" s="589"/>
      <c r="ISK118" s="585"/>
      <c r="ISL118" s="577"/>
      <c r="ISM118" s="304"/>
      <c r="ISN118" s="572"/>
      <c r="ISO118" s="573"/>
      <c r="ISP118" s="574"/>
      <c r="ISQ118" s="575"/>
      <c r="ISR118" s="583"/>
      <c r="ISS118" s="590"/>
      <c r="IST118" s="589"/>
      <c r="ISU118" s="585"/>
      <c r="ISV118" s="577"/>
      <c r="ISW118" s="304"/>
      <c r="ISX118" s="572"/>
      <c r="ISY118" s="573"/>
      <c r="ISZ118" s="574"/>
      <c r="ITA118" s="575"/>
      <c r="ITB118" s="583"/>
      <c r="ITC118" s="590"/>
      <c r="ITD118" s="589"/>
      <c r="ITE118" s="585"/>
      <c r="ITF118" s="577"/>
      <c r="ITG118" s="304"/>
      <c r="ITH118" s="572"/>
      <c r="ITI118" s="573"/>
      <c r="ITJ118" s="574"/>
      <c r="ITK118" s="575"/>
      <c r="ITL118" s="583"/>
      <c r="ITM118" s="590"/>
      <c r="ITN118" s="589"/>
      <c r="ITO118" s="585"/>
      <c r="ITP118" s="577"/>
      <c r="ITQ118" s="304"/>
      <c r="ITR118" s="572"/>
      <c r="ITS118" s="573"/>
      <c r="ITT118" s="574"/>
      <c r="ITU118" s="575"/>
      <c r="ITV118" s="583"/>
      <c r="ITW118" s="590"/>
      <c r="ITX118" s="589"/>
      <c r="ITY118" s="585"/>
      <c r="ITZ118" s="577"/>
      <c r="IUA118" s="304"/>
      <c r="IUB118" s="572"/>
      <c r="IUC118" s="573"/>
      <c r="IUD118" s="574"/>
      <c r="IUE118" s="575"/>
      <c r="IUF118" s="583"/>
      <c r="IUG118" s="590"/>
      <c r="IUH118" s="589"/>
      <c r="IUI118" s="585"/>
      <c r="IUJ118" s="577"/>
      <c r="IUK118" s="304"/>
      <c r="IUL118" s="572"/>
      <c r="IUM118" s="573"/>
      <c r="IUN118" s="574"/>
      <c r="IUO118" s="575"/>
      <c r="IUP118" s="583"/>
      <c r="IUQ118" s="590"/>
      <c r="IUR118" s="589"/>
      <c r="IUS118" s="585"/>
      <c r="IUT118" s="577"/>
      <c r="IUU118" s="304"/>
      <c r="IUV118" s="572"/>
      <c r="IUW118" s="573"/>
      <c r="IUX118" s="574"/>
      <c r="IUY118" s="575"/>
      <c r="IUZ118" s="583"/>
      <c r="IVA118" s="590"/>
      <c r="IVB118" s="589"/>
      <c r="IVC118" s="585"/>
      <c r="IVD118" s="577"/>
      <c r="IVE118" s="304"/>
      <c r="IVF118" s="572"/>
      <c r="IVG118" s="573"/>
      <c r="IVH118" s="574"/>
      <c r="IVI118" s="575"/>
      <c r="IVJ118" s="583"/>
      <c r="IVK118" s="590"/>
      <c r="IVL118" s="589"/>
      <c r="IVM118" s="585"/>
      <c r="IVN118" s="577"/>
      <c r="IVO118" s="304"/>
      <c r="IVP118" s="572"/>
      <c r="IVQ118" s="573"/>
      <c r="IVR118" s="574"/>
      <c r="IVS118" s="575"/>
      <c r="IVT118" s="583"/>
      <c r="IVU118" s="590"/>
      <c r="IVV118" s="589"/>
      <c r="IVW118" s="585"/>
      <c r="IVX118" s="577"/>
      <c r="IVY118" s="304"/>
      <c r="IVZ118" s="572"/>
      <c r="IWA118" s="573"/>
      <c r="IWB118" s="574"/>
      <c r="IWC118" s="575"/>
      <c r="IWD118" s="583"/>
      <c r="IWE118" s="590"/>
      <c r="IWF118" s="589"/>
      <c r="IWG118" s="585"/>
      <c r="IWH118" s="577"/>
      <c r="IWI118" s="304"/>
      <c r="IWJ118" s="572"/>
      <c r="IWK118" s="573"/>
      <c r="IWL118" s="574"/>
      <c r="IWM118" s="575"/>
      <c r="IWN118" s="583"/>
      <c r="IWO118" s="590"/>
      <c r="IWP118" s="589"/>
      <c r="IWQ118" s="585"/>
      <c r="IWR118" s="577"/>
      <c r="IWS118" s="304"/>
      <c r="IWT118" s="572"/>
      <c r="IWU118" s="573"/>
      <c r="IWV118" s="574"/>
      <c r="IWW118" s="575"/>
      <c r="IWX118" s="583"/>
      <c r="IWY118" s="590"/>
      <c r="IWZ118" s="589"/>
      <c r="IXA118" s="585"/>
      <c r="IXB118" s="577"/>
      <c r="IXC118" s="304"/>
      <c r="IXD118" s="572"/>
      <c r="IXE118" s="573"/>
      <c r="IXF118" s="574"/>
      <c r="IXG118" s="575"/>
      <c r="IXH118" s="583"/>
      <c r="IXI118" s="590"/>
      <c r="IXJ118" s="589"/>
      <c r="IXK118" s="585"/>
      <c r="IXL118" s="577"/>
      <c r="IXM118" s="304"/>
      <c r="IXN118" s="572"/>
      <c r="IXO118" s="573"/>
      <c r="IXP118" s="574"/>
      <c r="IXQ118" s="575"/>
      <c r="IXR118" s="583"/>
      <c r="IXS118" s="590"/>
      <c r="IXT118" s="589"/>
      <c r="IXU118" s="585"/>
      <c r="IXV118" s="577"/>
      <c r="IXW118" s="304"/>
      <c r="IXX118" s="572"/>
      <c r="IXY118" s="573"/>
      <c r="IXZ118" s="574"/>
      <c r="IYA118" s="575"/>
      <c r="IYB118" s="583"/>
      <c r="IYC118" s="590"/>
      <c r="IYD118" s="589"/>
      <c r="IYE118" s="585"/>
      <c r="IYF118" s="577"/>
      <c r="IYG118" s="304"/>
      <c r="IYH118" s="572"/>
      <c r="IYI118" s="573"/>
      <c r="IYJ118" s="574"/>
      <c r="IYK118" s="575"/>
      <c r="IYL118" s="583"/>
      <c r="IYM118" s="590"/>
      <c r="IYN118" s="589"/>
      <c r="IYO118" s="585"/>
      <c r="IYP118" s="577"/>
      <c r="IYQ118" s="304"/>
      <c r="IYR118" s="572"/>
      <c r="IYS118" s="573"/>
      <c r="IYT118" s="574"/>
      <c r="IYU118" s="575"/>
      <c r="IYV118" s="583"/>
      <c r="IYW118" s="590"/>
      <c r="IYX118" s="589"/>
      <c r="IYY118" s="585"/>
      <c r="IYZ118" s="577"/>
      <c r="IZA118" s="304"/>
      <c r="IZB118" s="572"/>
      <c r="IZC118" s="573"/>
      <c r="IZD118" s="574"/>
      <c r="IZE118" s="575"/>
      <c r="IZF118" s="583"/>
      <c r="IZG118" s="590"/>
      <c r="IZH118" s="589"/>
      <c r="IZI118" s="585"/>
      <c r="IZJ118" s="577"/>
      <c r="IZK118" s="304"/>
      <c r="IZL118" s="572"/>
      <c r="IZM118" s="573"/>
      <c r="IZN118" s="574"/>
      <c r="IZO118" s="575"/>
      <c r="IZP118" s="583"/>
      <c r="IZQ118" s="590"/>
      <c r="IZR118" s="589"/>
      <c r="IZS118" s="585"/>
      <c r="IZT118" s="577"/>
      <c r="IZU118" s="304"/>
      <c r="IZV118" s="572"/>
      <c r="IZW118" s="573"/>
      <c r="IZX118" s="574"/>
      <c r="IZY118" s="575"/>
      <c r="IZZ118" s="583"/>
      <c r="JAA118" s="590"/>
      <c r="JAB118" s="589"/>
      <c r="JAC118" s="585"/>
      <c r="JAD118" s="577"/>
      <c r="JAE118" s="304"/>
      <c r="JAF118" s="572"/>
      <c r="JAG118" s="573"/>
      <c r="JAH118" s="574"/>
      <c r="JAI118" s="575"/>
      <c r="JAJ118" s="583"/>
      <c r="JAK118" s="590"/>
      <c r="JAL118" s="589"/>
      <c r="JAM118" s="585"/>
      <c r="JAN118" s="577"/>
      <c r="JAO118" s="304"/>
      <c r="JAP118" s="572"/>
      <c r="JAQ118" s="573"/>
      <c r="JAR118" s="574"/>
      <c r="JAS118" s="575"/>
      <c r="JAT118" s="583"/>
      <c r="JAU118" s="590"/>
      <c r="JAV118" s="589"/>
      <c r="JAW118" s="585"/>
      <c r="JAX118" s="577"/>
      <c r="JAY118" s="304"/>
      <c r="JAZ118" s="572"/>
      <c r="JBA118" s="573"/>
      <c r="JBB118" s="574"/>
      <c r="JBC118" s="575"/>
      <c r="JBD118" s="583"/>
      <c r="JBE118" s="590"/>
      <c r="JBF118" s="589"/>
      <c r="JBG118" s="585"/>
      <c r="JBH118" s="577"/>
      <c r="JBI118" s="304"/>
      <c r="JBJ118" s="572"/>
      <c r="JBK118" s="573"/>
      <c r="JBL118" s="574"/>
      <c r="JBM118" s="575"/>
      <c r="JBN118" s="583"/>
      <c r="JBO118" s="590"/>
      <c r="JBP118" s="589"/>
      <c r="JBQ118" s="585"/>
      <c r="JBR118" s="577"/>
      <c r="JBS118" s="304"/>
      <c r="JBT118" s="572"/>
      <c r="JBU118" s="573"/>
      <c r="JBV118" s="574"/>
      <c r="JBW118" s="575"/>
      <c r="JBX118" s="583"/>
      <c r="JBY118" s="590"/>
      <c r="JBZ118" s="589"/>
      <c r="JCA118" s="585"/>
      <c r="JCB118" s="577"/>
      <c r="JCC118" s="304"/>
      <c r="JCD118" s="572"/>
      <c r="JCE118" s="573"/>
      <c r="JCF118" s="574"/>
      <c r="JCG118" s="575"/>
      <c r="JCH118" s="583"/>
      <c r="JCI118" s="590"/>
      <c r="JCJ118" s="589"/>
      <c r="JCK118" s="585"/>
      <c r="JCL118" s="577"/>
      <c r="JCM118" s="304"/>
      <c r="JCN118" s="572"/>
      <c r="JCO118" s="573"/>
      <c r="JCP118" s="574"/>
      <c r="JCQ118" s="575"/>
      <c r="JCR118" s="583"/>
      <c r="JCS118" s="590"/>
      <c r="JCT118" s="589"/>
      <c r="JCU118" s="585"/>
      <c r="JCV118" s="577"/>
      <c r="JCW118" s="304"/>
      <c r="JCX118" s="572"/>
      <c r="JCY118" s="573"/>
      <c r="JCZ118" s="574"/>
      <c r="JDA118" s="575"/>
      <c r="JDB118" s="583"/>
      <c r="JDC118" s="590"/>
      <c r="JDD118" s="589"/>
      <c r="JDE118" s="585"/>
      <c r="JDF118" s="577"/>
      <c r="JDG118" s="304"/>
      <c r="JDH118" s="572"/>
      <c r="JDI118" s="573"/>
      <c r="JDJ118" s="574"/>
      <c r="JDK118" s="575"/>
      <c r="JDL118" s="583"/>
      <c r="JDM118" s="590"/>
      <c r="JDN118" s="589"/>
      <c r="JDO118" s="585"/>
      <c r="JDP118" s="577"/>
      <c r="JDQ118" s="304"/>
      <c r="JDR118" s="572"/>
      <c r="JDS118" s="573"/>
      <c r="JDT118" s="574"/>
      <c r="JDU118" s="575"/>
      <c r="JDV118" s="583"/>
      <c r="JDW118" s="590"/>
      <c r="JDX118" s="589"/>
      <c r="JDY118" s="585"/>
      <c r="JDZ118" s="577"/>
      <c r="JEA118" s="304"/>
      <c r="JEB118" s="572"/>
      <c r="JEC118" s="573"/>
      <c r="JED118" s="574"/>
      <c r="JEE118" s="575"/>
      <c r="JEF118" s="583"/>
      <c r="JEG118" s="590"/>
      <c r="JEH118" s="589"/>
      <c r="JEI118" s="585"/>
      <c r="JEJ118" s="577"/>
      <c r="JEK118" s="304"/>
      <c r="JEL118" s="572"/>
      <c r="JEM118" s="573"/>
      <c r="JEN118" s="574"/>
      <c r="JEO118" s="575"/>
      <c r="JEP118" s="583"/>
      <c r="JEQ118" s="590"/>
      <c r="JER118" s="589"/>
      <c r="JES118" s="585"/>
      <c r="JET118" s="577"/>
      <c r="JEU118" s="304"/>
      <c r="JEV118" s="572"/>
      <c r="JEW118" s="573"/>
      <c r="JEX118" s="574"/>
      <c r="JEY118" s="575"/>
      <c r="JEZ118" s="583"/>
      <c r="JFA118" s="590"/>
      <c r="JFB118" s="589"/>
      <c r="JFC118" s="585"/>
      <c r="JFD118" s="577"/>
      <c r="JFE118" s="304"/>
      <c r="JFF118" s="572"/>
      <c r="JFG118" s="573"/>
      <c r="JFH118" s="574"/>
      <c r="JFI118" s="575"/>
      <c r="JFJ118" s="583"/>
      <c r="JFK118" s="590"/>
      <c r="JFL118" s="589"/>
      <c r="JFM118" s="585"/>
      <c r="JFN118" s="577"/>
      <c r="JFO118" s="304"/>
      <c r="JFP118" s="572"/>
      <c r="JFQ118" s="573"/>
      <c r="JFR118" s="574"/>
      <c r="JFS118" s="575"/>
      <c r="JFT118" s="583"/>
      <c r="JFU118" s="590"/>
      <c r="JFV118" s="589"/>
      <c r="JFW118" s="585"/>
      <c r="JFX118" s="577"/>
      <c r="JFY118" s="304"/>
      <c r="JFZ118" s="572"/>
      <c r="JGA118" s="573"/>
      <c r="JGB118" s="574"/>
      <c r="JGC118" s="575"/>
      <c r="JGD118" s="583"/>
      <c r="JGE118" s="590"/>
      <c r="JGF118" s="589"/>
      <c r="JGG118" s="585"/>
      <c r="JGH118" s="577"/>
      <c r="JGI118" s="304"/>
      <c r="JGJ118" s="572"/>
      <c r="JGK118" s="573"/>
      <c r="JGL118" s="574"/>
      <c r="JGM118" s="575"/>
      <c r="JGN118" s="583"/>
      <c r="JGO118" s="590"/>
      <c r="JGP118" s="589"/>
      <c r="JGQ118" s="585"/>
      <c r="JGR118" s="577"/>
      <c r="JGS118" s="304"/>
      <c r="JGT118" s="572"/>
      <c r="JGU118" s="573"/>
      <c r="JGV118" s="574"/>
      <c r="JGW118" s="575"/>
      <c r="JGX118" s="583"/>
      <c r="JGY118" s="590"/>
      <c r="JGZ118" s="589"/>
      <c r="JHA118" s="585"/>
      <c r="JHB118" s="577"/>
      <c r="JHC118" s="304"/>
      <c r="JHD118" s="572"/>
      <c r="JHE118" s="573"/>
      <c r="JHF118" s="574"/>
      <c r="JHG118" s="575"/>
      <c r="JHH118" s="583"/>
      <c r="JHI118" s="590"/>
      <c r="JHJ118" s="589"/>
      <c r="JHK118" s="585"/>
      <c r="JHL118" s="577"/>
      <c r="JHM118" s="304"/>
      <c r="JHN118" s="572"/>
      <c r="JHO118" s="573"/>
      <c r="JHP118" s="574"/>
      <c r="JHQ118" s="575"/>
      <c r="JHR118" s="583"/>
      <c r="JHS118" s="590"/>
      <c r="JHT118" s="589"/>
      <c r="JHU118" s="585"/>
      <c r="JHV118" s="577"/>
      <c r="JHW118" s="304"/>
      <c r="JHX118" s="572"/>
      <c r="JHY118" s="573"/>
      <c r="JHZ118" s="574"/>
      <c r="JIA118" s="575"/>
      <c r="JIB118" s="583"/>
      <c r="JIC118" s="590"/>
      <c r="JID118" s="589"/>
      <c r="JIE118" s="585"/>
      <c r="JIF118" s="577"/>
      <c r="JIG118" s="304"/>
      <c r="JIH118" s="572"/>
      <c r="JII118" s="573"/>
      <c r="JIJ118" s="574"/>
      <c r="JIK118" s="575"/>
      <c r="JIL118" s="583"/>
      <c r="JIM118" s="590"/>
      <c r="JIN118" s="589"/>
      <c r="JIO118" s="585"/>
      <c r="JIP118" s="577"/>
      <c r="JIQ118" s="304"/>
      <c r="JIR118" s="572"/>
      <c r="JIS118" s="573"/>
      <c r="JIT118" s="574"/>
      <c r="JIU118" s="575"/>
      <c r="JIV118" s="583"/>
      <c r="JIW118" s="590"/>
      <c r="JIX118" s="589"/>
      <c r="JIY118" s="585"/>
      <c r="JIZ118" s="577"/>
      <c r="JJA118" s="304"/>
      <c r="JJB118" s="572"/>
      <c r="JJC118" s="573"/>
      <c r="JJD118" s="574"/>
      <c r="JJE118" s="575"/>
      <c r="JJF118" s="583"/>
      <c r="JJG118" s="590"/>
      <c r="JJH118" s="589"/>
      <c r="JJI118" s="585"/>
      <c r="JJJ118" s="577"/>
      <c r="JJK118" s="304"/>
      <c r="JJL118" s="572"/>
      <c r="JJM118" s="573"/>
      <c r="JJN118" s="574"/>
      <c r="JJO118" s="575"/>
      <c r="JJP118" s="583"/>
      <c r="JJQ118" s="590"/>
      <c r="JJR118" s="589"/>
      <c r="JJS118" s="585"/>
      <c r="JJT118" s="577"/>
      <c r="JJU118" s="304"/>
      <c r="JJV118" s="572"/>
      <c r="JJW118" s="573"/>
      <c r="JJX118" s="574"/>
      <c r="JJY118" s="575"/>
      <c r="JJZ118" s="583"/>
      <c r="JKA118" s="590"/>
      <c r="JKB118" s="589"/>
      <c r="JKC118" s="585"/>
      <c r="JKD118" s="577"/>
      <c r="JKE118" s="304"/>
      <c r="JKF118" s="572"/>
      <c r="JKG118" s="573"/>
      <c r="JKH118" s="574"/>
      <c r="JKI118" s="575"/>
      <c r="JKJ118" s="583"/>
      <c r="JKK118" s="590"/>
      <c r="JKL118" s="589"/>
      <c r="JKM118" s="585"/>
      <c r="JKN118" s="577"/>
      <c r="JKO118" s="304"/>
      <c r="JKP118" s="572"/>
      <c r="JKQ118" s="573"/>
      <c r="JKR118" s="574"/>
      <c r="JKS118" s="575"/>
      <c r="JKT118" s="583"/>
      <c r="JKU118" s="590"/>
      <c r="JKV118" s="589"/>
      <c r="JKW118" s="585"/>
      <c r="JKX118" s="577"/>
      <c r="JKY118" s="304"/>
      <c r="JKZ118" s="572"/>
      <c r="JLA118" s="573"/>
      <c r="JLB118" s="574"/>
      <c r="JLC118" s="575"/>
      <c r="JLD118" s="583"/>
      <c r="JLE118" s="590"/>
      <c r="JLF118" s="589"/>
      <c r="JLG118" s="585"/>
      <c r="JLH118" s="577"/>
      <c r="JLI118" s="304"/>
      <c r="JLJ118" s="572"/>
      <c r="JLK118" s="573"/>
      <c r="JLL118" s="574"/>
      <c r="JLM118" s="575"/>
      <c r="JLN118" s="583"/>
      <c r="JLO118" s="590"/>
      <c r="JLP118" s="589"/>
      <c r="JLQ118" s="585"/>
      <c r="JLR118" s="577"/>
      <c r="JLS118" s="304"/>
      <c r="JLT118" s="572"/>
      <c r="JLU118" s="573"/>
      <c r="JLV118" s="574"/>
      <c r="JLW118" s="575"/>
      <c r="JLX118" s="583"/>
      <c r="JLY118" s="590"/>
      <c r="JLZ118" s="589"/>
      <c r="JMA118" s="585"/>
      <c r="JMB118" s="577"/>
      <c r="JMC118" s="304"/>
      <c r="JMD118" s="572"/>
      <c r="JME118" s="573"/>
      <c r="JMF118" s="574"/>
      <c r="JMG118" s="575"/>
      <c r="JMH118" s="583"/>
      <c r="JMI118" s="590"/>
      <c r="JMJ118" s="589"/>
      <c r="JMK118" s="585"/>
      <c r="JML118" s="577"/>
      <c r="JMM118" s="304"/>
      <c r="JMN118" s="572"/>
      <c r="JMO118" s="573"/>
      <c r="JMP118" s="574"/>
      <c r="JMQ118" s="575"/>
      <c r="JMR118" s="583"/>
      <c r="JMS118" s="590"/>
      <c r="JMT118" s="589"/>
      <c r="JMU118" s="585"/>
      <c r="JMV118" s="577"/>
      <c r="JMW118" s="304"/>
      <c r="JMX118" s="572"/>
      <c r="JMY118" s="573"/>
      <c r="JMZ118" s="574"/>
      <c r="JNA118" s="575"/>
      <c r="JNB118" s="583"/>
      <c r="JNC118" s="590"/>
      <c r="JND118" s="589"/>
      <c r="JNE118" s="585"/>
      <c r="JNF118" s="577"/>
      <c r="JNG118" s="304"/>
      <c r="JNH118" s="572"/>
      <c r="JNI118" s="573"/>
      <c r="JNJ118" s="574"/>
      <c r="JNK118" s="575"/>
      <c r="JNL118" s="583"/>
      <c r="JNM118" s="590"/>
      <c r="JNN118" s="589"/>
      <c r="JNO118" s="585"/>
      <c r="JNP118" s="577"/>
      <c r="JNQ118" s="304"/>
      <c r="JNR118" s="572"/>
      <c r="JNS118" s="573"/>
      <c r="JNT118" s="574"/>
      <c r="JNU118" s="575"/>
      <c r="JNV118" s="583"/>
      <c r="JNW118" s="590"/>
      <c r="JNX118" s="589"/>
      <c r="JNY118" s="585"/>
      <c r="JNZ118" s="577"/>
      <c r="JOA118" s="304"/>
      <c r="JOB118" s="572"/>
      <c r="JOC118" s="573"/>
      <c r="JOD118" s="574"/>
      <c r="JOE118" s="575"/>
      <c r="JOF118" s="583"/>
      <c r="JOG118" s="590"/>
      <c r="JOH118" s="589"/>
      <c r="JOI118" s="585"/>
      <c r="JOJ118" s="577"/>
      <c r="JOK118" s="304"/>
      <c r="JOL118" s="572"/>
      <c r="JOM118" s="573"/>
      <c r="JON118" s="574"/>
      <c r="JOO118" s="575"/>
      <c r="JOP118" s="583"/>
      <c r="JOQ118" s="590"/>
      <c r="JOR118" s="589"/>
      <c r="JOS118" s="585"/>
      <c r="JOT118" s="577"/>
      <c r="JOU118" s="304"/>
      <c r="JOV118" s="572"/>
      <c r="JOW118" s="573"/>
      <c r="JOX118" s="574"/>
      <c r="JOY118" s="575"/>
      <c r="JOZ118" s="583"/>
      <c r="JPA118" s="590"/>
      <c r="JPB118" s="589"/>
      <c r="JPC118" s="585"/>
      <c r="JPD118" s="577"/>
      <c r="JPE118" s="304"/>
      <c r="JPF118" s="572"/>
      <c r="JPG118" s="573"/>
      <c r="JPH118" s="574"/>
      <c r="JPI118" s="575"/>
      <c r="JPJ118" s="583"/>
      <c r="JPK118" s="590"/>
      <c r="JPL118" s="589"/>
      <c r="JPM118" s="585"/>
      <c r="JPN118" s="577"/>
      <c r="JPO118" s="304"/>
      <c r="JPP118" s="572"/>
      <c r="JPQ118" s="573"/>
      <c r="JPR118" s="574"/>
      <c r="JPS118" s="575"/>
      <c r="JPT118" s="583"/>
      <c r="JPU118" s="590"/>
      <c r="JPV118" s="589"/>
      <c r="JPW118" s="585"/>
      <c r="JPX118" s="577"/>
      <c r="JPY118" s="304"/>
      <c r="JPZ118" s="572"/>
      <c r="JQA118" s="573"/>
      <c r="JQB118" s="574"/>
      <c r="JQC118" s="575"/>
      <c r="JQD118" s="583"/>
      <c r="JQE118" s="590"/>
      <c r="JQF118" s="589"/>
      <c r="JQG118" s="585"/>
      <c r="JQH118" s="577"/>
      <c r="JQI118" s="304"/>
      <c r="JQJ118" s="572"/>
      <c r="JQK118" s="573"/>
      <c r="JQL118" s="574"/>
      <c r="JQM118" s="575"/>
      <c r="JQN118" s="583"/>
      <c r="JQO118" s="590"/>
      <c r="JQP118" s="589"/>
      <c r="JQQ118" s="585"/>
      <c r="JQR118" s="577"/>
      <c r="JQS118" s="304"/>
      <c r="JQT118" s="572"/>
      <c r="JQU118" s="573"/>
      <c r="JQV118" s="574"/>
      <c r="JQW118" s="575"/>
      <c r="JQX118" s="583"/>
      <c r="JQY118" s="590"/>
      <c r="JQZ118" s="589"/>
      <c r="JRA118" s="585"/>
      <c r="JRB118" s="577"/>
      <c r="JRC118" s="304"/>
      <c r="JRD118" s="572"/>
      <c r="JRE118" s="573"/>
      <c r="JRF118" s="574"/>
      <c r="JRG118" s="575"/>
      <c r="JRH118" s="583"/>
      <c r="JRI118" s="590"/>
      <c r="JRJ118" s="589"/>
      <c r="JRK118" s="585"/>
      <c r="JRL118" s="577"/>
      <c r="JRM118" s="304"/>
      <c r="JRN118" s="572"/>
      <c r="JRO118" s="573"/>
      <c r="JRP118" s="574"/>
      <c r="JRQ118" s="575"/>
      <c r="JRR118" s="583"/>
      <c r="JRS118" s="590"/>
      <c r="JRT118" s="589"/>
      <c r="JRU118" s="585"/>
      <c r="JRV118" s="577"/>
      <c r="JRW118" s="304"/>
      <c r="JRX118" s="572"/>
      <c r="JRY118" s="573"/>
      <c r="JRZ118" s="574"/>
      <c r="JSA118" s="575"/>
      <c r="JSB118" s="583"/>
      <c r="JSC118" s="590"/>
      <c r="JSD118" s="589"/>
      <c r="JSE118" s="585"/>
      <c r="JSF118" s="577"/>
      <c r="JSG118" s="304"/>
      <c r="JSH118" s="572"/>
      <c r="JSI118" s="573"/>
      <c r="JSJ118" s="574"/>
      <c r="JSK118" s="575"/>
      <c r="JSL118" s="583"/>
      <c r="JSM118" s="590"/>
      <c r="JSN118" s="589"/>
      <c r="JSO118" s="585"/>
      <c r="JSP118" s="577"/>
      <c r="JSQ118" s="304"/>
      <c r="JSR118" s="572"/>
      <c r="JSS118" s="573"/>
      <c r="JST118" s="574"/>
      <c r="JSU118" s="575"/>
      <c r="JSV118" s="583"/>
      <c r="JSW118" s="590"/>
      <c r="JSX118" s="589"/>
      <c r="JSY118" s="585"/>
      <c r="JSZ118" s="577"/>
      <c r="JTA118" s="304"/>
      <c r="JTB118" s="572"/>
      <c r="JTC118" s="573"/>
      <c r="JTD118" s="574"/>
      <c r="JTE118" s="575"/>
      <c r="JTF118" s="583"/>
      <c r="JTG118" s="590"/>
      <c r="JTH118" s="589"/>
      <c r="JTI118" s="585"/>
      <c r="JTJ118" s="577"/>
      <c r="JTK118" s="304"/>
      <c r="JTL118" s="572"/>
      <c r="JTM118" s="573"/>
      <c r="JTN118" s="574"/>
      <c r="JTO118" s="575"/>
      <c r="JTP118" s="583"/>
      <c r="JTQ118" s="590"/>
      <c r="JTR118" s="589"/>
      <c r="JTS118" s="585"/>
      <c r="JTT118" s="577"/>
      <c r="JTU118" s="304"/>
      <c r="JTV118" s="572"/>
      <c r="JTW118" s="573"/>
      <c r="JTX118" s="574"/>
      <c r="JTY118" s="575"/>
      <c r="JTZ118" s="583"/>
      <c r="JUA118" s="590"/>
      <c r="JUB118" s="589"/>
      <c r="JUC118" s="585"/>
      <c r="JUD118" s="577"/>
      <c r="JUE118" s="304"/>
      <c r="JUF118" s="572"/>
      <c r="JUG118" s="573"/>
      <c r="JUH118" s="574"/>
      <c r="JUI118" s="575"/>
      <c r="JUJ118" s="583"/>
      <c r="JUK118" s="590"/>
      <c r="JUL118" s="589"/>
      <c r="JUM118" s="585"/>
      <c r="JUN118" s="577"/>
      <c r="JUO118" s="304"/>
      <c r="JUP118" s="572"/>
      <c r="JUQ118" s="573"/>
      <c r="JUR118" s="574"/>
      <c r="JUS118" s="575"/>
      <c r="JUT118" s="583"/>
      <c r="JUU118" s="590"/>
      <c r="JUV118" s="589"/>
      <c r="JUW118" s="585"/>
      <c r="JUX118" s="577"/>
      <c r="JUY118" s="304"/>
      <c r="JUZ118" s="572"/>
      <c r="JVA118" s="573"/>
      <c r="JVB118" s="574"/>
      <c r="JVC118" s="575"/>
      <c r="JVD118" s="583"/>
      <c r="JVE118" s="590"/>
      <c r="JVF118" s="589"/>
      <c r="JVG118" s="585"/>
      <c r="JVH118" s="577"/>
      <c r="JVI118" s="304"/>
      <c r="JVJ118" s="572"/>
      <c r="JVK118" s="573"/>
      <c r="JVL118" s="574"/>
      <c r="JVM118" s="575"/>
      <c r="JVN118" s="583"/>
      <c r="JVO118" s="590"/>
      <c r="JVP118" s="589"/>
      <c r="JVQ118" s="585"/>
      <c r="JVR118" s="577"/>
      <c r="JVS118" s="304"/>
      <c r="JVT118" s="572"/>
      <c r="JVU118" s="573"/>
      <c r="JVV118" s="574"/>
      <c r="JVW118" s="575"/>
      <c r="JVX118" s="583"/>
      <c r="JVY118" s="590"/>
      <c r="JVZ118" s="589"/>
      <c r="JWA118" s="585"/>
      <c r="JWB118" s="577"/>
      <c r="JWC118" s="304"/>
      <c r="JWD118" s="572"/>
      <c r="JWE118" s="573"/>
      <c r="JWF118" s="574"/>
      <c r="JWG118" s="575"/>
      <c r="JWH118" s="583"/>
      <c r="JWI118" s="590"/>
      <c r="JWJ118" s="589"/>
      <c r="JWK118" s="585"/>
      <c r="JWL118" s="577"/>
      <c r="JWM118" s="304"/>
      <c r="JWN118" s="572"/>
      <c r="JWO118" s="573"/>
      <c r="JWP118" s="574"/>
      <c r="JWQ118" s="575"/>
      <c r="JWR118" s="583"/>
      <c r="JWS118" s="590"/>
      <c r="JWT118" s="589"/>
      <c r="JWU118" s="585"/>
      <c r="JWV118" s="577"/>
      <c r="JWW118" s="304"/>
      <c r="JWX118" s="572"/>
      <c r="JWY118" s="573"/>
      <c r="JWZ118" s="574"/>
      <c r="JXA118" s="575"/>
      <c r="JXB118" s="583"/>
      <c r="JXC118" s="590"/>
      <c r="JXD118" s="589"/>
      <c r="JXE118" s="585"/>
      <c r="JXF118" s="577"/>
      <c r="JXG118" s="304"/>
      <c r="JXH118" s="572"/>
      <c r="JXI118" s="573"/>
      <c r="JXJ118" s="574"/>
      <c r="JXK118" s="575"/>
      <c r="JXL118" s="583"/>
      <c r="JXM118" s="590"/>
      <c r="JXN118" s="589"/>
      <c r="JXO118" s="585"/>
      <c r="JXP118" s="577"/>
      <c r="JXQ118" s="304"/>
      <c r="JXR118" s="572"/>
      <c r="JXS118" s="573"/>
      <c r="JXT118" s="574"/>
      <c r="JXU118" s="575"/>
      <c r="JXV118" s="583"/>
      <c r="JXW118" s="590"/>
      <c r="JXX118" s="589"/>
      <c r="JXY118" s="585"/>
      <c r="JXZ118" s="577"/>
      <c r="JYA118" s="304"/>
      <c r="JYB118" s="572"/>
      <c r="JYC118" s="573"/>
      <c r="JYD118" s="574"/>
      <c r="JYE118" s="575"/>
      <c r="JYF118" s="583"/>
      <c r="JYG118" s="590"/>
      <c r="JYH118" s="589"/>
      <c r="JYI118" s="585"/>
      <c r="JYJ118" s="577"/>
      <c r="JYK118" s="304"/>
      <c r="JYL118" s="572"/>
      <c r="JYM118" s="573"/>
      <c r="JYN118" s="574"/>
      <c r="JYO118" s="575"/>
      <c r="JYP118" s="583"/>
      <c r="JYQ118" s="590"/>
      <c r="JYR118" s="589"/>
      <c r="JYS118" s="585"/>
      <c r="JYT118" s="577"/>
      <c r="JYU118" s="304"/>
      <c r="JYV118" s="572"/>
      <c r="JYW118" s="573"/>
      <c r="JYX118" s="574"/>
      <c r="JYY118" s="575"/>
      <c r="JYZ118" s="583"/>
      <c r="JZA118" s="590"/>
      <c r="JZB118" s="589"/>
      <c r="JZC118" s="585"/>
      <c r="JZD118" s="577"/>
      <c r="JZE118" s="304"/>
      <c r="JZF118" s="572"/>
      <c r="JZG118" s="573"/>
      <c r="JZH118" s="574"/>
      <c r="JZI118" s="575"/>
      <c r="JZJ118" s="583"/>
      <c r="JZK118" s="590"/>
      <c r="JZL118" s="589"/>
      <c r="JZM118" s="585"/>
      <c r="JZN118" s="577"/>
      <c r="JZO118" s="304"/>
      <c r="JZP118" s="572"/>
      <c r="JZQ118" s="573"/>
      <c r="JZR118" s="574"/>
      <c r="JZS118" s="575"/>
      <c r="JZT118" s="583"/>
      <c r="JZU118" s="590"/>
      <c r="JZV118" s="589"/>
      <c r="JZW118" s="585"/>
      <c r="JZX118" s="577"/>
      <c r="JZY118" s="304"/>
      <c r="JZZ118" s="572"/>
      <c r="KAA118" s="573"/>
      <c r="KAB118" s="574"/>
      <c r="KAC118" s="575"/>
      <c r="KAD118" s="583"/>
      <c r="KAE118" s="590"/>
      <c r="KAF118" s="589"/>
      <c r="KAG118" s="585"/>
      <c r="KAH118" s="577"/>
      <c r="KAI118" s="304"/>
      <c r="KAJ118" s="572"/>
      <c r="KAK118" s="573"/>
      <c r="KAL118" s="574"/>
      <c r="KAM118" s="575"/>
      <c r="KAN118" s="583"/>
      <c r="KAO118" s="590"/>
      <c r="KAP118" s="589"/>
      <c r="KAQ118" s="585"/>
      <c r="KAR118" s="577"/>
      <c r="KAS118" s="304"/>
      <c r="KAT118" s="572"/>
      <c r="KAU118" s="573"/>
      <c r="KAV118" s="574"/>
      <c r="KAW118" s="575"/>
      <c r="KAX118" s="583"/>
      <c r="KAY118" s="590"/>
      <c r="KAZ118" s="589"/>
      <c r="KBA118" s="585"/>
      <c r="KBB118" s="577"/>
      <c r="KBC118" s="304"/>
      <c r="KBD118" s="572"/>
      <c r="KBE118" s="573"/>
      <c r="KBF118" s="574"/>
      <c r="KBG118" s="575"/>
      <c r="KBH118" s="583"/>
      <c r="KBI118" s="590"/>
      <c r="KBJ118" s="589"/>
      <c r="KBK118" s="585"/>
      <c r="KBL118" s="577"/>
      <c r="KBM118" s="304"/>
      <c r="KBN118" s="572"/>
      <c r="KBO118" s="573"/>
      <c r="KBP118" s="574"/>
      <c r="KBQ118" s="575"/>
      <c r="KBR118" s="583"/>
      <c r="KBS118" s="590"/>
      <c r="KBT118" s="589"/>
      <c r="KBU118" s="585"/>
      <c r="KBV118" s="577"/>
      <c r="KBW118" s="304"/>
      <c r="KBX118" s="572"/>
      <c r="KBY118" s="573"/>
      <c r="KBZ118" s="574"/>
      <c r="KCA118" s="575"/>
      <c r="KCB118" s="583"/>
      <c r="KCC118" s="590"/>
      <c r="KCD118" s="589"/>
      <c r="KCE118" s="585"/>
      <c r="KCF118" s="577"/>
      <c r="KCG118" s="304"/>
      <c r="KCH118" s="572"/>
      <c r="KCI118" s="573"/>
      <c r="KCJ118" s="574"/>
      <c r="KCK118" s="575"/>
      <c r="KCL118" s="583"/>
      <c r="KCM118" s="590"/>
      <c r="KCN118" s="589"/>
      <c r="KCO118" s="585"/>
      <c r="KCP118" s="577"/>
      <c r="KCQ118" s="304"/>
      <c r="KCR118" s="572"/>
      <c r="KCS118" s="573"/>
      <c r="KCT118" s="574"/>
      <c r="KCU118" s="575"/>
      <c r="KCV118" s="583"/>
      <c r="KCW118" s="590"/>
      <c r="KCX118" s="589"/>
      <c r="KCY118" s="585"/>
      <c r="KCZ118" s="577"/>
      <c r="KDA118" s="304"/>
      <c r="KDB118" s="572"/>
      <c r="KDC118" s="573"/>
      <c r="KDD118" s="574"/>
      <c r="KDE118" s="575"/>
      <c r="KDF118" s="583"/>
      <c r="KDG118" s="590"/>
      <c r="KDH118" s="589"/>
      <c r="KDI118" s="585"/>
      <c r="KDJ118" s="577"/>
      <c r="KDK118" s="304"/>
      <c r="KDL118" s="572"/>
      <c r="KDM118" s="573"/>
      <c r="KDN118" s="574"/>
      <c r="KDO118" s="575"/>
      <c r="KDP118" s="583"/>
      <c r="KDQ118" s="590"/>
      <c r="KDR118" s="589"/>
      <c r="KDS118" s="585"/>
      <c r="KDT118" s="577"/>
      <c r="KDU118" s="304"/>
      <c r="KDV118" s="572"/>
      <c r="KDW118" s="573"/>
      <c r="KDX118" s="574"/>
      <c r="KDY118" s="575"/>
      <c r="KDZ118" s="583"/>
      <c r="KEA118" s="590"/>
      <c r="KEB118" s="589"/>
      <c r="KEC118" s="585"/>
      <c r="KED118" s="577"/>
      <c r="KEE118" s="304"/>
      <c r="KEF118" s="572"/>
      <c r="KEG118" s="573"/>
      <c r="KEH118" s="574"/>
      <c r="KEI118" s="575"/>
      <c r="KEJ118" s="583"/>
      <c r="KEK118" s="590"/>
      <c r="KEL118" s="589"/>
      <c r="KEM118" s="585"/>
      <c r="KEN118" s="577"/>
      <c r="KEO118" s="304"/>
      <c r="KEP118" s="572"/>
      <c r="KEQ118" s="573"/>
      <c r="KER118" s="574"/>
      <c r="KES118" s="575"/>
      <c r="KET118" s="583"/>
      <c r="KEU118" s="590"/>
      <c r="KEV118" s="589"/>
      <c r="KEW118" s="585"/>
      <c r="KEX118" s="577"/>
      <c r="KEY118" s="304"/>
      <c r="KEZ118" s="572"/>
      <c r="KFA118" s="573"/>
      <c r="KFB118" s="574"/>
      <c r="KFC118" s="575"/>
      <c r="KFD118" s="583"/>
      <c r="KFE118" s="590"/>
      <c r="KFF118" s="589"/>
      <c r="KFG118" s="585"/>
      <c r="KFH118" s="577"/>
      <c r="KFI118" s="304"/>
      <c r="KFJ118" s="572"/>
      <c r="KFK118" s="573"/>
      <c r="KFL118" s="574"/>
      <c r="KFM118" s="575"/>
      <c r="KFN118" s="583"/>
      <c r="KFO118" s="590"/>
      <c r="KFP118" s="589"/>
      <c r="KFQ118" s="585"/>
      <c r="KFR118" s="577"/>
      <c r="KFS118" s="304"/>
      <c r="KFT118" s="572"/>
      <c r="KFU118" s="573"/>
      <c r="KFV118" s="574"/>
      <c r="KFW118" s="575"/>
      <c r="KFX118" s="583"/>
      <c r="KFY118" s="590"/>
      <c r="KFZ118" s="589"/>
      <c r="KGA118" s="585"/>
      <c r="KGB118" s="577"/>
      <c r="KGC118" s="304"/>
      <c r="KGD118" s="572"/>
      <c r="KGE118" s="573"/>
      <c r="KGF118" s="574"/>
      <c r="KGG118" s="575"/>
      <c r="KGH118" s="583"/>
      <c r="KGI118" s="590"/>
      <c r="KGJ118" s="589"/>
      <c r="KGK118" s="585"/>
      <c r="KGL118" s="577"/>
      <c r="KGM118" s="304"/>
      <c r="KGN118" s="572"/>
      <c r="KGO118" s="573"/>
      <c r="KGP118" s="574"/>
      <c r="KGQ118" s="575"/>
      <c r="KGR118" s="583"/>
      <c r="KGS118" s="590"/>
      <c r="KGT118" s="589"/>
      <c r="KGU118" s="585"/>
      <c r="KGV118" s="577"/>
      <c r="KGW118" s="304"/>
      <c r="KGX118" s="572"/>
      <c r="KGY118" s="573"/>
      <c r="KGZ118" s="574"/>
      <c r="KHA118" s="575"/>
      <c r="KHB118" s="583"/>
      <c r="KHC118" s="590"/>
      <c r="KHD118" s="589"/>
      <c r="KHE118" s="585"/>
      <c r="KHF118" s="577"/>
      <c r="KHG118" s="304"/>
      <c r="KHH118" s="572"/>
      <c r="KHI118" s="573"/>
      <c r="KHJ118" s="574"/>
      <c r="KHK118" s="575"/>
      <c r="KHL118" s="583"/>
      <c r="KHM118" s="590"/>
      <c r="KHN118" s="589"/>
      <c r="KHO118" s="585"/>
      <c r="KHP118" s="577"/>
      <c r="KHQ118" s="304"/>
      <c r="KHR118" s="572"/>
      <c r="KHS118" s="573"/>
      <c r="KHT118" s="574"/>
      <c r="KHU118" s="575"/>
      <c r="KHV118" s="583"/>
      <c r="KHW118" s="590"/>
      <c r="KHX118" s="589"/>
      <c r="KHY118" s="585"/>
      <c r="KHZ118" s="577"/>
      <c r="KIA118" s="304"/>
      <c r="KIB118" s="572"/>
      <c r="KIC118" s="573"/>
      <c r="KID118" s="574"/>
      <c r="KIE118" s="575"/>
      <c r="KIF118" s="583"/>
      <c r="KIG118" s="590"/>
      <c r="KIH118" s="589"/>
      <c r="KII118" s="585"/>
      <c r="KIJ118" s="577"/>
      <c r="KIK118" s="304"/>
      <c r="KIL118" s="572"/>
      <c r="KIM118" s="573"/>
      <c r="KIN118" s="574"/>
      <c r="KIO118" s="575"/>
      <c r="KIP118" s="583"/>
      <c r="KIQ118" s="590"/>
      <c r="KIR118" s="589"/>
      <c r="KIS118" s="585"/>
      <c r="KIT118" s="577"/>
      <c r="KIU118" s="304"/>
      <c r="KIV118" s="572"/>
      <c r="KIW118" s="573"/>
      <c r="KIX118" s="574"/>
      <c r="KIY118" s="575"/>
      <c r="KIZ118" s="583"/>
      <c r="KJA118" s="590"/>
      <c r="KJB118" s="589"/>
      <c r="KJC118" s="585"/>
      <c r="KJD118" s="577"/>
      <c r="KJE118" s="304"/>
      <c r="KJF118" s="572"/>
      <c r="KJG118" s="573"/>
      <c r="KJH118" s="574"/>
      <c r="KJI118" s="575"/>
      <c r="KJJ118" s="583"/>
      <c r="KJK118" s="590"/>
      <c r="KJL118" s="589"/>
      <c r="KJM118" s="585"/>
      <c r="KJN118" s="577"/>
      <c r="KJO118" s="304"/>
      <c r="KJP118" s="572"/>
      <c r="KJQ118" s="573"/>
      <c r="KJR118" s="574"/>
      <c r="KJS118" s="575"/>
      <c r="KJT118" s="583"/>
      <c r="KJU118" s="590"/>
      <c r="KJV118" s="589"/>
      <c r="KJW118" s="585"/>
      <c r="KJX118" s="577"/>
      <c r="KJY118" s="304"/>
      <c r="KJZ118" s="572"/>
      <c r="KKA118" s="573"/>
      <c r="KKB118" s="574"/>
      <c r="KKC118" s="575"/>
      <c r="KKD118" s="583"/>
      <c r="KKE118" s="590"/>
      <c r="KKF118" s="589"/>
      <c r="KKG118" s="585"/>
      <c r="KKH118" s="577"/>
      <c r="KKI118" s="304"/>
      <c r="KKJ118" s="572"/>
      <c r="KKK118" s="573"/>
      <c r="KKL118" s="574"/>
      <c r="KKM118" s="575"/>
      <c r="KKN118" s="583"/>
      <c r="KKO118" s="590"/>
      <c r="KKP118" s="589"/>
      <c r="KKQ118" s="585"/>
      <c r="KKR118" s="577"/>
      <c r="KKS118" s="304"/>
      <c r="KKT118" s="572"/>
      <c r="KKU118" s="573"/>
      <c r="KKV118" s="574"/>
      <c r="KKW118" s="575"/>
      <c r="KKX118" s="583"/>
      <c r="KKY118" s="590"/>
      <c r="KKZ118" s="589"/>
      <c r="KLA118" s="585"/>
      <c r="KLB118" s="577"/>
      <c r="KLC118" s="304"/>
      <c r="KLD118" s="572"/>
      <c r="KLE118" s="573"/>
      <c r="KLF118" s="574"/>
      <c r="KLG118" s="575"/>
      <c r="KLH118" s="583"/>
      <c r="KLI118" s="590"/>
      <c r="KLJ118" s="589"/>
      <c r="KLK118" s="585"/>
      <c r="KLL118" s="577"/>
      <c r="KLM118" s="304"/>
      <c r="KLN118" s="572"/>
      <c r="KLO118" s="573"/>
      <c r="KLP118" s="574"/>
      <c r="KLQ118" s="575"/>
      <c r="KLR118" s="583"/>
      <c r="KLS118" s="590"/>
      <c r="KLT118" s="589"/>
      <c r="KLU118" s="585"/>
      <c r="KLV118" s="577"/>
      <c r="KLW118" s="304"/>
      <c r="KLX118" s="572"/>
      <c r="KLY118" s="573"/>
      <c r="KLZ118" s="574"/>
      <c r="KMA118" s="575"/>
      <c r="KMB118" s="583"/>
      <c r="KMC118" s="590"/>
      <c r="KMD118" s="589"/>
      <c r="KME118" s="585"/>
      <c r="KMF118" s="577"/>
      <c r="KMG118" s="304"/>
      <c r="KMH118" s="572"/>
      <c r="KMI118" s="573"/>
      <c r="KMJ118" s="574"/>
      <c r="KMK118" s="575"/>
      <c r="KML118" s="583"/>
      <c r="KMM118" s="590"/>
      <c r="KMN118" s="589"/>
      <c r="KMO118" s="585"/>
      <c r="KMP118" s="577"/>
      <c r="KMQ118" s="304"/>
      <c r="KMR118" s="572"/>
      <c r="KMS118" s="573"/>
      <c r="KMT118" s="574"/>
      <c r="KMU118" s="575"/>
      <c r="KMV118" s="583"/>
      <c r="KMW118" s="590"/>
      <c r="KMX118" s="589"/>
      <c r="KMY118" s="585"/>
      <c r="KMZ118" s="577"/>
      <c r="KNA118" s="304"/>
      <c r="KNB118" s="572"/>
      <c r="KNC118" s="573"/>
      <c r="KND118" s="574"/>
      <c r="KNE118" s="575"/>
      <c r="KNF118" s="583"/>
      <c r="KNG118" s="590"/>
      <c r="KNH118" s="589"/>
      <c r="KNI118" s="585"/>
      <c r="KNJ118" s="577"/>
      <c r="KNK118" s="304"/>
      <c r="KNL118" s="572"/>
      <c r="KNM118" s="573"/>
      <c r="KNN118" s="574"/>
      <c r="KNO118" s="575"/>
      <c r="KNP118" s="583"/>
      <c r="KNQ118" s="590"/>
      <c r="KNR118" s="589"/>
      <c r="KNS118" s="585"/>
      <c r="KNT118" s="577"/>
      <c r="KNU118" s="304"/>
      <c r="KNV118" s="572"/>
      <c r="KNW118" s="573"/>
      <c r="KNX118" s="574"/>
      <c r="KNY118" s="575"/>
      <c r="KNZ118" s="583"/>
      <c r="KOA118" s="590"/>
      <c r="KOB118" s="589"/>
      <c r="KOC118" s="585"/>
      <c r="KOD118" s="577"/>
      <c r="KOE118" s="304"/>
      <c r="KOF118" s="572"/>
      <c r="KOG118" s="573"/>
      <c r="KOH118" s="574"/>
      <c r="KOI118" s="575"/>
      <c r="KOJ118" s="583"/>
      <c r="KOK118" s="590"/>
      <c r="KOL118" s="589"/>
      <c r="KOM118" s="585"/>
      <c r="KON118" s="577"/>
      <c r="KOO118" s="304"/>
      <c r="KOP118" s="572"/>
      <c r="KOQ118" s="573"/>
      <c r="KOR118" s="574"/>
      <c r="KOS118" s="575"/>
      <c r="KOT118" s="583"/>
      <c r="KOU118" s="590"/>
      <c r="KOV118" s="589"/>
      <c r="KOW118" s="585"/>
      <c r="KOX118" s="577"/>
      <c r="KOY118" s="304"/>
      <c r="KOZ118" s="572"/>
      <c r="KPA118" s="573"/>
      <c r="KPB118" s="574"/>
      <c r="KPC118" s="575"/>
      <c r="KPD118" s="583"/>
      <c r="KPE118" s="590"/>
      <c r="KPF118" s="589"/>
      <c r="KPG118" s="585"/>
      <c r="KPH118" s="577"/>
      <c r="KPI118" s="304"/>
      <c r="KPJ118" s="572"/>
      <c r="KPK118" s="573"/>
      <c r="KPL118" s="574"/>
      <c r="KPM118" s="575"/>
      <c r="KPN118" s="583"/>
      <c r="KPO118" s="590"/>
      <c r="KPP118" s="589"/>
      <c r="KPQ118" s="585"/>
      <c r="KPR118" s="577"/>
      <c r="KPS118" s="304"/>
      <c r="KPT118" s="572"/>
      <c r="KPU118" s="573"/>
      <c r="KPV118" s="574"/>
      <c r="KPW118" s="575"/>
      <c r="KPX118" s="583"/>
      <c r="KPY118" s="590"/>
      <c r="KPZ118" s="589"/>
      <c r="KQA118" s="585"/>
      <c r="KQB118" s="577"/>
      <c r="KQC118" s="304"/>
      <c r="KQD118" s="572"/>
      <c r="KQE118" s="573"/>
      <c r="KQF118" s="574"/>
      <c r="KQG118" s="575"/>
      <c r="KQH118" s="583"/>
      <c r="KQI118" s="590"/>
      <c r="KQJ118" s="589"/>
      <c r="KQK118" s="585"/>
      <c r="KQL118" s="577"/>
      <c r="KQM118" s="304"/>
      <c r="KQN118" s="572"/>
      <c r="KQO118" s="573"/>
      <c r="KQP118" s="574"/>
      <c r="KQQ118" s="575"/>
      <c r="KQR118" s="583"/>
      <c r="KQS118" s="590"/>
      <c r="KQT118" s="589"/>
      <c r="KQU118" s="585"/>
      <c r="KQV118" s="577"/>
      <c r="KQW118" s="304"/>
      <c r="KQX118" s="572"/>
      <c r="KQY118" s="573"/>
      <c r="KQZ118" s="574"/>
      <c r="KRA118" s="575"/>
      <c r="KRB118" s="583"/>
      <c r="KRC118" s="590"/>
      <c r="KRD118" s="589"/>
      <c r="KRE118" s="585"/>
      <c r="KRF118" s="577"/>
      <c r="KRG118" s="304"/>
      <c r="KRH118" s="572"/>
      <c r="KRI118" s="573"/>
      <c r="KRJ118" s="574"/>
      <c r="KRK118" s="575"/>
      <c r="KRL118" s="583"/>
      <c r="KRM118" s="590"/>
      <c r="KRN118" s="589"/>
      <c r="KRO118" s="585"/>
      <c r="KRP118" s="577"/>
      <c r="KRQ118" s="304"/>
      <c r="KRR118" s="572"/>
      <c r="KRS118" s="573"/>
      <c r="KRT118" s="574"/>
      <c r="KRU118" s="575"/>
      <c r="KRV118" s="583"/>
      <c r="KRW118" s="590"/>
      <c r="KRX118" s="589"/>
      <c r="KRY118" s="585"/>
      <c r="KRZ118" s="577"/>
      <c r="KSA118" s="304"/>
      <c r="KSB118" s="572"/>
      <c r="KSC118" s="573"/>
      <c r="KSD118" s="574"/>
      <c r="KSE118" s="575"/>
      <c r="KSF118" s="583"/>
      <c r="KSG118" s="590"/>
      <c r="KSH118" s="589"/>
      <c r="KSI118" s="585"/>
      <c r="KSJ118" s="577"/>
      <c r="KSK118" s="304"/>
      <c r="KSL118" s="572"/>
      <c r="KSM118" s="573"/>
      <c r="KSN118" s="574"/>
      <c r="KSO118" s="575"/>
      <c r="KSP118" s="583"/>
      <c r="KSQ118" s="590"/>
      <c r="KSR118" s="589"/>
      <c r="KSS118" s="585"/>
      <c r="KST118" s="577"/>
      <c r="KSU118" s="304"/>
      <c r="KSV118" s="572"/>
      <c r="KSW118" s="573"/>
      <c r="KSX118" s="574"/>
      <c r="KSY118" s="575"/>
      <c r="KSZ118" s="583"/>
      <c r="KTA118" s="590"/>
      <c r="KTB118" s="589"/>
      <c r="KTC118" s="585"/>
      <c r="KTD118" s="577"/>
      <c r="KTE118" s="304"/>
      <c r="KTF118" s="572"/>
      <c r="KTG118" s="573"/>
      <c r="KTH118" s="574"/>
      <c r="KTI118" s="575"/>
      <c r="KTJ118" s="583"/>
      <c r="KTK118" s="590"/>
      <c r="KTL118" s="589"/>
      <c r="KTM118" s="585"/>
      <c r="KTN118" s="577"/>
      <c r="KTO118" s="304"/>
      <c r="KTP118" s="572"/>
      <c r="KTQ118" s="573"/>
      <c r="KTR118" s="574"/>
      <c r="KTS118" s="575"/>
      <c r="KTT118" s="583"/>
      <c r="KTU118" s="590"/>
      <c r="KTV118" s="589"/>
      <c r="KTW118" s="585"/>
      <c r="KTX118" s="577"/>
      <c r="KTY118" s="304"/>
      <c r="KTZ118" s="572"/>
      <c r="KUA118" s="573"/>
      <c r="KUB118" s="574"/>
      <c r="KUC118" s="575"/>
      <c r="KUD118" s="583"/>
      <c r="KUE118" s="590"/>
      <c r="KUF118" s="589"/>
      <c r="KUG118" s="585"/>
      <c r="KUH118" s="577"/>
      <c r="KUI118" s="304"/>
      <c r="KUJ118" s="572"/>
      <c r="KUK118" s="573"/>
      <c r="KUL118" s="574"/>
      <c r="KUM118" s="575"/>
      <c r="KUN118" s="583"/>
      <c r="KUO118" s="590"/>
      <c r="KUP118" s="589"/>
      <c r="KUQ118" s="585"/>
      <c r="KUR118" s="577"/>
      <c r="KUS118" s="304"/>
      <c r="KUT118" s="572"/>
      <c r="KUU118" s="573"/>
      <c r="KUV118" s="574"/>
      <c r="KUW118" s="575"/>
      <c r="KUX118" s="583"/>
      <c r="KUY118" s="590"/>
      <c r="KUZ118" s="589"/>
      <c r="KVA118" s="585"/>
      <c r="KVB118" s="577"/>
      <c r="KVC118" s="304"/>
      <c r="KVD118" s="572"/>
      <c r="KVE118" s="573"/>
      <c r="KVF118" s="574"/>
      <c r="KVG118" s="575"/>
      <c r="KVH118" s="583"/>
      <c r="KVI118" s="590"/>
      <c r="KVJ118" s="589"/>
      <c r="KVK118" s="585"/>
      <c r="KVL118" s="577"/>
      <c r="KVM118" s="304"/>
      <c r="KVN118" s="572"/>
      <c r="KVO118" s="573"/>
      <c r="KVP118" s="574"/>
      <c r="KVQ118" s="575"/>
      <c r="KVR118" s="583"/>
      <c r="KVS118" s="590"/>
      <c r="KVT118" s="589"/>
      <c r="KVU118" s="585"/>
      <c r="KVV118" s="577"/>
      <c r="KVW118" s="304"/>
      <c r="KVX118" s="572"/>
      <c r="KVY118" s="573"/>
      <c r="KVZ118" s="574"/>
      <c r="KWA118" s="575"/>
      <c r="KWB118" s="583"/>
      <c r="KWC118" s="590"/>
      <c r="KWD118" s="589"/>
      <c r="KWE118" s="585"/>
      <c r="KWF118" s="577"/>
      <c r="KWG118" s="304"/>
      <c r="KWH118" s="572"/>
      <c r="KWI118" s="573"/>
      <c r="KWJ118" s="574"/>
      <c r="KWK118" s="575"/>
      <c r="KWL118" s="583"/>
      <c r="KWM118" s="590"/>
      <c r="KWN118" s="589"/>
      <c r="KWO118" s="585"/>
      <c r="KWP118" s="577"/>
      <c r="KWQ118" s="304"/>
      <c r="KWR118" s="572"/>
      <c r="KWS118" s="573"/>
      <c r="KWT118" s="574"/>
      <c r="KWU118" s="575"/>
      <c r="KWV118" s="583"/>
      <c r="KWW118" s="590"/>
      <c r="KWX118" s="589"/>
      <c r="KWY118" s="585"/>
      <c r="KWZ118" s="577"/>
      <c r="KXA118" s="304"/>
      <c r="KXB118" s="572"/>
      <c r="KXC118" s="573"/>
      <c r="KXD118" s="574"/>
      <c r="KXE118" s="575"/>
      <c r="KXF118" s="583"/>
      <c r="KXG118" s="590"/>
      <c r="KXH118" s="589"/>
      <c r="KXI118" s="585"/>
      <c r="KXJ118" s="577"/>
      <c r="KXK118" s="304"/>
      <c r="KXL118" s="572"/>
      <c r="KXM118" s="573"/>
      <c r="KXN118" s="574"/>
      <c r="KXO118" s="575"/>
      <c r="KXP118" s="583"/>
      <c r="KXQ118" s="590"/>
      <c r="KXR118" s="589"/>
      <c r="KXS118" s="585"/>
      <c r="KXT118" s="577"/>
      <c r="KXU118" s="304"/>
      <c r="KXV118" s="572"/>
      <c r="KXW118" s="573"/>
      <c r="KXX118" s="574"/>
      <c r="KXY118" s="575"/>
      <c r="KXZ118" s="583"/>
      <c r="KYA118" s="590"/>
      <c r="KYB118" s="589"/>
      <c r="KYC118" s="585"/>
      <c r="KYD118" s="577"/>
      <c r="KYE118" s="304"/>
      <c r="KYF118" s="572"/>
      <c r="KYG118" s="573"/>
      <c r="KYH118" s="574"/>
      <c r="KYI118" s="575"/>
      <c r="KYJ118" s="583"/>
      <c r="KYK118" s="590"/>
      <c r="KYL118" s="589"/>
      <c r="KYM118" s="585"/>
      <c r="KYN118" s="577"/>
      <c r="KYO118" s="304"/>
      <c r="KYP118" s="572"/>
      <c r="KYQ118" s="573"/>
      <c r="KYR118" s="574"/>
      <c r="KYS118" s="575"/>
      <c r="KYT118" s="583"/>
      <c r="KYU118" s="590"/>
      <c r="KYV118" s="589"/>
      <c r="KYW118" s="585"/>
      <c r="KYX118" s="577"/>
      <c r="KYY118" s="304"/>
      <c r="KYZ118" s="572"/>
      <c r="KZA118" s="573"/>
      <c r="KZB118" s="574"/>
      <c r="KZC118" s="575"/>
      <c r="KZD118" s="583"/>
      <c r="KZE118" s="590"/>
      <c r="KZF118" s="589"/>
      <c r="KZG118" s="585"/>
      <c r="KZH118" s="577"/>
      <c r="KZI118" s="304"/>
      <c r="KZJ118" s="572"/>
      <c r="KZK118" s="573"/>
      <c r="KZL118" s="574"/>
      <c r="KZM118" s="575"/>
      <c r="KZN118" s="583"/>
      <c r="KZO118" s="590"/>
      <c r="KZP118" s="589"/>
      <c r="KZQ118" s="585"/>
      <c r="KZR118" s="577"/>
      <c r="KZS118" s="304"/>
      <c r="KZT118" s="572"/>
      <c r="KZU118" s="573"/>
      <c r="KZV118" s="574"/>
      <c r="KZW118" s="575"/>
      <c r="KZX118" s="583"/>
      <c r="KZY118" s="590"/>
      <c r="KZZ118" s="589"/>
      <c r="LAA118" s="585"/>
      <c r="LAB118" s="577"/>
      <c r="LAC118" s="304"/>
      <c r="LAD118" s="572"/>
      <c r="LAE118" s="573"/>
      <c r="LAF118" s="574"/>
      <c r="LAG118" s="575"/>
      <c r="LAH118" s="583"/>
      <c r="LAI118" s="590"/>
      <c r="LAJ118" s="589"/>
      <c r="LAK118" s="585"/>
      <c r="LAL118" s="577"/>
      <c r="LAM118" s="304"/>
      <c r="LAN118" s="572"/>
      <c r="LAO118" s="573"/>
      <c r="LAP118" s="574"/>
      <c r="LAQ118" s="575"/>
      <c r="LAR118" s="583"/>
      <c r="LAS118" s="590"/>
      <c r="LAT118" s="589"/>
      <c r="LAU118" s="585"/>
      <c r="LAV118" s="577"/>
      <c r="LAW118" s="304"/>
      <c r="LAX118" s="572"/>
      <c r="LAY118" s="573"/>
      <c r="LAZ118" s="574"/>
      <c r="LBA118" s="575"/>
      <c r="LBB118" s="583"/>
      <c r="LBC118" s="590"/>
      <c r="LBD118" s="589"/>
      <c r="LBE118" s="585"/>
      <c r="LBF118" s="577"/>
      <c r="LBG118" s="304"/>
      <c r="LBH118" s="572"/>
      <c r="LBI118" s="573"/>
      <c r="LBJ118" s="574"/>
      <c r="LBK118" s="575"/>
      <c r="LBL118" s="583"/>
      <c r="LBM118" s="590"/>
      <c r="LBN118" s="589"/>
      <c r="LBO118" s="585"/>
      <c r="LBP118" s="577"/>
      <c r="LBQ118" s="304"/>
      <c r="LBR118" s="572"/>
      <c r="LBS118" s="573"/>
      <c r="LBT118" s="574"/>
      <c r="LBU118" s="575"/>
      <c r="LBV118" s="583"/>
      <c r="LBW118" s="590"/>
      <c r="LBX118" s="589"/>
      <c r="LBY118" s="585"/>
      <c r="LBZ118" s="577"/>
      <c r="LCA118" s="304"/>
      <c r="LCB118" s="572"/>
      <c r="LCC118" s="573"/>
      <c r="LCD118" s="574"/>
      <c r="LCE118" s="575"/>
      <c r="LCF118" s="583"/>
      <c r="LCG118" s="590"/>
      <c r="LCH118" s="589"/>
      <c r="LCI118" s="585"/>
      <c r="LCJ118" s="577"/>
      <c r="LCK118" s="304"/>
      <c r="LCL118" s="572"/>
      <c r="LCM118" s="573"/>
      <c r="LCN118" s="574"/>
      <c r="LCO118" s="575"/>
      <c r="LCP118" s="583"/>
      <c r="LCQ118" s="590"/>
      <c r="LCR118" s="589"/>
      <c r="LCS118" s="585"/>
      <c r="LCT118" s="577"/>
      <c r="LCU118" s="304"/>
      <c r="LCV118" s="572"/>
      <c r="LCW118" s="573"/>
      <c r="LCX118" s="574"/>
      <c r="LCY118" s="575"/>
      <c r="LCZ118" s="583"/>
      <c r="LDA118" s="590"/>
      <c r="LDB118" s="589"/>
      <c r="LDC118" s="585"/>
      <c r="LDD118" s="577"/>
      <c r="LDE118" s="304"/>
      <c r="LDF118" s="572"/>
      <c r="LDG118" s="573"/>
      <c r="LDH118" s="574"/>
      <c r="LDI118" s="575"/>
      <c r="LDJ118" s="583"/>
      <c r="LDK118" s="590"/>
      <c r="LDL118" s="589"/>
      <c r="LDM118" s="585"/>
      <c r="LDN118" s="577"/>
      <c r="LDO118" s="304"/>
      <c r="LDP118" s="572"/>
      <c r="LDQ118" s="573"/>
      <c r="LDR118" s="574"/>
      <c r="LDS118" s="575"/>
      <c r="LDT118" s="583"/>
      <c r="LDU118" s="590"/>
      <c r="LDV118" s="589"/>
      <c r="LDW118" s="585"/>
      <c r="LDX118" s="577"/>
      <c r="LDY118" s="304"/>
      <c r="LDZ118" s="572"/>
      <c r="LEA118" s="573"/>
      <c r="LEB118" s="574"/>
      <c r="LEC118" s="575"/>
      <c r="LED118" s="583"/>
      <c r="LEE118" s="590"/>
      <c r="LEF118" s="589"/>
      <c r="LEG118" s="585"/>
      <c r="LEH118" s="577"/>
      <c r="LEI118" s="304"/>
      <c r="LEJ118" s="572"/>
      <c r="LEK118" s="573"/>
      <c r="LEL118" s="574"/>
      <c r="LEM118" s="575"/>
      <c r="LEN118" s="583"/>
      <c r="LEO118" s="590"/>
      <c r="LEP118" s="589"/>
      <c r="LEQ118" s="585"/>
      <c r="LER118" s="577"/>
      <c r="LES118" s="304"/>
      <c r="LET118" s="572"/>
      <c r="LEU118" s="573"/>
      <c r="LEV118" s="574"/>
      <c r="LEW118" s="575"/>
      <c r="LEX118" s="583"/>
      <c r="LEY118" s="590"/>
      <c r="LEZ118" s="589"/>
      <c r="LFA118" s="585"/>
      <c r="LFB118" s="577"/>
      <c r="LFC118" s="304"/>
      <c r="LFD118" s="572"/>
      <c r="LFE118" s="573"/>
      <c r="LFF118" s="574"/>
      <c r="LFG118" s="575"/>
      <c r="LFH118" s="583"/>
      <c r="LFI118" s="590"/>
      <c r="LFJ118" s="589"/>
      <c r="LFK118" s="585"/>
      <c r="LFL118" s="577"/>
      <c r="LFM118" s="304"/>
      <c r="LFN118" s="572"/>
      <c r="LFO118" s="573"/>
      <c r="LFP118" s="574"/>
      <c r="LFQ118" s="575"/>
      <c r="LFR118" s="583"/>
      <c r="LFS118" s="590"/>
      <c r="LFT118" s="589"/>
      <c r="LFU118" s="585"/>
      <c r="LFV118" s="577"/>
      <c r="LFW118" s="304"/>
      <c r="LFX118" s="572"/>
      <c r="LFY118" s="573"/>
      <c r="LFZ118" s="574"/>
      <c r="LGA118" s="575"/>
      <c r="LGB118" s="583"/>
      <c r="LGC118" s="590"/>
      <c r="LGD118" s="589"/>
      <c r="LGE118" s="585"/>
      <c r="LGF118" s="577"/>
      <c r="LGG118" s="304"/>
      <c r="LGH118" s="572"/>
      <c r="LGI118" s="573"/>
      <c r="LGJ118" s="574"/>
      <c r="LGK118" s="575"/>
      <c r="LGL118" s="583"/>
      <c r="LGM118" s="590"/>
      <c r="LGN118" s="589"/>
      <c r="LGO118" s="585"/>
      <c r="LGP118" s="577"/>
      <c r="LGQ118" s="304"/>
      <c r="LGR118" s="572"/>
      <c r="LGS118" s="573"/>
      <c r="LGT118" s="574"/>
      <c r="LGU118" s="575"/>
      <c r="LGV118" s="583"/>
      <c r="LGW118" s="590"/>
      <c r="LGX118" s="589"/>
      <c r="LGY118" s="585"/>
      <c r="LGZ118" s="577"/>
      <c r="LHA118" s="304"/>
      <c r="LHB118" s="572"/>
      <c r="LHC118" s="573"/>
      <c r="LHD118" s="574"/>
      <c r="LHE118" s="575"/>
      <c r="LHF118" s="583"/>
      <c r="LHG118" s="590"/>
      <c r="LHH118" s="589"/>
      <c r="LHI118" s="585"/>
      <c r="LHJ118" s="577"/>
      <c r="LHK118" s="304"/>
      <c r="LHL118" s="572"/>
      <c r="LHM118" s="573"/>
      <c r="LHN118" s="574"/>
      <c r="LHO118" s="575"/>
      <c r="LHP118" s="583"/>
      <c r="LHQ118" s="590"/>
      <c r="LHR118" s="589"/>
      <c r="LHS118" s="585"/>
      <c r="LHT118" s="577"/>
      <c r="LHU118" s="304"/>
      <c r="LHV118" s="572"/>
      <c r="LHW118" s="573"/>
      <c r="LHX118" s="574"/>
      <c r="LHY118" s="575"/>
      <c r="LHZ118" s="583"/>
      <c r="LIA118" s="590"/>
      <c r="LIB118" s="589"/>
      <c r="LIC118" s="585"/>
      <c r="LID118" s="577"/>
      <c r="LIE118" s="304"/>
      <c r="LIF118" s="572"/>
      <c r="LIG118" s="573"/>
      <c r="LIH118" s="574"/>
      <c r="LII118" s="575"/>
      <c r="LIJ118" s="583"/>
      <c r="LIK118" s="590"/>
      <c r="LIL118" s="589"/>
      <c r="LIM118" s="585"/>
      <c r="LIN118" s="577"/>
      <c r="LIO118" s="304"/>
      <c r="LIP118" s="572"/>
      <c r="LIQ118" s="573"/>
      <c r="LIR118" s="574"/>
      <c r="LIS118" s="575"/>
      <c r="LIT118" s="583"/>
      <c r="LIU118" s="590"/>
      <c r="LIV118" s="589"/>
      <c r="LIW118" s="585"/>
      <c r="LIX118" s="577"/>
      <c r="LIY118" s="304"/>
      <c r="LIZ118" s="572"/>
      <c r="LJA118" s="573"/>
      <c r="LJB118" s="574"/>
      <c r="LJC118" s="575"/>
      <c r="LJD118" s="583"/>
      <c r="LJE118" s="590"/>
      <c r="LJF118" s="589"/>
      <c r="LJG118" s="585"/>
      <c r="LJH118" s="577"/>
      <c r="LJI118" s="304"/>
      <c r="LJJ118" s="572"/>
      <c r="LJK118" s="573"/>
      <c r="LJL118" s="574"/>
      <c r="LJM118" s="575"/>
      <c r="LJN118" s="583"/>
      <c r="LJO118" s="590"/>
      <c r="LJP118" s="589"/>
      <c r="LJQ118" s="585"/>
      <c r="LJR118" s="577"/>
      <c r="LJS118" s="304"/>
      <c r="LJT118" s="572"/>
      <c r="LJU118" s="573"/>
      <c r="LJV118" s="574"/>
      <c r="LJW118" s="575"/>
      <c r="LJX118" s="583"/>
      <c r="LJY118" s="590"/>
      <c r="LJZ118" s="589"/>
      <c r="LKA118" s="585"/>
      <c r="LKB118" s="577"/>
      <c r="LKC118" s="304"/>
      <c r="LKD118" s="572"/>
      <c r="LKE118" s="573"/>
      <c r="LKF118" s="574"/>
      <c r="LKG118" s="575"/>
      <c r="LKH118" s="583"/>
      <c r="LKI118" s="590"/>
      <c r="LKJ118" s="589"/>
      <c r="LKK118" s="585"/>
      <c r="LKL118" s="577"/>
      <c r="LKM118" s="304"/>
      <c r="LKN118" s="572"/>
      <c r="LKO118" s="573"/>
      <c r="LKP118" s="574"/>
      <c r="LKQ118" s="575"/>
      <c r="LKR118" s="583"/>
      <c r="LKS118" s="590"/>
      <c r="LKT118" s="589"/>
      <c r="LKU118" s="585"/>
      <c r="LKV118" s="577"/>
      <c r="LKW118" s="304"/>
      <c r="LKX118" s="572"/>
      <c r="LKY118" s="573"/>
      <c r="LKZ118" s="574"/>
      <c r="LLA118" s="575"/>
      <c r="LLB118" s="583"/>
      <c r="LLC118" s="590"/>
      <c r="LLD118" s="589"/>
      <c r="LLE118" s="585"/>
      <c r="LLF118" s="577"/>
      <c r="LLG118" s="304"/>
      <c r="LLH118" s="572"/>
      <c r="LLI118" s="573"/>
      <c r="LLJ118" s="574"/>
      <c r="LLK118" s="575"/>
      <c r="LLL118" s="583"/>
      <c r="LLM118" s="590"/>
      <c r="LLN118" s="589"/>
      <c r="LLO118" s="585"/>
      <c r="LLP118" s="577"/>
      <c r="LLQ118" s="304"/>
      <c r="LLR118" s="572"/>
      <c r="LLS118" s="573"/>
      <c r="LLT118" s="574"/>
      <c r="LLU118" s="575"/>
      <c r="LLV118" s="583"/>
      <c r="LLW118" s="590"/>
      <c r="LLX118" s="589"/>
      <c r="LLY118" s="585"/>
      <c r="LLZ118" s="577"/>
      <c r="LMA118" s="304"/>
      <c r="LMB118" s="572"/>
      <c r="LMC118" s="573"/>
      <c r="LMD118" s="574"/>
      <c r="LME118" s="575"/>
      <c r="LMF118" s="583"/>
      <c r="LMG118" s="590"/>
      <c r="LMH118" s="589"/>
      <c r="LMI118" s="585"/>
      <c r="LMJ118" s="577"/>
      <c r="LMK118" s="304"/>
      <c r="LML118" s="572"/>
      <c r="LMM118" s="573"/>
      <c r="LMN118" s="574"/>
      <c r="LMO118" s="575"/>
      <c r="LMP118" s="583"/>
      <c r="LMQ118" s="590"/>
      <c r="LMR118" s="589"/>
      <c r="LMS118" s="585"/>
      <c r="LMT118" s="577"/>
      <c r="LMU118" s="304"/>
      <c r="LMV118" s="572"/>
      <c r="LMW118" s="573"/>
      <c r="LMX118" s="574"/>
      <c r="LMY118" s="575"/>
      <c r="LMZ118" s="583"/>
      <c r="LNA118" s="590"/>
      <c r="LNB118" s="589"/>
      <c r="LNC118" s="585"/>
      <c r="LND118" s="577"/>
      <c r="LNE118" s="304"/>
      <c r="LNF118" s="572"/>
      <c r="LNG118" s="573"/>
      <c r="LNH118" s="574"/>
      <c r="LNI118" s="575"/>
      <c r="LNJ118" s="583"/>
      <c r="LNK118" s="590"/>
      <c r="LNL118" s="589"/>
      <c r="LNM118" s="585"/>
      <c r="LNN118" s="577"/>
      <c r="LNO118" s="304"/>
      <c r="LNP118" s="572"/>
      <c r="LNQ118" s="573"/>
      <c r="LNR118" s="574"/>
      <c r="LNS118" s="575"/>
      <c r="LNT118" s="583"/>
      <c r="LNU118" s="590"/>
      <c r="LNV118" s="589"/>
      <c r="LNW118" s="585"/>
      <c r="LNX118" s="577"/>
      <c r="LNY118" s="304"/>
      <c r="LNZ118" s="572"/>
      <c r="LOA118" s="573"/>
      <c r="LOB118" s="574"/>
      <c r="LOC118" s="575"/>
      <c r="LOD118" s="583"/>
      <c r="LOE118" s="590"/>
      <c r="LOF118" s="589"/>
      <c r="LOG118" s="585"/>
      <c r="LOH118" s="577"/>
      <c r="LOI118" s="304"/>
      <c r="LOJ118" s="572"/>
      <c r="LOK118" s="573"/>
      <c r="LOL118" s="574"/>
      <c r="LOM118" s="575"/>
      <c r="LON118" s="583"/>
      <c r="LOO118" s="590"/>
      <c r="LOP118" s="589"/>
      <c r="LOQ118" s="585"/>
      <c r="LOR118" s="577"/>
      <c r="LOS118" s="304"/>
      <c r="LOT118" s="572"/>
      <c r="LOU118" s="573"/>
      <c r="LOV118" s="574"/>
      <c r="LOW118" s="575"/>
      <c r="LOX118" s="583"/>
      <c r="LOY118" s="590"/>
      <c r="LOZ118" s="589"/>
      <c r="LPA118" s="585"/>
      <c r="LPB118" s="577"/>
      <c r="LPC118" s="304"/>
      <c r="LPD118" s="572"/>
      <c r="LPE118" s="573"/>
      <c r="LPF118" s="574"/>
      <c r="LPG118" s="575"/>
      <c r="LPH118" s="583"/>
      <c r="LPI118" s="590"/>
      <c r="LPJ118" s="589"/>
      <c r="LPK118" s="585"/>
      <c r="LPL118" s="577"/>
      <c r="LPM118" s="304"/>
      <c r="LPN118" s="572"/>
      <c r="LPO118" s="573"/>
      <c r="LPP118" s="574"/>
      <c r="LPQ118" s="575"/>
      <c r="LPR118" s="583"/>
      <c r="LPS118" s="590"/>
      <c r="LPT118" s="589"/>
      <c r="LPU118" s="585"/>
      <c r="LPV118" s="577"/>
      <c r="LPW118" s="304"/>
      <c r="LPX118" s="572"/>
      <c r="LPY118" s="573"/>
      <c r="LPZ118" s="574"/>
      <c r="LQA118" s="575"/>
      <c r="LQB118" s="583"/>
      <c r="LQC118" s="590"/>
      <c r="LQD118" s="589"/>
      <c r="LQE118" s="585"/>
      <c r="LQF118" s="577"/>
      <c r="LQG118" s="304"/>
      <c r="LQH118" s="572"/>
      <c r="LQI118" s="573"/>
      <c r="LQJ118" s="574"/>
      <c r="LQK118" s="575"/>
      <c r="LQL118" s="583"/>
      <c r="LQM118" s="590"/>
      <c r="LQN118" s="589"/>
      <c r="LQO118" s="585"/>
      <c r="LQP118" s="577"/>
      <c r="LQQ118" s="304"/>
      <c r="LQR118" s="572"/>
      <c r="LQS118" s="573"/>
      <c r="LQT118" s="574"/>
      <c r="LQU118" s="575"/>
      <c r="LQV118" s="583"/>
      <c r="LQW118" s="590"/>
      <c r="LQX118" s="589"/>
      <c r="LQY118" s="585"/>
      <c r="LQZ118" s="577"/>
      <c r="LRA118" s="304"/>
      <c r="LRB118" s="572"/>
      <c r="LRC118" s="573"/>
      <c r="LRD118" s="574"/>
      <c r="LRE118" s="575"/>
      <c r="LRF118" s="583"/>
      <c r="LRG118" s="590"/>
      <c r="LRH118" s="589"/>
      <c r="LRI118" s="585"/>
      <c r="LRJ118" s="577"/>
      <c r="LRK118" s="304"/>
      <c r="LRL118" s="572"/>
      <c r="LRM118" s="573"/>
      <c r="LRN118" s="574"/>
      <c r="LRO118" s="575"/>
      <c r="LRP118" s="583"/>
      <c r="LRQ118" s="590"/>
      <c r="LRR118" s="589"/>
      <c r="LRS118" s="585"/>
      <c r="LRT118" s="577"/>
      <c r="LRU118" s="304"/>
      <c r="LRV118" s="572"/>
      <c r="LRW118" s="573"/>
      <c r="LRX118" s="574"/>
      <c r="LRY118" s="575"/>
      <c r="LRZ118" s="583"/>
      <c r="LSA118" s="590"/>
      <c r="LSB118" s="589"/>
      <c r="LSC118" s="585"/>
      <c r="LSD118" s="577"/>
      <c r="LSE118" s="304"/>
      <c r="LSF118" s="572"/>
      <c r="LSG118" s="573"/>
      <c r="LSH118" s="574"/>
      <c r="LSI118" s="575"/>
      <c r="LSJ118" s="583"/>
      <c r="LSK118" s="590"/>
      <c r="LSL118" s="589"/>
      <c r="LSM118" s="585"/>
      <c r="LSN118" s="577"/>
      <c r="LSO118" s="304"/>
      <c r="LSP118" s="572"/>
      <c r="LSQ118" s="573"/>
      <c r="LSR118" s="574"/>
      <c r="LSS118" s="575"/>
      <c r="LST118" s="583"/>
      <c r="LSU118" s="590"/>
      <c r="LSV118" s="589"/>
      <c r="LSW118" s="585"/>
      <c r="LSX118" s="577"/>
      <c r="LSY118" s="304"/>
      <c r="LSZ118" s="572"/>
      <c r="LTA118" s="573"/>
      <c r="LTB118" s="574"/>
      <c r="LTC118" s="575"/>
      <c r="LTD118" s="583"/>
      <c r="LTE118" s="590"/>
      <c r="LTF118" s="589"/>
      <c r="LTG118" s="585"/>
      <c r="LTH118" s="577"/>
      <c r="LTI118" s="304"/>
      <c r="LTJ118" s="572"/>
      <c r="LTK118" s="573"/>
      <c r="LTL118" s="574"/>
      <c r="LTM118" s="575"/>
      <c r="LTN118" s="583"/>
      <c r="LTO118" s="590"/>
      <c r="LTP118" s="589"/>
      <c r="LTQ118" s="585"/>
      <c r="LTR118" s="577"/>
      <c r="LTS118" s="304"/>
      <c r="LTT118" s="572"/>
      <c r="LTU118" s="573"/>
      <c r="LTV118" s="574"/>
      <c r="LTW118" s="575"/>
      <c r="LTX118" s="583"/>
      <c r="LTY118" s="590"/>
      <c r="LTZ118" s="589"/>
      <c r="LUA118" s="585"/>
      <c r="LUB118" s="577"/>
      <c r="LUC118" s="304"/>
      <c r="LUD118" s="572"/>
      <c r="LUE118" s="573"/>
      <c r="LUF118" s="574"/>
      <c r="LUG118" s="575"/>
      <c r="LUH118" s="583"/>
      <c r="LUI118" s="590"/>
      <c r="LUJ118" s="589"/>
      <c r="LUK118" s="585"/>
      <c r="LUL118" s="577"/>
      <c r="LUM118" s="304"/>
      <c r="LUN118" s="572"/>
      <c r="LUO118" s="573"/>
      <c r="LUP118" s="574"/>
      <c r="LUQ118" s="575"/>
      <c r="LUR118" s="583"/>
      <c r="LUS118" s="590"/>
      <c r="LUT118" s="589"/>
      <c r="LUU118" s="585"/>
      <c r="LUV118" s="577"/>
      <c r="LUW118" s="304"/>
      <c r="LUX118" s="572"/>
      <c r="LUY118" s="573"/>
      <c r="LUZ118" s="574"/>
      <c r="LVA118" s="575"/>
      <c r="LVB118" s="583"/>
      <c r="LVC118" s="590"/>
      <c r="LVD118" s="589"/>
      <c r="LVE118" s="585"/>
      <c r="LVF118" s="577"/>
      <c r="LVG118" s="304"/>
      <c r="LVH118" s="572"/>
      <c r="LVI118" s="573"/>
      <c r="LVJ118" s="574"/>
      <c r="LVK118" s="575"/>
      <c r="LVL118" s="583"/>
      <c r="LVM118" s="590"/>
      <c r="LVN118" s="589"/>
      <c r="LVO118" s="585"/>
      <c r="LVP118" s="577"/>
      <c r="LVQ118" s="304"/>
      <c r="LVR118" s="572"/>
      <c r="LVS118" s="573"/>
      <c r="LVT118" s="574"/>
      <c r="LVU118" s="575"/>
      <c r="LVV118" s="583"/>
      <c r="LVW118" s="590"/>
      <c r="LVX118" s="589"/>
      <c r="LVY118" s="585"/>
      <c r="LVZ118" s="577"/>
      <c r="LWA118" s="304"/>
      <c r="LWB118" s="572"/>
      <c r="LWC118" s="573"/>
      <c r="LWD118" s="574"/>
      <c r="LWE118" s="575"/>
      <c r="LWF118" s="583"/>
      <c r="LWG118" s="590"/>
      <c r="LWH118" s="589"/>
      <c r="LWI118" s="585"/>
      <c r="LWJ118" s="577"/>
      <c r="LWK118" s="304"/>
      <c r="LWL118" s="572"/>
      <c r="LWM118" s="573"/>
      <c r="LWN118" s="574"/>
      <c r="LWO118" s="575"/>
      <c r="LWP118" s="583"/>
      <c r="LWQ118" s="590"/>
      <c r="LWR118" s="589"/>
      <c r="LWS118" s="585"/>
      <c r="LWT118" s="577"/>
      <c r="LWU118" s="304"/>
      <c r="LWV118" s="572"/>
      <c r="LWW118" s="573"/>
      <c r="LWX118" s="574"/>
      <c r="LWY118" s="575"/>
      <c r="LWZ118" s="583"/>
      <c r="LXA118" s="590"/>
      <c r="LXB118" s="589"/>
      <c r="LXC118" s="585"/>
      <c r="LXD118" s="577"/>
      <c r="LXE118" s="304"/>
      <c r="LXF118" s="572"/>
      <c r="LXG118" s="573"/>
      <c r="LXH118" s="574"/>
      <c r="LXI118" s="575"/>
      <c r="LXJ118" s="583"/>
      <c r="LXK118" s="590"/>
      <c r="LXL118" s="589"/>
      <c r="LXM118" s="585"/>
      <c r="LXN118" s="577"/>
      <c r="LXO118" s="304"/>
      <c r="LXP118" s="572"/>
      <c r="LXQ118" s="573"/>
      <c r="LXR118" s="574"/>
      <c r="LXS118" s="575"/>
      <c r="LXT118" s="583"/>
      <c r="LXU118" s="590"/>
      <c r="LXV118" s="589"/>
      <c r="LXW118" s="585"/>
      <c r="LXX118" s="577"/>
      <c r="LXY118" s="304"/>
      <c r="LXZ118" s="572"/>
      <c r="LYA118" s="573"/>
      <c r="LYB118" s="574"/>
      <c r="LYC118" s="575"/>
      <c r="LYD118" s="583"/>
      <c r="LYE118" s="590"/>
      <c r="LYF118" s="589"/>
      <c r="LYG118" s="585"/>
      <c r="LYH118" s="577"/>
      <c r="LYI118" s="304"/>
      <c r="LYJ118" s="572"/>
      <c r="LYK118" s="573"/>
      <c r="LYL118" s="574"/>
      <c r="LYM118" s="575"/>
      <c r="LYN118" s="583"/>
      <c r="LYO118" s="590"/>
      <c r="LYP118" s="589"/>
      <c r="LYQ118" s="585"/>
      <c r="LYR118" s="577"/>
      <c r="LYS118" s="304"/>
      <c r="LYT118" s="572"/>
      <c r="LYU118" s="573"/>
      <c r="LYV118" s="574"/>
      <c r="LYW118" s="575"/>
      <c r="LYX118" s="583"/>
      <c r="LYY118" s="590"/>
      <c r="LYZ118" s="589"/>
      <c r="LZA118" s="585"/>
      <c r="LZB118" s="577"/>
      <c r="LZC118" s="304"/>
      <c r="LZD118" s="572"/>
      <c r="LZE118" s="573"/>
      <c r="LZF118" s="574"/>
      <c r="LZG118" s="575"/>
      <c r="LZH118" s="583"/>
      <c r="LZI118" s="590"/>
      <c r="LZJ118" s="589"/>
      <c r="LZK118" s="585"/>
      <c r="LZL118" s="577"/>
      <c r="LZM118" s="304"/>
      <c r="LZN118" s="572"/>
      <c r="LZO118" s="573"/>
      <c r="LZP118" s="574"/>
      <c r="LZQ118" s="575"/>
      <c r="LZR118" s="583"/>
      <c r="LZS118" s="590"/>
      <c r="LZT118" s="589"/>
      <c r="LZU118" s="585"/>
      <c r="LZV118" s="577"/>
      <c r="LZW118" s="304"/>
      <c r="LZX118" s="572"/>
      <c r="LZY118" s="573"/>
      <c r="LZZ118" s="574"/>
      <c r="MAA118" s="575"/>
      <c r="MAB118" s="583"/>
      <c r="MAC118" s="590"/>
      <c r="MAD118" s="589"/>
      <c r="MAE118" s="585"/>
      <c r="MAF118" s="577"/>
      <c r="MAG118" s="304"/>
      <c r="MAH118" s="572"/>
      <c r="MAI118" s="573"/>
      <c r="MAJ118" s="574"/>
      <c r="MAK118" s="575"/>
      <c r="MAL118" s="583"/>
      <c r="MAM118" s="590"/>
      <c r="MAN118" s="589"/>
      <c r="MAO118" s="585"/>
      <c r="MAP118" s="577"/>
      <c r="MAQ118" s="304"/>
      <c r="MAR118" s="572"/>
      <c r="MAS118" s="573"/>
      <c r="MAT118" s="574"/>
      <c r="MAU118" s="575"/>
      <c r="MAV118" s="583"/>
      <c r="MAW118" s="590"/>
      <c r="MAX118" s="589"/>
      <c r="MAY118" s="585"/>
      <c r="MAZ118" s="577"/>
      <c r="MBA118" s="304"/>
      <c r="MBB118" s="572"/>
      <c r="MBC118" s="573"/>
      <c r="MBD118" s="574"/>
      <c r="MBE118" s="575"/>
      <c r="MBF118" s="583"/>
      <c r="MBG118" s="590"/>
      <c r="MBH118" s="589"/>
      <c r="MBI118" s="585"/>
      <c r="MBJ118" s="577"/>
      <c r="MBK118" s="304"/>
      <c r="MBL118" s="572"/>
      <c r="MBM118" s="573"/>
      <c r="MBN118" s="574"/>
      <c r="MBO118" s="575"/>
      <c r="MBP118" s="583"/>
      <c r="MBQ118" s="590"/>
      <c r="MBR118" s="589"/>
      <c r="MBS118" s="585"/>
      <c r="MBT118" s="577"/>
      <c r="MBU118" s="304"/>
      <c r="MBV118" s="572"/>
      <c r="MBW118" s="573"/>
      <c r="MBX118" s="574"/>
      <c r="MBY118" s="575"/>
      <c r="MBZ118" s="583"/>
      <c r="MCA118" s="590"/>
      <c r="MCB118" s="589"/>
      <c r="MCC118" s="585"/>
      <c r="MCD118" s="577"/>
      <c r="MCE118" s="304"/>
      <c r="MCF118" s="572"/>
      <c r="MCG118" s="573"/>
      <c r="MCH118" s="574"/>
      <c r="MCI118" s="575"/>
      <c r="MCJ118" s="583"/>
      <c r="MCK118" s="590"/>
      <c r="MCL118" s="589"/>
      <c r="MCM118" s="585"/>
      <c r="MCN118" s="577"/>
      <c r="MCO118" s="304"/>
      <c r="MCP118" s="572"/>
      <c r="MCQ118" s="573"/>
      <c r="MCR118" s="574"/>
      <c r="MCS118" s="575"/>
      <c r="MCT118" s="583"/>
      <c r="MCU118" s="590"/>
      <c r="MCV118" s="589"/>
      <c r="MCW118" s="585"/>
      <c r="MCX118" s="577"/>
      <c r="MCY118" s="304"/>
      <c r="MCZ118" s="572"/>
      <c r="MDA118" s="573"/>
      <c r="MDB118" s="574"/>
      <c r="MDC118" s="575"/>
      <c r="MDD118" s="583"/>
      <c r="MDE118" s="590"/>
      <c r="MDF118" s="589"/>
      <c r="MDG118" s="585"/>
      <c r="MDH118" s="577"/>
      <c r="MDI118" s="304"/>
      <c r="MDJ118" s="572"/>
      <c r="MDK118" s="573"/>
      <c r="MDL118" s="574"/>
      <c r="MDM118" s="575"/>
      <c r="MDN118" s="583"/>
      <c r="MDO118" s="590"/>
      <c r="MDP118" s="589"/>
      <c r="MDQ118" s="585"/>
      <c r="MDR118" s="577"/>
      <c r="MDS118" s="304"/>
      <c r="MDT118" s="572"/>
      <c r="MDU118" s="573"/>
      <c r="MDV118" s="574"/>
      <c r="MDW118" s="575"/>
      <c r="MDX118" s="583"/>
      <c r="MDY118" s="590"/>
      <c r="MDZ118" s="589"/>
      <c r="MEA118" s="585"/>
      <c r="MEB118" s="577"/>
      <c r="MEC118" s="304"/>
      <c r="MED118" s="572"/>
      <c r="MEE118" s="573"/>
      <c r="MEF118" s="574"/>
      <c r="MEG118" s="575"/>
      <c r="MEH118" s="583"/>
      <c r="MEI118" s="590"/>
      <c r="MEJ118" s="589"/>
      <c r="MEK118" s="585"/>
      <c r="MEL118" s="577"/>
      <c r="MEM118" s="304"/>
      <c r="MEN118" s="572"/>
      <c r="MEO118" s="573"/>
      <c r="MEP118" s="574"/>
      <c r="MEQ118" s="575"/>
      <c r="MER118" s="583"/>
      <c r="MES118" s="590"/>
      <c r="MET118" s="589"/>
      <c r="MEU118" s="585"/>
      <c r="MEV118" s="577"/>
      <c r="MEW118" s="304"/>
      <c r="MEX118" s="572"/>
      <c r="MEY118" s="573"/>
      <c r="MEZ118" s="574"/>
      <c r="MFA118" s="575"/>
      <c r="MFB118" s="583"/>
      <c r="MFC118" s="590"/>
      <c r="MFD118" s="589"/>
      <c r="MFE118" s="585"/>
      <c r="MFF118" s="577"/>
      <c r="MFG118" s="304"/>
      <c r="MFH118" s="572"/>
      <c r="MFI118" s="573"/>
      <c r="MFJ118" s="574"/>
      <c r="MFK118" s="575"/>
      <c r="MFL118" s="583"/>
      <c r="MFM118" s="590"/>
      <c r="MFN118" s="589"/>
      <c r="MFO118" s="585"/>
      <c r="MFP118" s="577"/>
      <c r="MFQ118" s="304"/>
      <c r="MFR118" s="572"/>
      <c r="MFS118" s="573"/>
      <c r="MFT118" s="574"/>
      <c r="MFU118" s="575"/>
      <c r="MFV118" s="583"/>
      <c r="MFW118" s="590"/>
      <c r="MFX118" s="589"/>
      <c r="MFY118" s="585"/>
      <c r="MFZ118" s="577"/>
      <c r="MGA118" s="304"/>
      <c r="MGB118" s="572"/>
      <c r="MGC118" s="573"/>
      <c r="MGD118" s="574"/>
      <c r="MGE118" s="575"/>
      <c r="MGF118" s="583"/>
      <c r="MGG118" s="590"/>
      <c r="MGH118" s="589"/>
      <c r="MGI118" s="585"/>
      <c r="MGJ118" s="577"/>
      <c r="MGK118" s="304"/>
      <c r="MGL118" s="572"/>
      <c r="MGM118" s="573"/>
      <c r="MGN118" s="574"/>
      <c r="MGO118" s="575"/>
      <c r="MGP118" s="583"/>
      <c r="MGQ118" s="590"/>
      <c r="MGR118" s="589"/>
      <c r="MGS118" s="585"/>
      <c r="MGT118" s="577"/>
      <c r="MGU118" s="304"/>
      <c r="MGV118" s="572"/>
      <c r="MGW118" s="573"/>
      <c r="MGX118" s="574"/>
      <c r="MGY118" s="575"/>
      <c r="MGZ118" s="583"/>
      <c r="MHA118" s="590"/>
      <c r="MHB118" s="589"/>
      <c r="MHC118" s="585"/>
      <c r="MHD118" s="577"/>
      <c r="MHE118" s="304"/>
      <c r="MHF118" s="572"/>
      <c r="MHG118" s="573"/>
      <c r="MHH118" s="574"/>
      <c r="MHI118" s="575"/>
      <c r="MHJ118" s="583"/>
      <c r="MHK118" s="590"/>
      <c r="MHL118" s="589"/>
      <c r="MHM118" s="585"/>
      <c r="MHN118" s="577"/>
      <c r="MHO118" s="304"/>
      <c r="MHP118" s="572"/>
      <c r="MHQ118" s="573"/>
      <c r="MHR118" s="574"/>
      <c r="MHS118" s="575"/>
      <c r="MHT118" s="583"/>
      <c r="MHU118" s="590"/>
      <c r="MHV118" s="589"/>
      <c r="MHW118" s="585"/>
      <c r="MHX118" s="577"/>
      <c r="MHY118" s="304"/>
      <c r="MHZ118" s="572"/>
      <c r="MIA118" s="573"/>
      <c r="MIB118" s="574"/>
      <c r="MIC118" s="575"/>
      <c r="MID118" s="583"/>
      <c r="MIE118" s="590"/>
      <c r="MIF118" s="589"/>
      <c r="MIG118" s="585"/>
      <c r="MIH118" s="577"/>
      <c r="MII118" s="304"/>
      <c r="MIJ118" s="572"/>
      <c r="MIK118" s="573"/>
      <c r="MIL118" s="574"/>
      <c r="MIM118" s="575"/>
      <c r="MIN118" s="583"/>
      <c r="MIO118" s="590"/>
      <c r="MIP118" s="589"/>
      <c r="MIQ118" s="585"/>
      <c r="MIR118" s="577"/>
      <c r="MIS118" s="304"/>
      <c r="MIT118" s="572"/>
      <c r="MIU118" s="573"/>
      <c r="MIV118" s="574"/>
      <c r="MIW118" s="575"/>
      <c r="MIX118" s="583"/>
      <c r="MIY118" s="590"/>
      <c r="MIZ118" s="589"/>
      <c r="MJA118" s="585"/>
      <c r="MJB118" s="577"/>
      <c r="MJC118" s="304"/>
      <c r="MJD118" s="572"/>
      <c r="MJE118" s="573"/>
      <c r="MJF118" s="574"/>
      <c r="MJG118" s="575"/>
      <c r="MJH118" s="583"/>
      <c r="MJI118" s="590"/>
      <c r="MJJ118" s="589"/>
      <c r="MJK118" s="585"/>
      <c r="MJL118" s="577"/>
      <c r="MJM118" s="304"/>
      <c r="MJN118" s="572"/>
      <c r="MJO118" s="573"/>
      <c r="MJP118" s="574"/>
      <c r="MJQ118" s="575"/>
      <c r="MJR118" s="583"/>
      <c r="MJS118" s="590"/>
      <c r="MJT118" s="589"/>
      <c r="MJU118" s="585"/>
      <c r="MJV118" s="577"/>
      <c r="MJW118" s="304"/>
      <c r="MJX118" s="572"/>
      <c r="MJY118" s="573"/>
      <c r="MJZ118" s="574"/>
      <c r="MKA118" s="575"/>
      <c r="MKB118" s="583"/>
      <c r="MKC118" s="590"/>
      <c r="MKD118" s="589"/>
      <c r="MKE118" s="585"/>
      <c r="MKF118" s="577"/>
      <c r="MKG118" s="304"/>
      <c r="MKH118" s="572"/>
      <c r="MKI118" s="573"/>
      <c r="MKJ118" s="574"/>
      <c r="MKK118" s="575"/>
      <c r="MKL118" s="583"/>
      <c r="MKM118" s="590"/>
      <c r="MKN118" s="589"/>
      <c r="MKO118" s="585"/>
      <c r="MKP118" s="577"/>
      <c r="MKQ118" s="304"/>
      <c r="MKR118" s="572"/>
      <c r="MKS118" s="573"/>
      <c r="MKT118" s="574"/>
      <c r="MKU118" s="575"/>
      <c r="MKV118" s="583"/>
      <c r="MKW118" s="590"/>
      <c r="MKX118" s="589"/>
      <c r="MKY118" s="585"/>
      <c r="MKZ118" s="577"/>
      <c r="MLA118" s="304"/>
      <c r="MLB118" s="572"/>
      <c r="MLC118" s="573"/>
      <c r="MLD118" s="574"/>
      <c r="MLE118" s="575"/>
      <c r="MLF118" s="583"/>
      <c r="MLG118" s="590"/>
      <c r="MLH118" s="589"/>
      <c r="MLI118" s="585"/>
      <c r="MLJ118" s="577"/>
      <c r="MLK118" s="304"/>
      <c r="MLL118" s="572"/>
      <c r="MLM118" s="573"/>
      <c r="MLN118" s="574"/>
      <c r="MLO118" s="575"/>
      <c r="MLP118" s="583"/>
      <c r="MLQ118" s="590"/>
      <c r="MLR118" s="589"/>
      <c r="MLS118" s="585"/>
      <c r="MLT118" s="577"/>
      <c r="MLU118" s="304"/>
      <c r="MLV118" s="572"/>
      <c r="MLW118" s="573"/>
      <c r="MLX118" s="574"/>
      <c r="MLY118" s="575"/>
      <c r="MLZ118" s="583"/>
      <c r="MMA118" s="590"/>
      <c r="MMB118" s="589"/>
      <c r="MMC118" s="585"/>
      <c r="MMD118" s="577"/>
      <c r="MME118" s="304"/>
      <c r="MMF118" s="572"/>
      <c r="MMG118" s="573"/>
      <c r="MMH118" s="574"/>
      <c r="MMI118" s="575"/>
      <c r="MMJ118" s="583"/>
      <c r="MMK118" s="590"/>
      <c r="MML118" s="589"/>
      <c r="MMM118" s="585"/>
      <c r="MMN118" s="577"/>
      <c r="MMO118" s="304"/>
      <c r="MMP118" s="572"/>
      <c r="MMQ118" s="573"/>
      <c r="MMR118" s="574"/>
      <c r="MMS118" s="575"/>
      <c r="MMT118" s="583"/>
      <c r="MMU118" s="590"/>
      <c r="MMV118" s="589"/>
      <c r="MMW118" s="585"/>
      <c r="MMX118" s="577"/>
      <c r="MMY118" s="304"/>
      <c r="MMZ118" s="572"/>
      <c r="MNA118" s="573"/>
      <c r="MNB118" s="574"/>
      <c r="MNC118" s="575"/>
      <c r="MND118" s="583"/>
      <c r="MNE118" s="590"/>
      <c r="MNF118" s="589"/>
      <c r="MNG118" s="585"/>
      <c r="MNH118" s="577"/>
      <c r="MNI118" s="304"/>
      <c r="MNJ118" s="572"/>
      <c r="MNK118" s="573"/>
      <c r="MNL118" s="574"/>
      <c r="MNM118" s="575"/>
      <c r="MNN118" s="583"/>
      <c r="MNO118" s="590"/>
      <c r="MNP118" s="589"/>
      <c r="MNQ118" s="585"/>
      <c r="MNR118" s="577"/>
      <c r="MNS118" s="304"/>
      <c r="MNT118" s="572"/>
      <c r="MNU118" s="573"/>
      <c r="MNV118" s="574"/>
      <c r="MNW118" s="575"/>
      <c r="MNX118" s="583"/>
      <c r="MNY118" s="590"/>
      <c r="MNZ118" s="589"/>
      <c r="MOA118" s="585"/>
      <c r="MOB118" s="577"/>
      <c r="MOC118" s="304"/>
      <c r="MOD118" s="572"/>
      <c r="MOE118" s="573"/>
      <c r="MOF118" s="574"/>
      <c r="MOG118" s="575"/>
      <c r="MOH118" s="583"/>
      <c r="MOI118" s="590"/>
      <c r="MOJ118" s="589"/>
      <c r="MOK118" s="585"/>
      <c r="MOL118" s="577"/>
      <c r="MOM118" s="304"/>
      <c r="MON118" s="572"/>
      <c r="MOO118" s="573"/>
      <c r="MOP118" s="574"/>
      <c r="MOQ118" s="575"/>
      <c r="MOR118" s="583"/>
      <c r="MOS118" s="590"/>
      <c r="MOT118" s="589"/>
      <c r="MOU118" s="585"/>
      <c r="MOV118" s="577"/>
      <c r="MOW118" s="304"/>
      <c r="MOX118" s="572"/>
      <c r="MOY118" s="573"/>
      <c r="MOZ118" s="574"/>
      <c r="MPA118" s="575"/>
      <c r="MPB118" s="583"/>
      <c r="MPC118" s="590"/>
      <c r="MPD118" s="589"/>
      <c r="MPE118" s="585"/>
      <c r="MPF118" s="577"/>
      <c r="MPG118" s="304"/>
      <c r="MPH118" s="572"/>
      <c r="MPI118" s="573"/>
      <c r="MPJ118" s="574"/>
      <c r="MPK118" s="575"/>
      <c r="MPL118" s="583"/>
      <c r="MPM118" s="590"/>
      <c r="MPN118" s="589"/>
      <c r="MPO118" s="585"/>
      <c r="MPP118" s="577"/>
      <c r="MPQ118" s="304"/>
      <c r="MPR118" s="572"/>
      <c r="MPS118" s="573"/>
      <c r="MPT118" s="574"/>
      <c r="MPU118" s="575"/>
      <c r="MPV118" s="583"/>
      <c r="MPW118" s="590"/>
      <c r="MPX118" s="589"/>
      <c r="MPY118" s="585"/>
      <c r="MPZ118" s="577"/>
      <c r="MQA118" s="304"/>
      <c r="MQB118" s="572"/>
      <c r="MQC118" s="573"/>
      <c r="MQD118" s="574"/>
      <c r="MQE118" s="575"/>
      <c r="MQF118" s="583"/>
      <c r="MQG118" s="590"/>
      <c r="MQH118" s="589"/>
      <c r="MQI118" s="585"/>
      <c r="MQJ118" s="577"/>
      <c r="MQK118" s="304"/>
      <c r="MQL118" s="572"/>
      <c r="MQM118" s="573"/>
      <c r="MQN118" s="574"/>
      <c r="MQO118" s="575"/>
      <c r="MQP118" s="583"/>
      <c r="MQQ118" s="590"/>
      <c r="MQR118" s="589"/>
      <c r="MQS118" s="585"/>
      <c r="MQT118" s="577"/>
      <c r="MQU118" s="304"/>
      <c r="MQV118" s="572"/>
      <c r="MQW118" s="573"/>
      <c r="MQX118" s="574"/>
      <c r="MQY118" s="575"/>
      <c r="MQZ118" s="583"/>
      <c r="MRA118" s="590"/>
      <c r="MRB118" s="589"/>
      <c r="MRC118" s="585"/>
      <c r="MRD118" s="577"/>
      <c r="MRE118" s="304"/>
      <c r="MRF118" s="572"/>
      <c r="MRG118" s="573"/>
      <c r="MRH118" s="574"/>
      <c r="MRI118" s="575"/>
      <c r="MRJ118" s="583"/>
      <c r="MRK118" s="590"/>
      <c r="MRL118" s="589"/>
      <c r="MRM118" s="585"/>
      <c r="MRN118" s="577"/>
      <c r="MRO118" s="304"/>
      <c r="MRP118" s="572"/>
      <c r="MRQ118" s="573"/>
      <c r="MRR118" s="574"/>
      <c r="MRS118" s="575"/>
      <c r="MRT118" s="583"/>
      <c r="MRU118" s="590"/>
      <c r="MRV118" s="589"/>
      <c r="MRW118" s="585"/>
      <c r="MRX118" s="577"/>
      <c r="MRY118" s="304"/>
      <c r="MRZ118" s="572"/>
      <c r="MSA118" s="573"/>
      <c r="MSB118" s="574"/>
      <c r="MSC118" s="575"/>
      <c r="MSD118" s="583"/>
      <c r="MSE118" s="590"/>
      <c r="MSF118" s="589"/>
      <c r="MSG118" s="585"/>
      <c r="MSH118" s="577"/>
      <c r="MSI118" s="304"/>
      <c r="MSJ118" s="572"/>
      <c r="MSK118" s="573"/>
      <c r="MSL118" s="574"/>
      <c r="MSM118" s="575"/>
      <c r="MSN118" s="583"/>
      <c r="MSO118" s="590"/>
      <c r="MSP118" s="589"/>
      <c r="MSQ118" s="585"/>
      <c r="MSR118" s="577"/>
      <c r="MSS118" s="304"/>
      <c r="MST118" s="572"/>
      <c r="MSU118" s="573"/>
      <c r="MSV118" s="574"/>
      <c r="MSW118" s="575"/>
      <c r="MSX118" s="583"/>
      <c r="MSY118" s="590"/>
      <c r="MSZ118" s="589"/>
      <c r="MTA118" s="585"/>
      <c r="MTB118" s="577"/>
      <c r="MTC118" s="304"/>
      <c r="MTD118" s="572"/>
      <c r="MTE118" s="573"/>
      <c r="MTF118" s="574"/>
      <c r="MTG118" s="575"/>
      <c r="MTH118" s="583"/>
      <c r="MTI118" s="590"/>
      <c r="MTJ118" s="589"/>
      <c r="MTK118" s="585"/>
      <c r="MTL118" s="577"/>
      <c r="MTM118" s="304"/>
      <c r="MTN118" s="572"/>
      <c r="MTO118" s="573"/>
      <c r="MTP118" s="574"/>
      <c r="MTQ118" s="575"/>
      <c r="MTR118" s="583"/>
      <c r="MTS118" s="590"/>
      <c r="MTT118" s="589"/>
      <c r="MTU118" s="585"/>
      <c r="MTV118" s="577"/>
      <c r="MTW118" s="304"/>
      <c r="MTX118" s="572"/>
      <c r="MTY118" s="573"/>
      <c r="MTZ118" s="574"/>
      <c r="MUA118" s="575"/>
      <c r="MUB118" s="583"/>
      <c r="MUC118" s="590"/>
      <c r="MUD118" s="589"/>
      <c r="MUE118" s="585"/>
      <c r="MUF118" s="577"/>
      <c r="MUG118" s="304"/>
      <c r="MUH118" s="572"/>
      <c r="MUI118" s="573"/>
      <c r="MUJ118" s="574"/>
      <c r="MUK118" s="575"/>
      <c r="MUL118" s="583"/>
      <c r="MUM118" s="590"/>
      <c r="MUN118" s="589"/>
      <c r="MUO118" s="585"/>
      <c r="MUP118" s="577"/>
      <c r="MUQ118" s="304"/>
      <c r="MUR118" s="572"/>
      <c r="MUS118" s="573"/>
      <c r="MUT118" s="574"/>
      <c r="MUU118" s="575"/>
      <c r="MUV118" s="583"/>
      <c r="MUW118" s="590"/>
      <c r="MUX118" s="589"/>
      <c r="MUY118" s="585"/>
      <c r="MUZ118" s="577"/>
      <c r="MVA118" s="304"/>
      <c r="MVB118" s="572"/>
      <c r="MVC118" s="573"/>
      <c r="MVD118" s="574"/>
      <c r="MVE118" s="575"/>
      <c r="MVF118" s="583"/>
      <c r="MVG118" s="590"/>
      <c r="MVH118" s="589"/>
      <c r="MVI118" s="585"/>
      <c r="MVJ118" s="577"/>
      <c r="MVK118" s="304"/>
      <c r="MVL118" s="572"/>
      <c r="MVM118" s="573"/>
      <c r="MVN118" s="574"/>
      <c r="MVO118" s="575"/>
      <c r="MVP118" s="583"/>
      <c r="MVQ118" s="590"/>
      <c r="MVR118" s="589"/>
      <c r="MVS118" s="585"/>
      <c r="MVT118" s="577"/>
      <c r="MVU118" s="304"/>
      <c r="MVV118" s="572"/>
      <c r="MVW118" s="573"/>
      <c r="MVX118" s="574"/>
      <c r="MVY118" s="575"/>
      <c r="MVZ118" s="583"/>
      <c r="MWA118" s="590"/>
      <c r="MWB118" s="589"/>
      <c r="MWC118" s="585"/>
      <c r="MWD118" s="577"/>
      <c r="MWE118" s="304"/>
      <c r="MWF118" s="572"/>
      <c r="MWG118" s="573"/>
      <c r="MWH118" s="574"/>
      <c r="MWI118" s="575"/>
      <c r="MWJ118" s="583"/>
      <c r="MWK118" s="590"/>
      <c r="MWL118" s="589"/>
      <c r="MWM118" s="585"/>
      <c r="MWN118" s="577"/>
      <c r="MWO118" s="304"/>
      <c r="MWP118" s="572"/>
      <c r="MWQ118" s="573"/>
      <c r="MWR118" s="574"/>
      <c r="MWS118" s="575"/>
      <c r="MWT118" s="583"/>
      <c r="MWU118" s="590"/>
      <c r="MWV118" s="589"/>
      <c r="MWW118" s="585"/>
      <c r="MWX118" s="577"/>
      <c r="MWY118" s="304"/>
      <c r="MWZ118" s="572"/>
      <c r="MXA118" s="573"/>
      <c r="MXB118" s="574"/>
      <c r="MXC118" s="575"/>
      <c r="MXD118" s="583"/>
      <c r="MXE118" s="590"/>
      <c r="MXF118" s="589"/>
      <c r="MXG118" s="585"/>
      <c r="MXH118" s="577"/>
      <c r="MXI118" s="304"/>
      <c r="MXJ118" s="572"/>
      <c r="MXK118" s="573"/>
      <c r="MXL118" s="574"/>
      <c r="MXM118" s="575"/>
      <c r="MXN118" s="583"/>
      <c r="MXO118" s="590"/>
      <c r="MXP118" s="589"/>
      <c r="MXQ118" s="585"/>
      <c r="MXR118" s="577"/>
      <c r="MXS118" s="304"/>
      <c r="MXT118" s="572"/>
      <c r="MXU118" s="573"/>
      <c r="MXV118" s="574"/>
      <c r="MXW118" s="575"/>
      <c r="MXX118" s="583"/>
      <c r="MXY118" s="590"/>
      <c r="MXZ118" s="589"/>
      <c r="MYA118" s="585"/>
      <c r="MYB118" s="577"/>
      <c r="MYC118" s="304"/>
      <c r="MYD118" s="572"/>
      <c r="MYE118" s="573"/>
      <c r="MYF118" s="574"/>
      <c r="MYG118" s="575"/>
      <c r="MYH118" s="583"/>
      <c r="MYI118" s="590"/>
      <c r="MYJ118" s="589"/>
      <c r="MYK118" s="585"/>
      <c r="MYL118" s="577"/>
      <c r="MYM118" s="304"/>
      <c r="MYN118" s="572"/>
      <c r="MYO118" s="573"/>
      <c r="MYP118" s="574"/>
      <c r="MYQ118" s="575"/>
      <c r="MYR118" s="583"/>
      <c r="MYS118" s="590"/>
      <c r="MYT118" s="589"/>
      <c r="MYU118" s="585"/>
      <c r="MYV118" s="577"/>
      <c r="MYW118" s="304"/>
      <c r="MYX118" s="572"/>
      <c r="MYY118" s="573"/>
      <c r="MYZ118" s="574"/>
      <c r="MZA118" s="575"/>
      <c r="MZB118" s="583"/>
      <c r="MZC118" s="590"/>
      <c r="MZD118" s="589"/>
      <c r="MZE118" s="585"/>
      <c r="MZF118" s="577"/>
      <c r="MZG118" s="304"/>
      <c r="MZH118" s="572"/>
      <c r="MZI118" s="573"/>
      <c r="MZJ118" s="574"/>
      <c r="MZK118" s="575"/>
      <c r="MZL118" s="583"/>
      <c r="MZM118" s="590"/>
      <c r="MZN118" s="589"/>
      <c r="MZO118" s="585"/>
      <c r="MZP118" s="577"/>
      <c r="MZQ118" s="304"/>
      <c r="MZR118" s="572"/>
      <c r="MZS118" s="573"/>
      <c r="MZT118" s="574"/>
      <c r="MZU118" s="575"/>
      <c r="MZV118" s="583"/>
      <c r="MZW118" s="590"/>
      <c r="MZX118" s="589"/>
      <c r="MZY118" s="585"/>
      <c r="MZZ118" s="577"/>
      <c r="NAA118" s="304"/>
      <c r="NAB118" s="572"/>
      <c r="NAC118" s="573"/>
      <c r="NAD118" s="574"/>
      <c r="NAE118" s="575"/>
      <c r="NAF118" s="583"/>
      <c r="NAG118" s="590"/>
      <c r="NAH118" s="589"/>
      <c r="NAI118" s="585"/>
      <c r="NAJ118" s="577"/>
      <c r="NAK118" s="304"/>
      <c r="NAL118" s="572"/>
      <c r="NAM118" s="573"/>
      <c r="NAN118" s="574"/>
      <c r="NAO118" s="575"/>
      <c r="NAP118" s="583"/>
      <c r="NAQ118" s="590"/>
      <c r="NAR118" s="589"/>
      <c r="NAS118" s="585"/>
      <c r="NAT118" s="577"/>
      <c r="NAU118" s="304"/>
      <c r="NAV118" s="572"/>
      <c r="NAW118" s="573"/>
      <c r="NAX118" s="574"/>
      <c r="NAY118" s="575"/>
      <c r="NAZ118" s="583"/>
      <c r="NBA118" s="590"/>
      <c r="NBB118" s="589"/>
      <c r="NBC118" s="585"/>
      <c r="NBD118" s="577"/>
      <c r="NBE118" s="304"/>
      <c r="NBF118" s="572"/>
      <c r="NBG118" s="573"/>
      <c r="NBH118" s="574"/>
      <c r="NBI118" s="575"/>
      <c r="NBJ118" s="583"/>
      <c r="NBK118" s="590"/>
      <c r="NBL118" s="589"/>
      <c r="NBM118" s="585"/>
      <c r="NBN118" s="577"/>
      <c r="NBO118" s="304"/>
      <c r="NBP118" s="572"/>
      <c r="NBQ118" s="573"/>
      <c r="NBR118" s="574"/>
      <c r="NBS118" s="575"/>
      <c r="NBT118" s="583"/>
      <c r="NBU118" s="590"/>
      <c r="NBV118" s="589"/>
      <c r="NBW118" s="585"/>
      <c r="NBX118" s="577"/>
      <c r="NBY118" s="304"/>
      <c r="NBZ118" s="572"/>
      <c r="NCA118" s="573"/>
      <c r="NCB118" s="574"/>
      <c r="NCC118" s="575"/>
      <c r="NCD118" s="583"/>
      <c r="NCE118" s="590"/>
      <c r="NCF118" s="589"/>
      <c r="NCG118" s="585"/>
      <c r="NCH118" s="577"/>
      <c r="NCI118" s="304"/>
      <c r="NCJ118" s="572"/>
      <c r="NCK118" s="573"/>
      <c r="NCL118" s="574"/>
      <c r="NCM118" s="575"/>
      <c r="NCN118" s="583"/>
      <c r="NCO118" s="590"/>
      <c r="NCP118" s="589"/>
      <c r="NCQ118" s="585"/>
      <c r="NCR118" s="577"/>
      <c r="NCS118" s="304"/>
      <c r="NCT118" s="572"/>
      <c r="NCU118" s="573"/>
      <c r="NCV118" s="574"/>
      <c r="NCW118" s="575"/>
      <c r="NCX118" s="583"/>
      <c r="NCY118" s="590"/>
      <c r="NCZ118" s="589"/>
      <c r="NDA118" s="585"/>
      <c r="NDB118" s="577"/>
      <c r="NDC118" s="304"/>
      <c r="NDD118" s="572"/>
      <c r="NDE118" s="573"/>
      <c r="NDF118" s="574"/>
      <c r="NDG118" s="575"/>
      <c r="NDH118" s="583"/>
      <c r="NDI118" s="590"/>
      <c r="NDJ118" s="589"/>
      <c r="NDK118" s="585"/>
      <c r="NDL118" s="577"/>
      <c r="NDM118" s="304"/>
      <c r="NDN118" s="572"/>
      <c r="NDO118" s="573"/>
      <c r="NDP118" s="574"/>
      <c r="NDQ118" s="575"/>
      <c r="NDR118" s="583"/>
      <c r="NDS118" s="590"/>
      <c r="NDT118" s="589"/>
      <c r="NDU118" s="585"/>
      <c r="NDV118" s="577"/>
      <c r="NDW118" s="304"/>
      <c r="NDX118" s="572"/>
      <c r="NDY118" s="573"/>
      <c r="NDZ118" s="574"/>
      <c r="NEA118" s="575"/>
      <c r="NEB118" s="583"/>
      <c r="NEC118" s="590"/>
      <c r="NED118" s="589"/>
      <c r="NEE118" s="585"/>
      <c r="NEF118" s="577"/>
      <c r="NEG118" s="304"/>
      <c r="NEH118" s="572"/>
      <c r="NEI118" s="573"/>
      <c r="NEJ118" s="574"/>
      <c r="NEK118" s="575"/>
      <c r="NEL118" s="583"/>
      <c r="NEM118" s="590"/>
      <c r="NEN118" s="589"/>
      <c r="NEO118" s="585"/>
      <c r="NEP118" s="577"/>
      <c r="NEQ118" s="304"/>
      <c r="NER118" s="572"/>
      <c r="NES118" s="573"/>
      <c r="NET118" s="574"/>
      <c r="NEU118" s="575"/>
      <c r="NEV118" s="583"/>
      <c r="NEW118" s="590"/>
      <c r="NEX118" s="589"/>
      <c r="NEY118" s="585"/>
      <c r="NEZ118" s="577"/>
      <c r="NFA118" s="304"/>
      <c r="NFB118" s="572"/>
      <c r="NFC118" s="573"/>
      <c r="NFD118" s="574"/>
      <c r="NFE118" s="575"/>
      <c r="NFF118" s="583"/>
      <c r="NFG118" s="590"/>
      <c r="NFH118" s="589"/>
      <c r="NFI118" s="585"/>
      <c r="NFJ118" s="577"/>
      <c r="NFK118" s="304"/>
      <c r="NFL118" s="572"/>
      <c r="NFM118" s="573"/>
      <c r="NFN118" s="574"/>
      <c r="NFO118" s="575"/>
      <c r="NFP118" s="583"/>
      <c r="NFQ118" s="590"/>
      <c r="NFR118" s="589"/>
      <c r="NFS118" s="585"/>
      <c r="NFT118" s="577"/>
      <c r="NFU118" s="304"/>
      <c r="NFV118" s="572"/>
      <c r="NFW118" s="573"/>
      <c r="NFX118" s="574"/>
      <c r="NFY118" s="575"/>
      <c r="NFZ118" s="583"/>
      <c r="NGA118" s="590"/>
      <c r="NGB118" s="589"/>
      <c r="NGC118" s="585"/>
      <c r="NGD118" s="577"/>
      <c r="NGE118" s="304"/>
      <c r="NGF118" s="572"/>
      <c r="NGG118" s="573"/>
      <c r="NGH118" s="574"/>
      <c r="NGI118" s="575"/>
      <c r="NGJ118" s="583"/>
      <c r="NGK118" s="590"/>
      <c r="NGL118" s="589"/>
      <c r="NGM118" s="585"/>
      <c r="NGN118" s="577"/>
      <c r="NGO118" s="304"/>
      <c r="NGP118" s="572"/>
      <c r="NGQ118" s="573"/>
      <c r="NGR118" s="574"/>
      <c r="NGS118" s="575"/>
      <c r="NGT118" s="583"/>
      <c r="NGU118" s="590"/>
      <c r="NGV118" s="589"/>
      <c r="NGW118" s="585"/>
      <c r="NGX118" s="577"/>
      <c r="NGY118" s="304"/>
      <c r="NGZ118" s="572"/>
      <c r="NHA118" s="573"/>
      <c r="NHB118" s="574"/>
      <c r="NHC118" s="575"/>
      <c r="NHD118" s="583"/>
      <c r="NHE118" s="590"/>
      <c r="NHF118" s="589"/>
      <c r="NHG118" s="585"/>
      <c r="NHH118" s="577"/>
      <c r="NHI118" s="304"/>
      <c r="NHJ118" s="572"/>
      <c r="NHK118" s="573"/>
      <c r="NHL118" s="574"/>
      <c r="NHM118" s="575"/>
      <c r="NHN118" s="583"/>
      <c r="NHO118" s="590"/>
      <c r="NHP118" s="589"/>
      <c r="NHQ118" s="585"/>
      <c r="NHR118" s="577"/>
      <c r="NHS118" s="304"/>
      <c r="NHT118" s="572"/>
      <c r="NHU118" s="573"/>
      <c r="NHV118" s="574"/>
      <c r="NHW118" s="575"/>
      <c r="NHX118" s="583"/>
      <c r="NHY118" s="590"/>
      <c r="NHZ118" s="589"/>
      <c r="NIA118" s="585"/>
      <c r="NIB118" s="577"/>
      <c r="NIC118" s="304"/>
      <c r="NID118" s="572"/>
      <c r="NIE118" s="573"/>
      <c r="NIF118" s="574"/>
      <c r="NIG118" s="575"/>
      <c r="NIH118" s="583"/>
      <c r="NII118" s="590"/>
      <c r="NIJ118" s="589"/>
      <c r="NIK118" s="585"/>
      <c r="NIL118" s="577"/>
      <c r="NIM118" s="304"/>
      <c r="NIN118" s="572"/>
      <c r="NIO118" s="573"/>
      <c r="NIP118" s="574"/>
      <c r="NIQ118" s="575"/>
      <c r="NIR118" s="583"/>
      <c r="NIS118" s="590"/>
      <c r="NIT118" s="589"/>
      <c r="NIU118" s="585"/>
      <c r="NIV118" s="577"/>
      <c r="NIW118" s="304"/>
      <c r="NIX118" s="572"/>
      <c r="NIY118" s="573"/>
      <c r="NIZ118" s="574"/>
      <c r="NJA118" s="575"/>
      <c r="NJB118" s="583"/>
      <c r="NJC118" s="590"/>
      <c r="NJD118" s="589"/>
      <c r="NJE118" s="585"/>
      <c r="NJF118" s="577"/>
      <c r="NJG118" s="304"/>
      <c r="NJH118" s="572"/>
      <c r="NJI118" s="573"/>
      <c r="NJJ118" s="574"/>
      <c r="NJK118" s="575"/>
      <c r="NJL118" s="583"/>
      <c r="NJM118" s="590"/>
      <c r="NJN118" s="589"/>
      <c r="NJO118" s="585"/>
      <c r="NJP118" s="577"/>
      <c r="NJQ118" s="304"/>
      <c r="NJR118" s="572"/>
      <c r="NJS118" s="573"/>
      <c r="NJT118" s="574"/>
      <c r="NJU118" s="575"/>
      <c r="NJV118" s="583"/>
      <c r="NJW118" s="590"/>
      <c r="NJX118" s="589"/>
      <c r="NJY118" s="585"/>
      <c r="NJZ118" s="577"/>
      <c r="NKA118" s="304"/>
      <c r="NKB118" s="572"/>
      <c r="NKC118" s="573"/>
      <c r="NKD118" s="574"/>
      <c r="NKE118" s="575"/>
      <c r="NKF118" s="583"/>
      <c r="NKG118" s="590"/>
      <c r="NKH118" s="589"/>
      <c r="NKI118" s="585"/>
      <c r="NKJ118" s="577"/>
      <c r="NKK118" s="304"/>
      <c r="NKL118" s="572"/>
      <c r="NKM118" s="573"/>
      <c r="NKN118" s="574"/>
      <c r="NKO118" s="575"/>
      <c r="NKP118" s="583"/>
      <c r="NKQ118" s="590"/>
      <c r="NKR118" s="589"/>
      <c r="NKS118" s="585"/>
      <c r="NKT118" s="577"/>
      <c r="NKU118" s="304"/>
      <c r="NKV118" s="572"/>
      <c r="NKW118" s="573"/>
      <c r="NKX118" s="574"/>
      <c r="NKY118" s="575"/>
      <c r="NKZ118" s="583"/>
      <c r="NLA118" s="590"/>
      <c r="NLB118" s="589"/>
      <c r="NLC118" s="585"/>
      <c r="NLD118" s="577"/>
      <c r="NLE118" s="304"/>
      <c r="NLF118" s="572"/>
      <c r="NLG118" s="573"/>
      <c r="NLH118" s="574"/>
      <c r="NLI118" s="575"/>
      <c r="NLJ118" s="583"/>
      <c r="NLK118" s="590"/>
      <c r="NLL118" s="589"/>
      <c r="NLM118" s="585"/>
      <c r="NLN118" s="577"/>
      <c r="NLO118" s="304"/>
      <c r="NLP118" s="572"/>
      <c r="NLQ118" s="573"/>
      <c r="NLR118" s="574"/>
      <c r="NLS118" s="575"/>
      <c r="NLT118" s="583"/>
      <c r="NLU118" s="590"/>
      <c r="NLV118" s="589"/>
      <c r="NLW118" s="585"/>
      <c r="NLX118" s="577"/>
      <c r="NLY118" s="304"/>
      <c r="NLZ118" s="572"/>
      <c r="NMA118" s="573"/>
      <c r="NMB118" s="574"/>
      <c r="NMC118" s="575"/>
      <c r="NMD118" s="583"/>
      <c r="NME118" s="590"/>
      <c r="NMF118" s="589"/>
      <c r="NMG118" s="585"/>
      <c r="NMH118" s="577"/>
      <c r="NMI118" s="304"/>
      <c r="NMJ118" s="572"/>
      <c r="NMK118" s="573"/>
      <c r="NML118" s="574"/>
      <c r="NMM118" s="575"/>
      <c r="NMN118" s="583"/>
      <c r="NMO118" s="590"/>
      <c r="NMP118" s="589"/>
      <c r="NMQ118" s="585"/>
      <c r="NMR118" s="577"/>
      <c r="NMS118" s="304"/>
      <c r="NMT118" s="572"/>
      <c r="NMU118" s="573"/>
      <c r="NMV118" s="574"/>
      <c r="NMW118" s="575"/>
      <c r="NMX118" s="583"/>
      <c r="NMY118" s="590"/>
      <c r="NMZ118" s="589"/>
      <c r="NNA118" s="585"/>
      <c r="NNB118" s="577"/>
      <c r="NNC118" s="304"/>
      <c r="NND118" s="572"/>
      <c r="NNE118" s="573"/>
      <c r="NNF118" s="574"/>
      <c r="NNG118" s="575"/>
      <c r="NNH118" s="583"/>
      <c r="NNI118" s="590"/>
      <c r="NNJ118" s="589"/>
      <c r="NNK118" s="585"/>
      <c r="NNL118" s="577"/>
      <c r="NNM118" s="304"/>
      <c r="NNN118" s="572"/>
      <c r="NNO118" s="573"/>
      <c r="NNP118" s="574"/>
      <c r="NNQ118" s="575"/>
      <c r="NNR118" s="583"/>
      <c r="NNS118" s="590"/>
      <c r="NNT118" s="589"/>
      <c r="NNU118" s="585"/>
      <c r="NNV118" s="577"/>
      <c r="NNW118" s="304"/>
      <c r="NNX118" s="572"/>
      <c r="NNY118" s="573"/>
      <c r="NNZ118" s="574"/>
      <c r="NOA118" s="575"/>
      <c r="NOB118" s="583"/>
      <c r="NOC118" s="590"/>
      <c r="NOD118" s="589"/>
      <c r="NOE118" s="585"/>
      <c r="NOF118" s="577"/>
      <c r="NOG118" s="304"/>
      <c r="NOH118" s="572"/>
      <c r="NOI118" s="573"/>
      <c r="NOJ118" s="574"/>
      <c r="NOK118" s="575"/>
      <c r="NOL118" s="583"/>
      <c r="NOM118" s="590"/>
      <c r="NON118" s="589"/>
      <c r="NOO118" s="585"/>
      <c r="NOP118" s="577"/>
      <c r="NOQ118" s="304"/>
      <c r="NOR118" s="572"/>
      <c r="NOS118" s="573"/>
      <c r="NOT118" s="574"/>
      <c r="NOU118" s="575"/>
      <c r="NOV118" s="583"/>
      <c r="NOW118" s="590"/>
      <c r="NOX118" s="589"/>
      <c r="NOY118" s="585"/>
      <c r="NOZ118" s="577"/>
      <c r="NPA118" s="304"/>
      <c r="NPB118" s="572"/>
      <c r="NPC118" s="573"/>
      <c r="NPD118" s="574"/>
      <c r="NPE118" s="575"/>
      <c r="NPF118" s="583"/>
      <c r="NPG118" s="590"/>
      <c r="NPH118" s="589"/>
      <c r="NPI118" s="585"/>
      <c r="NPJ118" s="577"/>
      <c r="NPK118" s="304"/>
      <c r="NPL118" s="572"/>
      <c r="NPM118" s="573"/>
      <c r="NPN118" s="574"/>
      <c r="NPO118" s="575"/>
      <c r="NPP118" s="583"/>
      <c r="NPQ118" s="590"/>
      <c r="NPR118" s="589"/>
      <c r="NPS118" s="585"/>
      <c r="NPT118" s="577"/>
      <c r="NPU118" s="304"/>
      <c r="NPV118" s="572"/>
      <c r="NPW118" s="573"/>
      <c r="NPX118" s="574"/>
      <c r="NPY118" s="575"/>
      <c r="NPZ118" s="583"/>
      <c r="NQA118" s="590"/>
      <c r="NQB118" s="589"/>
      <c r="NQC118" s="585"/>
      <c r="NQD118" s="577"/>
      <c r="NQE118" s="304"/>
      <c r="NQF118" s="572"/>
      <c r="NQG118" s="573"/>
      <c r="NQH118" s="574"/>
      <c r="NQI118" s="575"/>
      <c r="NQJ118" s="583"/>
      <c r="NQK118" s="590"/>
      <c r="NQL118" s="589"/>
      <c r="NQM118" s="585"/>
      <c r="NQN118" s="577"/>
      <c r="NQO118" s="304"/>
      <c r="NQP118" s="572"/>
      <c r="NQQ118" s="573"/>
      <c r="NQR118" s="574"/>
      <c r="NQS118" s="575"/>
      <c r="NQT118" s="583"/>
      <c r="NQU118" s="590"/>
      <c r="NQV118" s="589"/>
      <c r="NQW118" s="585"/>
      <c r="NQX118" s="577"/>
      <c r="NQY118" s="304"/>
      <c r="NQZ118" s="572"/>
      <c r="NRA118" s="573"/>
      <c r="NRB118" s="574"/>
      <c r="NRC118" s="575"/>
      <c r="NRD118" s="583"/>
      <c r="NRE118" s="590"/>
      <c r="NRF118" s="589"/>
      <c r="NRG118" s="585"/>
      <c r="NRH118" s="577"/>
      <c r="NRI118" s="304"/>
      <c r="NRJ118" s="572"/>
      <c r="NRK118" s="573"/>
      <c r="NRL118" s="574"/>
      <c r="NRM118" s="575"/>
      <c r="NRN118" s="583"/>
      <c r="NRO118" s="590"/>
      <c r="NRP118" s="589"/>
      <c r="NRQ118" s="585"/>
      <c r="NRR118" s="577"/>
      <c r="NRS118" s="304"/>
      <c r="NRT118" s="572"/>
      <c r="NRU118" s="573"/>
      <c r="NRV118" s="574"/>
      <c r="NRW118" s="575"/>
      <c r="NRX118" s="583"/>
      <c r="NRY118" s="590"/>
      <c r="NRZ118" s="589"/>
      <c r="NSA118" s="585"/>
      <c r="NSB118" s="577"/>
      <c r="NSC118" s="304"/>
      <c r="NSD118" s="572"/>
      <c r="NSE118" s="573"/>
      <c r="NSF118" s="574"/>
      <c r="NSG118" s="575"/>
      <c r="NSH118" s="583"/>
      <c r="NSI118" s="590"/>
      <c r="NSJ118" s="589"/>
      <c r="NSK118" s="585"/>
      <c r="NSL118" s="577"/>
      <c r="NSM118" s="304"/>
      <c r="NSN118" s="572"/>
      <c r="NSO118" s="573"/>
      <c r="NSP118" s="574"/>
      <c r="NSQ118" s="575"/>
      <c r="NSR118" s="583"/>
      <c r="NSS118" s="590"/>
      <c r="NST118" s="589"/>
      <c r="NSU118" s="585"/>
      <c r="NSV118" s="577"/>
      <c r="NSW118" s="304"/>
      <c r="NSX118" s="572"/>
      <c r="NSY118" s="573"/>
      <c r="NSZ118" s="574"/>
      <c r="NTA118" s="575"/>
      <c r="NTB118" s="583"/>
      <c r="NTC118" s="590"/>
      <c r="NTD118" s="589"/>
      <c r="NTE118" s="585"/>
      <c r="NTF118" s="577"/>
      <c r="NTG118" s="304"/>
      <c r="NTH118" s="572"/>
      <c r="NTI118" s="573"/>
      <c r="NTJ118" s="574"/>
      <c r="NTK118" s="575"/>
      <c r="NTL118" s="583"/>
      <c r="NTM118" s="590"/>
      <c r="NTN118" s="589"/>
      <c r="NTO118" s="585"/>
      <c r="NTP118" s="577"/>
      <c r="NTQ118" s="304"/>
      <c r="NTR118" s="572"/>
      <c r="NTS118" s="573"/>
      <c r="NTT118" s="574"/>
      <c r="NTU118" s="575"/>
      <c r="NTV118" s="583"/>
      <c r="NTW118" s="590"/>
      <c r="NTX118" s="589"/>
      <c r="NTY118" s="585"/>
      <c r="NTZ118" s="577"/>
      <c r="NUA118" s="304"/>
      <c r="NUB118" s="572"/>
      <c r="NUC118" s="573"/>
      <c r="NUD118" s="574"/>
      <c r="NUE118" s="575"/>
      <c r="NUF118" s="583"/>
      <c r="NUG118" s="590"/>
      <c r="NUH118" s="589"/>
      <c r="NUI118" s="585"/>
      <c r="NUJ118" s="577"/>
      <c r="NUK118" s="304"/>
      <c r="NUL118" s="572"/>
      <c r="NUM118" s="573"/>
      <c r="NUN118" s="574"/>
      <c r="NUO118" s="575"/>
      <c r="NUP118" s="583"/>
      <c r="NUQ118" s="590"/>
      <c r="NUR118" s="589"/>
      <c r="NUS118" s="585"/>
      <c r="NUT118" s="577"/>
      <c r="NUU118" s="304"/>
      <c r="NUV118" s="572"/>
      <c r="NUW118" s="573"/>
      <c r="NUX118" s="574"/>
      <c r="NUY118" s="575"/>
      <c r="NUZ118" s="583"/>
      <c r="NVA118" s="590"/>
      <c r="NVB118" s="589"/>
      <c r="NVC118" s="585"/>
      <c r="NVD118" s="577"/>
      <c r="NVE118" s="304"/>
      <c r="NVF118" s="572"/>
      <c r="NVG118" s="573"/>
      <c r="NVH118" s="574"/>
      <c r="NVI118" s="575"/>
      <c r="NVJ118" s="583"/>
      <c r="NVK118" s="590"/>
      <c r="NVL118" s="589"/>
      <c r="NVM118" s="585"/>
      <c r="NVN118" s="577"/>
      <c r="NVO118" s="304"/>
      <c r="NVP118" s="572"/>
      <c r="NVQ118" s="573"/>
      <c r="NVR118" s="574"/>
      <c r="NVS118" s="575"/>
      <c r="NVT118" s="583"/>
      <c r="NVU118" s="590"/>
      <c r="NVV118" s="589"/>
      <c r="NVW118" s="585"/>
      <c r="NVX118" s="577"/>
      <c r="NVY118" s="304"/>
      <c r="NVZ118" s="572"/>
      <c r="NWA118" s="573"/>
      <c r="NWB118" s="574"/>
      <c r="NWC118" s="575"/>
      <c r="NWD118" s="583"/>
      <c r="NWE118" s="590"/>
      <c r="NWF118" s="589"/>
      <c r="NWG118" s="585"/>
      <c r="NWH118" s="577"/>
      <c r="NWI118" s="304"/>
      <c r="NWJ118" s="572"/>
      <c r="NWK118" s="573"/>
      <c r="NWL118" s="574"/>
      <c r="NWM118" s="575"/>
      <c r="NWN118" s="583"/>
      <c r="NWO118" s="590"/>
      <c r="NWP118" s="589"/>
      <c r="NWQ118" s="585"/>
      <c r="NWR118" s="577"/>
      <c r="NWS118" s="304"/>
      <c r="NWT118" s="572"/>
      <c r="NWU118" s="573"/>
      <c r="NWV118" s="574"/>
      <c r="NWW118" s="575"/>
      <c r="NWX118" s="583"/>
      <c r="NWY118" s="590"/>
      <c r="NWZ118" s="589"/>
      <c r="NXA118" s="585"/>
      <c r="NXB118" s="577"/>
      <c r="NXC118" s="304"/>
      <c r="NXD118" s="572"/>
      <c r="NXE118" s="573"/>
      <c r="NXF118" s="574"/>
      <c r="NXG118" s="575"/>
      <c r="NXH118" s="583"/>
      <c r="NXI118" s="590"/>
      <c r="NXJ118" s="589"/>
      <c r="NXK118" s="585"/>
      <c r="NXL118" s="577"/>
      <c r="NXM118" s="304"/>
      <c r="NXN118" s="572"/>
      <c r="NXO118" s="573"/>
      <c r="NXP118" s="574"/>
      <c r="NXQ118" s="575"/>
      <c r="NXR118" s="583"/>
      <c r="NXS118" s="590"/>
      <c r="NXT118" s="589"/>
      <c r="NXU118" s="585"/>
      <c r="NXV118" s="577"/>
      <c r="NXW118" s="304"/>
      <c r="NXX118" s="572"/>
      <c r="NXY118" s="573"/>
      <c r="NXZ118" s="574"/>
      <c r="NYA118" s="575"/>
      <c r="NYB118" s="583"/>
      <c r="NYC118" s="590"/>
      <c r="NYD118" s="589"/>
      <c r="NYE118" s="585"/>
      <c r="NYF118" s="577"/>
      <c r="NYG118" s="304"/>
      <c r="NYH118" s="572"/>
      <c r="NYI118" s="573"/>
      <c r="NYJ118" s="574"/>
      <c r="NYK118" s="575"/>
      <c r="NYL118" s="583"/>
      <c r="NYM118" s="590"/>
      <c r="NYN118" s="589"/>
      <c r="NYO118" s="585"/>
      <c r="NYP118" s="577"/>
      <c r="NYQ118" s="304"/>
      <c r="NYR118" s="572"/>
      <c r="NYS118" s="573"/>
      <c r="NYT118" s="574"/>
      <c r="NYU118" s="575"/>
      <c r="NYV118" s="583"/>
      <c r="NYW118" s="590"/>
      <c r="NYX118" s="589"/>
      <c r="NYY118" s="585"/>
      <c r="NYZ118" s="577"/>
      <c r="NZA118" s="304"/>
      <c r="NZB118" s="572"/>
      <c r="NZC118" s="573"/>
      <c r="NZD118" s="574"/>
      <c r="NZE118" s="575"/>
      <c r="NZF118" s="583"/>
      <c r="NZG118" s="590"/>
      <c r="NZH118" s="589"/>
      <c r="NZI118" s="585"/>
      <c r="NZJ118" s="577"/>
      <c r="NZK118" s="304"/>
      <c r="NZL118" s="572"/>
      <c r="NZM118" s="573"/>
      <c r="NZN118" s="574"/>
      <c r="NZO118" s="575"/>
      <c r="NZP118" s="583"/>
      <c r="NZQ118" s="590"/>
      <c r="NZR118" s="589"/>
      <c r="NZS118" s="585"/>
      <c r="NZT118" s="577"/>
      <c r="NZU118" s="304"/>
      <c r="NZV118" s="572"/>
      <c r="NZW118" s="573"/>
      <c r="NZX118" s="574"/>
      <c r="NZY118" s="575"/>
      <c r="NZZ118" s="583"/>
      <c r="OAA118" s="590"/>
      <c r="OAB118" s="589"/>
      <c r="OAC118" s="585"/>
      <c r="OAD118" s="577"/>
      <c r="OAE118" s="304"/>
      <c r="OAF118" s="572"/>
      <c r="OAG118" s="573"/>
      <c r="OAH118" s="574"/>
      <c r="OAI118" s="575"/>
      <c r="OAJ118" s="583"/>
      <c r="OAK118" s="590"/>
      <c r="OAL118" s="589"/>
      <c r="OAM118" s="585"/>
      <c r="OAN118" s="577"/>
      <c r="OAO118" s="304"/>
      <c r="OAP118" s="572"/>
      <c r="OAQ118" s="573"/>
      <c r="OAR118" s="574"/>
      <c r="OAS118" s="575"/>
      <c r="OAT118" s="583"/>
      <c r="OAU118" s="590"/>
      <c r="OAV118" s="589"/>
      <c r="OAW118" s="585"/>
      <c r="OAX118" s="577"/>
      <c r="OAY118" s="304"/>
      <c r="OAZ118" s="572"/>
      <c r="OBA118" s="573"/>
      <c r="OBB118" s="574"/>
      <c r="OBC118" s="575"/>
      <c r="OBD118" s="583"/>
      <c r="OBE118" s="590"/>
      <c r="OBF118" s="589"/>
      <c r="OBG118" s="585"/>
      <c r="OBH118" s="577"/>
      <c r="OBI118" s="304"/>
      <c r="OBJ118" s="572"/>
      <c r="OBK118" s="573"/>
      <c r="OBL118" s="574"/>
      <c r="OBM118" s="575"/>
      <c r="OBN118" s="583"/>
      <c r="OBO118" s="590"/>
      <c r="OBP118" s="589"/>
      <c r="OBQ118" s="585"/>
      <c r="OBR118" s="577"/>
      <c r="OBS118" s="304"/>
      <c r="OBT118" s="572"/>
      <c r="OBU118" s="573"/>
      <c r="OBV118" s="574"/>
      <c r="OBW118" s="575"/>
      <c r="OBX118" s="583"/>
      <c r="OBY118" s="590"/>
      <c r="OBZ118" s="589"/>
      <c r="OCA118" s="585"/>
      <c r="OCB118" s="577"/>
      <c r="OCC118" s="304"/>
      <c r="OCD118" s="572"/>
      <c r="OCE118" s="573"/>
      <c r="OCF118" s="574"/>
      <c r="OCG118" s="575"/>
      <c r="OCH118" s="583"/>
      <c r="OCI118" s="590"/>
      <c r="OCJ118" s="589"/>
      <c r="OCK118" s="585"/>
      <c r="OCL118" s="577"/>
      <c r="OCM118" s="304"/>
      <c r="OCN118" s="572"/>
      <c r="OCO118" s="573"/>
      <c r="OCP118" s="574"/>
      <c r="OCQ118" s="575"/>
      <c r="OCR118" s="583"/>
      <c r="OCS118" s="590"/>
      <c r="OCT118" s="589"/>
      <c r="OCU118" s="585"/>
      <c r="OCV118" s="577"/>
      <c r="OCW118" s="304"/>
      <c r="OCX118" s="572"/>
      <c r="OCY118" s="573"/>
      <c r="OCZ118" s="574"/>
      <c r="ODA118" s="575"/>
      <c r="ODB118" s="583"/>
      <c r="ODC118" s="590"/>
      <c r="ODD118" s="589"/>
      <c r="ODE118" s="585"/>
      <c r="ODF118" s="577"/>
      <c r="ODG118" s="304"/>
      <c r="ODH118" s="572"/>
      <c r="ODI118" s="573"/>
      <c r="ODJ118" s="574"/>
      <c r="ODK118" s="575"/>
      <c r="ODL118" s="583"/>
      <c r="ODM118" s="590"/>
      <c r="ODN118" s="589"/>
      <c r="ODO118" s="585"/>
      <c r="ODP118" s="577"/>
      <c r="ODQ118" s="304"/>
      <c r="ODR118" s="572"/>
      <c r="ODS118" s="573"/>
      <c r="ODT118" s="574"/>
      <c r="ODU118" s="575"/>
      <c r="ODV118" s="583"/>
      <c r="ODW118" s="590"/>
      <c r="ODX118" s="589"/>
      <c r="ODY118" s="585"/>
      <c r="ODZ118" s="577"/>
      <c r="OEA118" s="304"/>
      <c r="OEB118" s="572"/>
      <c r="OEC118" s="573"/>
      <c r="OED118" s="574"/>
      <c r="OEE118" s="575"/>
      <c r="OEF118" s="583"/>
      <c r="OEG118" s="590"/>
      <c r="OEH118" s="589"/>
      <c r="OEI118" s="585"/>
      <c r="OEJ118" s="577"/>
      <c r="OEK118" s="304"/>
      <c r="OEL118" s="572"/>
      <c r="OEM118" s="573"/>
      <c r="OEN118" s="574"/>
      <c r="OEO118" s="575"/>
      <c r="OEP118" s="583"/>
      <c r="OEQ118" s="590"/>
      <c r="OER118" s="589"/>
      <c r="OES118" s="585"/>
      <c r="OET118" s="577"/>
      <c r="OEU118" s="304"/>
      <c r="OEV118" s="572"/>
      <c r="OEW118" s="573"/>
      <c r="OEX118" s="574"/>
      <c r="OEY118" s="575"/>
      <c r="OEZ118" s="583"/>
      <c r="OFA118" s="590"/>
      <c r="OFB118" s="589"/>
      <c r="OFC118" s="585"/>
      <c r="OFD118" s="577"/>
      <c r="OFE118" s="304"/>
      <c r="OFF118" s="572"/>
      <c r="OFG118" s="573"/>
      <c r="OFH118" s="574"/>
      <c r="OFI118" s="575"/>
      <c r="OFJ118" s="583"/>
      <c r="OFK118" s="590"/>
      <c r="OFL118" s="589"/>
      <c r="OFM118" s="585"/>
      <c r="OFN118" s="577"/>
      <c r="OFO118" s="304"/>
      <c r="OFP118" s="572"/>
      <c r="OFQ118" s="573"/>
      <c r="OFR118" s="574"/>
      <c r="OFS118" s="575"/>
      <c r="OFT118" s="583"/>
      <c r="OFU118" s="590"/>
      <c r="OFV118" s="589"/>
      <c r="OFW118" s="585"/>
      <c r="OFX118" s="577"/>
      <c r="OFY118" s="304"/>
      <c r="OFZ118" s="572"/>
      <c r="OGA118" s="573"/>
      <c r="OGB118" s="574"/>
      <c r="OGC118" s="575"/>
      <c r="OGD118" s="583"/>
      <c r="OGE118" s="590"/>
      <c r="OGF118" s="589"/>
      <c r="OGG118" s="585"/>
      <c r="OGH118" s="577"/>
      <c r="OGI118" s="304"/>
      <c r="OGJ118" s="572"/>
      <c r="OGK118" s="573"/>
      <c r="OGL118" s="574"/>
      <c r="OGM118" s="575"/>
      <c r="OGN118" s="583"/>
      <c r="OGO118" s="590"/>
      <c r="OGP118" s="589"/>
      <c r="OGQ118" s="585"/>
      <c r="OGR118" s="577"/>
      <c r="OGS118" s="304"/>
      <c r="OGT118" s="572"/>
      <c r="OGU118" s="573"/>
      <c r="OGV118" s="574"/>
      <c r="OGW118" s="575"/>
      <c r="OGX118" s="583"/>
      <c r="OGY118" s="590"/>
      <c r="OGZ118" s="589"/>
      <c r="OHA118" s="585"/>
      <c r="OHB118" s="577"/>
      <c r="OHC118" s="304"/>
      <c r="OHD118" s="572"/>
      <c r="OHE118" s="573"/>
      <c r="OHF118" s="574"/>
      <c r="OHG118" s="575"/>
      <c r="OHH118" s="583"/>
      <c r="OHI118" s="590"/>
      <c r="OHJ118" s="589"/>
      <c r="OHK118" s="585"/>
      <c r="OHL118" s="577"/>
      <c r="OHM118" s="304"/>
      <c r="OHN118" s="572"/>
      <c r="OHO118" s="573"/>
      <c r="OHP118" s="574"/>
      <c r="OHQ118" s="575"/>
      <c r="OHR118" s="583"/>
      <c r="OHS118" s="590"/>
      <c r="OHT118" s="589"/>
      <c r="OHU118" s="585"/>
      <c r="OHV118" s="577"/>
      <c r="OHW118" s="304"/>
      <c r="OHX118" s="572"/>
      <c r="OHY118" s="573"/>
      <c r="OHZ118" s="574"/>
      <c r="OIA118" s="575"/>
      <c r="OIB118" s="583"/>
      <c r="OIC118" s="590"/>
      <c r="OID118" s="589"/>
      <c r="OIE118" s="585"/>
      <c r="OIF118" s="577"/>
      <c r="OIG118" s="304"/>
      <c r="OIH118" s="572"/>
      <c r="OII118" s="573"/>
      <c r="OIJ118" s="574"/>
      <c r="OIK118" s="575"/>
      <c r="OIL118" s="583"/>
      <c r="OIM118" s="590"/>
      <c r="OIN118" s="589"/>
      <c r="OIO118" s="585"/>
      <c r="OIP118" s="577"/>
      <c r="OIQ118" s="304"/>
      <c r="OIR118" s="572"/>
      <c r="OIS118" s="573"/>
      <c r="OIT118" s="574"/>
      <c r="OIU118" s="575"/>
      <c r="OIV118" s="583"/>
      <c r="OIW118" s="590"/>
      <c r="OIX118" s="589"/>
      <c r="OIY118" s="585"/>
      <c r="OIZ118" s="577"/>
      <c r="OJA118" s="304"/>
      <c r="OJB118" s="572"/>
      <c r="OJC118" s="573"/>
      <c r="OJD118" s="574"/>
      <c r="OJE118" s="575"/>
      <c r="OJF118" s="583"/>
      <c r="OJG118" s="590"/>
      <c r="OJH118" s="589"/>
      <c r="OJI118" s="585"/>
      <c r="OJJ118" s="577"/>
      <c r="OJK118" s="304"/>
      <c r="OJL118" s="572"/>
      <c r="OJM118" s="573"/>
      <c r="OJN118" s="574"/>
      <c r="OJO118" s="575"/>
      <c r="OJP118" s="583"/>
      <c r="OJQ118" s="590"/>
      <c r="OJR118" s="589"/>
      <c r="OJS118" s="585"/>
      <c r="OJT118" s="577"/>
      <c r="OJU118" s="304"/>
      <c r="OJV118" s="572"/>
      <c r="OJW118" s="573"/>
      <c r="OJX118" s="574"/>
      <c r="OJY118" s="575"/>
      <c r="OJZ118" s="583"/>
      <c r="OKA118" s="590"/>
      <c r="OKB118" s="589"/>
      <c r="OKC118" s="585"/>
      <c r="OKD118" s="577"/>
      <c r="OKE118" s="304"/>
      <c r="OKF118" s="572"/>
      <c r="OKG118" s="573"/>
      <c r="OKH118" s="574"/>
      <c r="OKI118" s="575"/>
      <c r="OKJ118" s="583"/>
      <c r="OKK118" s="590"/>
      <c r="OKL118" s="589"/>
      <c r="OKM118" s="585"/>
      <c r="OKN118" s="577"/>
      <c r="OKO118" s="304"/>
      <c r="OKP118" s="572"/>
      <c r="OKQ118" s="573"/>
      <c r="OKR118" s="574"/>
      <c r="OKS118" s="575"/>
      <c r="OKT118" s="583"/>
      <c r="OKU118" s="590"/>
      <c r="OKV118" s="589"/>
      <c r="OKW118" s="585"/>
      <c r="OKX118" s="577"/>
      <c r="OKY118" s="304"/>
      <c r="OKZ118" s="572"/>
      <c r="OLA118" s="573"/>
      <c r="OLB118" s="574"/>
      <c r="OLC118" s="575"/>
      <c r="OLD118" s="583"/>
      <c r="OLE118" s="590"/>
      <c r="OLF118" s="589"/>
      <c r="OLG118" s="585"/>
      <c r="OLH118" s="577"/>
      <c r="OLI118" s="304"/>
      <c r="OLJ118" s="572"/>
      <c r="OLK118" s="573"/>
      <c r="OLL118" s="574"/>
      <c r="OLM118" s="575"/>
      <c r="OLN118" s="583"/>
      <c r="OLO118" s="590"/>
      <c r="OLP118" s="589"/>
      <c r="OLQ118" s="585"/>
      <c r="OLR118" s="577"/>
      <c r="OLS118" s="304"/>
      <c r="OLT118" s="572"/>
      <c r="OLU118" s="573"/>
      <c r="OLV118" s="574"/>
      <c r="OLW118" s="575"/>
      <c r="OLX118" s="583"/>
      <c r="OLY118" s="590"/>
      <c r="OLZ118" s="589"/>
      <c r="OMA118" s="585"/>
      <c r="OMB118" s="577"/>
      <c r="OMC118" s="304"/>
      <c r="OMD118" s="572"/>
      <c r="OME118" s="573"/>
      <c r="OMF118" s="574"/>
      <c r="OMG118" s="575"/>
      <c r="OMH118" s="583"/>
      <c r="OMI118" s="590"/>
      <c r="OMJ118" s="589"/>
      <c r="OMK118" s="585"/>
      <c r="OML118" s="577"/>
      <c r="OMM118" s="304"/>
      <c r="OMN118" s="572"/>
      <c r="OMO118" s="573"/>
      <c r="OMP118" s="574"/>
      <c r="OMQ118" s="575"/>
      <c r="OMR118" s="583"/>
      <c r="OMS118" s="590"/>
      <c r="OMT118" s="589"/>
      <c r="OMU118" s="585"/>
      <c r="OMV118" s="577"/>
      <c r="OMW118" s="304"/>
      <c r="OMX118" s="572"/>
      <c r="OMY118" s="573"/>
      <c r="OMZ118" s="574"/>
      <c r="ONA118" s="575"/>
      <c r="ONB118" s="583"/>
      <c r="ONC118" s="590"/>
      <c r="OND118" s="589"/>
      <c r="ONE118" s="585"/>
      <c r="ONF118" s="577"/>
      <c r="ONG118" s="304"/>
      <c r="ONH118" s="572"/>
      <c r="ONI118" s="573"/>
      <c r="ONJ118" s="574"/>
      <c r="ONK118" s="575"/>
      <c r="ONL118" s="583"/>
      <c r="ONM118" s="590"/>
      <c r="ONN118" s="589"/>
      <c r="ONO118" s="585"/>
      <c r="ONP118" s="577"/>
      <c r="ONQ118" s="304"/>
      <c r="ONR118" s="572"/>
      <c r="ONS118" s="573"/>
      <c r="ONT118" s="574"/>
      <c r="ONU118" s="575"/>
      <c r="ONV118" s="583"/>
      <c r="ONW118" s="590"/>
      <c r="ONX118" s="589"/>
      <c r="ONY118" s="585"/>
      <c r="ONZ118" s="577"/>
      <c r="OOA118" s="304"/>
      <c r="OOB118" s="572"/>
      <c r="OOC118" s="573"/>
      <c r="OOD118" s="574"/>
      <c r="OOE118" s="575"/>
      <c r="OOF118" s="583"/>
      <c r="OOG118" s="590"/>
      <c r="OOH118" s="589"/>
      <c r="OOI118" s="585"/>
      <c r="OOJ118" s="577"/>
      <c r="OOK118" s="304"/>
      <c r="OOL118" s="572"/>
      <c r="OOM118" s="573"/>
      <c r="OON118" s="574"/>
      <c r="OOO118" s="575"/>
      <c r="OOP118" s="583"/>
      <c r="OOQ118" s="590"/>
      <c r="OOR118" s="589"/>
      <c r="OOS118" s="585"/>
      <c r="OOT118" s="577"/>
      <c r="OOU118" s="304"/>
      <c r="OOV118" s="572"/>
      <c r="OOW118" s="573"/>
      <c r="OOX118" s="574"/>
      <c r="OOY118" s="575"/>
      <c r="OOZ118" s="583"/>
      <c r="OPA118" s="590"/>
      <c r="OPB118" s="589"/>
      <c r="OPC118" s="585"/>
      <c r="OPD118" s="577"/>
      <c r="OPE118" s="304"/>
      <c r="OPF118" s="572"/>
      <c r="OPG118" s="573"/>
      <c r="OPH118" s="574"/>
      <c r="OPI118" s="575"/>
      <c r="OPJ118" s="583"/>
      <c r="OPK118" s="590"/>
      <c r="OPL118" s="589"/>
      <c r="OPM118" s="585"/>
      <c r="OPN118" s="577"/>
      <c r="OPO118" s="304"/>
      <c r="OPP118" s="572"/>
      <c r="OPQ118" s="573"/>
      <c r="OPR118" s="574"/>
      <c r="OPS118" s="575"/>
      <c r="OPT118" s="583"/>
      <c r="OPU118" s="590"/>
      <c r="OPV118" s="589"/>
      <c r="OPW118" s="585"/>
      <c r="OPX118" s="577"/>
      <c r="OPY118" s="304"/>
      <c r="OPZ118" s="572"/>
      <c r="OQA118" s="573"/>
      <c r="OQB118" s="574"/>
      <c r="OQC118" s="575"/>
      <c r="OQD118" s="583"/>
      <c r="OQE118" s="590"/>
      <c r="OQF118" s="589"/>
      <c r="OQG118" s="585"/>
      <c r="OQH118" s="577"/>
      <c r="OQI118" s="304"/>
      <c r="OQJ118" s="572"/>
      <c r="OQK118" s="573"/>
      <c r="OQL118" s="574"/>
      <c r="OQM118" s="575"/>
      <c r="OQN118" s="583"/>
      <c r="OQO118" s="590"/>
      <c r="OQP118" s="589"/>
      <c r="OQQ118" s="585"/>
      <c r="OQR118" s="577"/>
      <c r="OQS118" s="304"/>
      <c r="OQT118" s="572"/>
      <c r="OQU118" s="573"/>
      <c r="OQV118" s="574"/>
      <c r="OQW118" s="575"/>
      <c r="OQX118" s="583"/>
      <c r="OQY118" s="590"/>
      <c r="OQZ118" s="589"/>
      <c r="ORA118" s="585"/>
      <c r="ORB118" s="577"/>
      <c r="ORC118" s="304"/>
      <c r="ORD118" s="572"/>
      <c r="ORE118" s="573"/>
      <c r="ORF118" s="574"/>
      <c r="ORG118" s="575"/>
      <c r="ORH118" s="583"/>
      <c r="ORI118" s="590"/>
      <c r="ORJ118" s="589"/>
      <c r="ORK118" s="585"/>
      <c r="ORL118" s="577"/>
      <c r="ORM118" s="304"/>
      <c r="ORN118" s="572"/>
      <c r="ORO118" s="573"/>
      <c r="ORP118" s="574"/>
      <c r="ORQ118" s="575"/>
      <c r="ORR118" s="583"/>
      <c r="ORS118" s="590"/>
      <c r="ORT118" s="589"/>
      <c r="ORU118" s="585"/>
      <c r="ORV118" s="577"/>
      <c r="ORW118" s="304"/>
      <c r="ORX118" s="572"/>
      <c r="ORY118" s="573"/>
      <c r="ORZ118" s="574"/>
      <c r="OSA118" s="575"/>
      <c r="OSB118" s="583"/>
      <c r="OSC118" s="590"/>
      <c r="OSD118" s="589"/>
      <c r="OSE118" s="585"/>
      <c r="OSF118" s="577"/>
      <c r="OSG118" s="304"/>
      <c r="OSH118" s="572"/>
      <c r="OSI118" s="573"/>
      <c r="OSJ118" s="574"/>
      <c r="OSK118" s="575"/>
      <c r="OSL118" s="583"/>
      <c r="OSM118" s="590"/>
      <c r="OSN118" s="589"/>
      <c r="OSO118" s="585"/>
      <c r="OSP118" s="577"/>
      <c r="OSQ118" s="304"/>
      <c r="OSR118" s="572"/>
      <c r="OSS118" s="573"/>
      <c r="OST118" s="574"/>
      <c r="OSU118" s="575"/>
      <c r="OSV118" s="583"/>
      <c r="OSW118" s="590"/>
      <c r="OSX118" s="589"/>
      <c r="OSY118" s="585"/>
      <c r="OSZ118" s="577"/>
      <c r="OTA118" s="304"/>
      <c r="OTB118" s="572"/>
      <c r="OTC118" s="573"/>
      <c r="OTD118" s="574"/>
      <c r="OTE118" s="575"/>
      <c r="OTF118" s="583"/>
      <c r="OTG118" s="590"/>
      <c r="OTH118" s="589"/>
      <c r="OTI118" s="585"/>
      <c r="OTJ118" s="577"/>
      <c r="OTK118" s="304"/>
      <c r="OTL118" s="572"/>
      <c r="OTM118" s="573"/>
      <c r="OTN118" s="574"/>
      <c r="OTO118" s="575"/>
      <c r="OTP118" s="583"/>
      <c r="OTQ118" s="590"/>
      <c r="OTR118" s="589"/>
      <c r="OTS118" s="585"/>
      <c r="OTT118" s="577"/>
      <c r="OTU118" s="304"/>
      <c r="OTV118" s="572"/>
      <c r="OTW118" s="573"/>
      <c r="OTX118" s="574"/>
      <c r="OTY118" s="575"/>
      <c r="OTZ118" s="583"/>
      <c r="OUA118" s="590"/>
      <c r="OUB118" s="589"/>
      <c r="OUC118" s="585"/>
      <c r="OUD118" s="577"/>
      <c r="OUE118" s="304"/>
      <c r="OUF118" s="572"/>
      <c r="OUG118" s="573"/>
      <c r="OUH118" s="574"/>
      <c r="OUI118" s="575"/>
      <c r="OUJ118" s="583"/>
      <c r="OUK118" s="590"/>
      <c r="OUL118" s="589"/>
      <c r="OUM118" s="585"/>
      <c r="OUN118" s="577"/>
      <c r="OUO118" s="304"/>
      <c r="OUP118" s="572"/>
      <c r="OUQ118" s="573"/>
      <c r="OUR118" s="574"/>
      <c r="OUS118" s="575"/>
      <c r="OUT118" s="583"/>
      <c r="OUU118" s="590"/>
      <c r="OUV118" s="589"/>
      <c r="OUW118" s="585"/>
      <c r="OUX118" s="577"/>
      <c r="OUY118" s="304"/>
      <c r="OUZ118" s="572"/>
      <c r="OVA118" s="573"/>
      <c r="OVB118" s="574"/>
      <c r="OVC118" s="575"/>
      <c r="OVD118" s="583"/>
      <c r="OVE118" s="590"/>
      <c r="OVF118" s="589"/>
      <c r="OVG118" s="585"/>
      <c r="OVH118" s="577"/>
      <c r="OVI118" s="304"/>
      <c r="OVJ118" s="572"/>
      <c r="OVK118" s="573"/>
      <c r="OVL118" s="574"/>
      <c r="OVM118" s="575"/>
      <c r="OVN118" s="583"/>
      <c r="OVO118" s="590"/>
      <c r="OVP118" s="589"/>
      <c r="OVQ118" s="585"/>
      <c r="OVR118" s="577"/>
      <c r="OVS118" s="304"/>
      <c r="OVT118" s="572"/>
      <c r="OVU118" s="573"/>
      <c r="OVV118" s="574"/>
      <c r="OVW118" s="575"/>
      <c r="OVX118" s="583"/>
      <c r="OVY118" s="590"/>
      <c r="OVZ118" s="589"/>
      <c r="OWA118" s="585"/>
      <c r="OWB118" s="577"/>
      <c r="OWC118" s="304"/>
      <c r="OWD118" s="572"/>
      <c r="OWE118" s="573"/>
      <c r="OWF118" s="574"/>
      <c r="OWG118" s="575"/>
      <c r="OWH118" s="583"/>
      <c r="OWI118" s="590"/>
      <c r="OWJ118" s="589"/>
      <c r="OWK118" s="585"/>
      <c r="OWL118" s="577"/>
      <c r="OWM118" s="304"/>
      <c r="OWN118" s="572"/>
      <c r="OWO118" s="573"/>
      <c r="OWP118" s="574"/>
      <c r="OWQ118" s="575"/>
      <c r="OWR118" s="583"/>
      <c r="OWS118" s="590"/>
      <c r="OWT118" s="589"/>
      <c r="OWU118" s="585"/>
      <c r="OWV118" s="577"/>
      <c r="OWW118" s="304"/>
      <c r="OWX118" s="572"/>
      <c r="OWY118" s="573"/>
      <c r="OWZ118" s="574"/>
      <c r="OXA118" s="575"/>
      <c r="OXB118" s="583"/>
      <c r="OXC118" s="590"/>
      <c r="OXD118" s="589"/>
      <c r="OXE118" s="585"/>
      <c r="OXF118" s="577"/>
      <c r="OXG118" s="304"/>
      <c r="OXH118" s="572"/>
      <c r="OXI118" s="573"/>
      <c r="OXJ118" s="574"/>
      <c r="OXK118" s="575"/>
      <c r="OXL118" s="583"/>
      <c r="OXM118" s="590"/>
      <c r="OXN118" s="589"/>
      <c r="OXO118" s="585"/>
      <c r="OXP118" s="577"/>
      <c r="OXQ118" s="304"/>
      <c r="OXR118" s="572"/>
      <c r="OXS118" s="573"/>
      <c r="OXT118" s="574"/>
      <c r="OXU118" s="575"/>
      <c r="OXV118" s="583"/>
      <c r="OXW118" s="590"/>
      <c r="OXX118" s="589"/>
      <c r="OXY118" s="585"/>
      <c r="OXZ118" s="577"/>
      <c r="OYA118" s="304"/>
      <c r="OYB118" s="572"/>
      <c r="OYC118" s="573"/>
      <c r="OYD118" s="574"/>
      <c r="OYE118" s="575"/>
      <c r="OYF118" s="583"/>
      <c r="OYG118" s="590"/>
      <c r="OYH118" s="589"/>
      <c r="OYI118" s="585"/>
      <c r="OYJ118" s="577"/>
      <c r="OYK118" s="304"/>
      <c r="OYL118" s="572"/>
      <c r="OYM118" s="573"/>
      <c r="OYN118" s="574"/>
      <c r="OYO118" s="575"/>
      <c r="OYP118" s="583"/>
      <c r="OYQ118" s="590"/>
      <c r="OYR118" s="589"/>
      <c r="OYS118" s="585"/>
      <c r="OYT118" s="577"/>
      <c r="OYU118" s="304"/>
      <c r="OYV118" s="572"/>
      <c r="OYW118" s="573"/>
      <c r="OYX118" s="574"/>
      <c r="OYY118" s="575"/>
      <c r="OYZ118" s="583"/>
      <c r="OZA118" s="590"/>
      <c r="OZB118" s="589"/>
      <c r="OZC118" s="585"/>
      <c r="OZD118" s="577"/>
      <c r="OZE118" s="304"/>
      <c r="OZF118" s="572"/>
      <c r="OZG118" s="573"/>
      <c r="OZH118" s="574"/>
      <c r="OZI118" s="575"/>
      <c r="OZJ118" s="583"/>
      <c r="OZK118" s="590"/>
      <c r="OZL118" s="589"/>
      <c r="OZM118" s="585"/>
      <c r="OZN118" s="577"/>
      <c r="OZO118" s="304"/>
      <c r="OZP118" s="572"/>
      <c r="OZQ118" s="573"/>
      <c r="OZR118" s="574"/>
      <c r="OZS118" s="575"/>
      <c r="OZT118" s="583"/>
      <c r="OZU118" s="590"/>
      <c r="OZV118" s="589"/>
      <c r="OZW118" s="585"/>
      <c r="OZX118" s="577"/>
      <c r="OZY118" s="304"/>
      <c r="OZZ118" s="572"/>
      <c r="PAA118" s="573"/>
      <c r="PAB118" s="574"/>
      <c r="PAC118" s="575"/>
      <c r="PAD118" s="583"/>
      <c r="PAE118" s="590"/>
      <c r="PAF118" s="589"/>
      <c r="PAG118" s="585"/>
      <c r="PAH118" s="577"/>
      <c r="PAI118" s="304"/>
      <c r="PAJ118" s="572"/>
      <c r="PAK118" s="573"/>
      <c r="PAL118" s="574"/>
      <c r="PAM118" s="575"/>
      <c r="PAN118" s="583"/>
      <c r="PAO118" s="590"/>
      <c r="PAP118" s="589"/>
      <c r="PAQ118" s="585"/>
      <c r="PAR118" s="577"/>
      <c r="PAS118" s="304"/>
      <c r="PAT118" s="572"/>
      <c r="PAU118" s="573"/>
      <c r="PAV118" s="574"/>
      <c r="PAW118" s="575"/>
      <c r="PAX118" s="583"/>
      <c r="PAY118" s="590"/>
      <c r="PAZ118" s="589"/>
      <c r="PBA118" s="585"/>
      <c r="PBB118" s="577"/>
      <c r="PBC118" s="304"/>
      <c r="PBD118" s="572"/>
      <c r="PBE118" s="573"/>
      <c r="PBF118" s="574"/>
      <c r="PBG118" s="575"/>
      <c r="PBH118" s="583"/>
      <c r="PBI118" s="590"/>
      <c r="PBJ118" s="589"/>
      <c r="PBK118" s="585"/>
      <c r="PBL118" s="577"/>
      <c r="PBM118" s="304"/>
      <c r="PBN118" s="572"/>
      <c r="PBO118" s="573"/>
      <c r="PBP118" s="574"/>
      <c r="PBQ118" s="575"/>
      <c r="PBR118" s="583"/>
      <c r="PBS118" s="590"/>
      <c r="PBT118" s="589"/>
      <c r="PBU118" s="585"/>
      <c r="PBV118" s="577"/>
      <c r="PBW118" s="304"/>
      <c r="PBX118" s="572"/>
      <c r="PBY118" s="573"/>
      <c r="PBZ118" s="574"/>
      <c r="PCA118" s="575"/>
      <c r="PCB118" s="583"/>
      <c r="PCC118" s="590"/>
      <c r="PCD118" s="589"/>
      <c r="PCE118" s="585"/>
      <c r="PCF118" s="577"/>
      <c r="PCG118" s="304"/>
      <c r="PCH118" s="572"/>
      <c r="PCI118" s="573"/>
      <c r="PCJ118" s="574"/>
      <c r="PCK118" s="575"/>
      <c r="PCL118" s="583"/>
      <c r="PCM118" s="590"/>
      <c r="PCN118" s="589"/>
      <c r="PCO118" s="585"/>
      <c r="PCP118" s="577"/>
      <c r="PCQ118" s="304"/>
      <c r="PCR118" s="572"/>
      <c r="PCS118" s="573"/>
      <c r="PCT118" s="574"/>
      <c r="PCU118" s="575"/>
      <c r="PCV118" s="583"/>
      <c r="PCW118" s="590"/>
      <c r="PCX118" s="589"/>
      <c r="PCY118" s="585"/>
      <c r="PCZ118" s="577"/>
      <c r="PDA118" s="304"/>
      <c r="PDB118" s="572"/>
      <c r="PDC118" s="573"/>
      <c r="PDD118" s="574"/>
      <c r="PDE118" s="575"/>
      <c r="PDF118" s="583"/>
      <c r="PDG118" s="590"/>
      <c r="PDH118" s="589"/>
      <c r="PDI118" s="585"/>
      <c r="PDJ118" s="577"/>
      <c r="PDK118" s="304"/>
      <c r="PDL118" s="572"/>
      <c r="PDM118" s="573"/>
      <c r="PDN118" s="574"/>
      <c r="PDO118" s="575"/>
      <c r="PDP118" s="583"/>
      <c r="PDQ118" s="590"/>
      <c r="PDR118" s="589"/>
      <c r="PDS118" s="585"/>
      <c r="PDT118" s="577"/>
      <c r="PDU118" s="304"/>
      <c r="PDV118" s="572"/>
      <c r="PDW118" s="573"/>
      <c r="PDX118" s="574"/>
      <c r="PDY118" s="575"/>
      <c r="PDZ118" s="583"/>
      <c r="PEA118" s="590"/>
      <c r="PEB118" s="589"/>
      <c r="PEC118" s="585"/>
      <c r="PED118" s="577"/>
      <c r="PEE118" s="304"/>
      <c r="PEF118" s="572"/>
      <c r="PEG118" s="573"/>
      <c r="PEH118" s="574"/>
      <c r="PEI118" s="575"/>
      <c r="PEJ118" s="583"/>
      <c r="PEK118" s="590"/>
      <c r="PEL118" s="589"/>
      <c r="PEM118" s="585"/>
      <c r="PEN118" s="577"/>
      <c r="PEO118" s="304"/>
      <c r="PEP118" s="572"/>
      <c r="PEQ118" s="573"/>
      <c r="PER118" s="574"/>
      <c r="PES118" s="575"/>
      <c r="PET118" s="583"/>
      <c r="PEU118" s="590"/>
      <c r="PEV118" s="589"/>
      <c r="PEW118" s="585"/>
      <c r="PEX118" s="577"/>
      <c r="PEY118" s="304"/>
      <c r="PEZ118" s="572"/>
      <c r="PFA118" s="573"/>
      <c r="PFB118" s="574"/>
      <c r="PFC118" s="575"/>
      <c r="PFD118" s="583"/>
      <c r="PFE118" s="590"/>
      <c r="PFF118" s="589"/>
      <c r="PFG118" s="585"/>
      <c r="PFH118" s="577"/>
      <c r="PFI118" s="304"/>
      <c r="PFJ118" s="572"/>
      <c r="PFK118" s="573"/>
      <c r="PFL118" s="574"/>
      <c r="PFM118" s="575"/>
      <c r="PFN118" s="583"/>
      <c r="PFO118" s="590"/>
      <c r="PFP118" s="589"/>
      <c r="PFQ118" s="585"/>
      <c r="PFR118" s="577"/>
      <c r="PFS118" s="304"/>
      <c r="PFT118" s="572"/>
      <c r="PFU118" s="573"/>
      <c r="PFV118" s="574"/>
      <c r="PFW118" s="575"/>
      <c r="PFX118" s="583"/>
      <c r="PFY118" s="590"/>
      <c r="PFZ118" s="589"/>
      <c r="PGA118" s="585"/>
      <c r="PGB118" s="577"/>
      <c r="PGC118" s="304"/>
      <c r="PGD118" s="572"/>
      <c r="PGE118" s="573"/>
      <c r="PGF118" s="574"/>
      <c r="PGG118" s="575"/>
      <c r="PGH118" s="583"/>
      <c r="PGI118" s="590"/>
      <c r="PGJ118" s="589"/>
      <c r="PGK118" s="585"/>
      <c r="PGL118" s="577"/>
      <c r="PGM118" s="304"/>
      <c r="PGN118" s="572"/>
      <c r="PGO118" s="573"/>
      <c r="PGP118" s="574"/>
      <c r="PGQ118" s="575"/>
      <c r="PGR118" s="583"/>
      <c r="PGS118" s="590"/>
      <c r="PGT118" s="589"/>
      <c r="PGU118" s="585"/>
      <c r="PGV118" s="577"/>
      <c r="PGW118" s="304"/>
      <c r="PGX118" s="572"/>
      <c r="PGY118" s="573"/>
      <c r="PGZ118" s="574"/>
      <c r="PHA118" s="575"/>
      <c r="PHB118" s="583"/>
      <c r="PHC118" s="590"/>
      <c r="PHD118" s="589"/>
      <c r="PHE118" s="585"/>
      <c r="PHF118" s="577"/>
      <c r="PHG118" s="304"/>
      <c r="PHH118" s="572"/>
      <c r="PHI118" s="573"/>
      <c r="PHJ118" s="574"/>
      <c r="PHK118" s="575"/>
      <c r="PHL118" s="583"/>
      <c r="PHM118" s="590"/>
      <c r="PHN118" s="589"/>
      <c r="PHO118" s="585"/>
      <c r="PHP118" s="577"/>
      <c r="PHQ118" s="304"/>
      <c r="PHR118" s="572"/>
      <c r="PHS118" s="573"/>
      <c r="PHT118" s="574"/>
      <c r="PHU118" s="575"/>
      <c r="PHV118" s="583"/>
      <c r="PHW118" s="590"/>
      <c r="PHX118" s="589"/>
      <c r="PHY118" s="585"/>
      <c r="PHZ118" s="577"/>
      <c r="PIA118" s="304"/>
      <c r="PIB118" s="572"/>
      <c r="PIC118" s="573"/>
      <c r="PID118" s="574"/>
      <c r="PIE118" s="575"/>
      <c r="PIF118" s="583"/>
      <c r="PIG118" s="590"/>
      <c r="PIH118" s="589"/>
      <c r="PII118" s="585"/>
      <c r="PIJ118" s="577"/>
      <c r="PIK118" s="304"/>
      <c r="PIL118" s="572"/>
      <c r="PIM118" s="573"/>
      <c r="PIN118" s="574"/>
      <c r="PIO118" s="575"/>
      <c r="PIP118" s="583"/>
      <c r="PIQ118" s="590"/>
      <c r="PIR118" s="589"/>
      <c r="PIS118" s="585"/>
      <c r="PIT118" s="577"/>
      <c r="PIU118" s="304"/>
      <c r="PIV118" s="572"/>
      <c r="PIW118" s="573"/>
      <c r="PIX118" s="574"/>
      <c r="PIY118" s="575"/>
      <c r="PIZ118" s="583"/>
      <c r="PJA118" s="590"/>
      <c r="PJB118" s="589"/>
      <c r="PJC118" s="585"/>
      <c r="PJD118" s="577"/>
      <c r="PJE118" s="304"/>
      <c r="PJF118" s="572"/>
      <c r="PJG118" s="573"/>
      <c r="PJH118" s="574"/>
      <c r="PJI118" s="575"/>
      <c r="PJJ118" s="583"/>
      <c r="PJK118" s="590"/>
      <c r="PJL118" s="589"/>
      <c r="PJM118" s="585"/>
      <c r="PJN118" s="577"/>
      <c r="PJO118" s="304"/>
      <c r="PJP118" s="572"/>
      <c r="PJQ118" s="573"/>
      <c r="PJR118" s="574"/>
      <c r="PJS118" s="575"/>
      <c r="PJT118" s="583"/>
      <c r="PJU118" s="590"/>
      <c r="PJV118" s="589"/>
      <c r="PJW118" s="585"/>
      <c r="PJX118" s="577"/>
      <c r="PJY118" s="304"/>
      <c r="PJZ118" s="572"/>
      <c r="PKA118" s="573"/>
      <c r="PKB118" s="574"/>
      <c r="PKC118" s="575"/>
      <c r="PKD118" s="583"/>
      <c r="PKE118" s="590"/>
      <c r="PKF118" s="589"/>
      <c r="PKG118" s="585"/>
      <c r="PKH118" s="577"/>
      <c r="PKI118" s="304"/>
      <c r="PKJ118" s="572"/>
      <c r="PKK118" s="573"/>
      <c r="PKL118" s="574"/>
      <c r="PKM118" s="575"/>
      <c r="PKN118" s="583"/>
      <c r="PKO118" s="590"/>
      <c r="PKP118" s="589"/>
      <c r="PKQ118" s="585"/>
      <c r="PKR118" s="577"/>
      <c r="PKS118" s="304"/>
      <c r="PKT118" s="572"/>
      <c r="PKU118" s="573"/>
      <c r="PKV118" s="574"/>
      <c r="PKW118" s="575"/>
      <c r="PKX118" s="583"/>
      <c r="PKY118" s="590"/>
      <c r="PKZ118" s="589"/>
      <c r="PLA118" s="585"/>
      <c r="PLB118" s="577"/>
      <c r="PLC118" s="304"/>
      <c r="PLD118" s="572"/>
      <c r="PLE118" s="573"/>
      <c r="PLF118" s="574"/>
      <c r="PLG118" s="575"/>
      <c r="PLH118" s="583"/>
      <c r="PLI118" s="590"/>
      <c r="PLJ118" s="589"/>
      <c r="PLK118" s="585"/>
      <c r="PLL118" s="577"/>
      <c r="PLM118" s="304"/>
      <c r="PLN118" s="572"/>
      <c r="PLO118" s="573"/>
      <c r="PLP118" s="574"/>
      <c r="PLQ118" s="575"/>
      <c r="PLR118" s="583"/>
      <c r="PLS118" s="590"/>
      <c r="PLT118" s="589"/>
      <c r="PLU118" s="585"/>
      <c r="PLV118" s="577"/>
      <c r="PLW118" s="304"/>
      <c r="PLX118" s="572"/>
      <c r="PLY118" s="573"/>
      <c r="PLZ118" s="574"/>
      <c r="PMA118" s="575"/>
      <c r="PMB118" s="583"/>
      <c r="PMC118" s="590"/>
      <c r="PMD118" s="589"/>
      <c r="PME118" s="585"/>
      <c r="PMF118" s="577"/>
      <c r="PMG118" s="304"/>
      <c r="PMH118" s="572"/>
      <c r="PMI118" s="573"/>
      <c r="PMJ118" s="574"/>
      <c r="PMK118" s="575"/>
      <c r="PML118" s="583"/>
      <c r="PMM118" s="590"/>
      <c r="PMN118" s="589"/>
      <c r="PMO118" s="585"/>
      <c r="PMP118" s="577"/>
      <c r="PMQ118" s="304"/>
      <c r="PMR118" s="572"/>
      <c r="PMS118" s="573"/>
      <c r="PMT118" s="574"/>
      <c r="PMU118" s="575"/>
      <c r="PMV118" s="583"/>
      <c r="PMW118" s="590"/>
      <c r="PMX118" s="589"/>
      <c r="PMY118" s="585"/>
      <c r="PMZ118" s="577"/>
      <c r="PNA118" s="304"/>
      <c r="PNB118" s="572"/>
      <c r="PNC118" s="573"/>
      <c r="PND118" s="574"/>
      <c r="PNE118" s="575"/>
      <c r="PNF118" s="583"/>
      <c r="PNG118" s="590"/>
      <c r="PNH118" s="589"/>
      <c r="PNI118" s="585"/>
      <c r="PNJ118" s="577"/>
      <c r="PNK118" s="304"/>
      <c r="PNL118" s="572"/>
      <c r="PNM118" s="573"/>
      <c r="PNN118" s="574"/>
      <c r="PNO118" s="575"/>
      <c r="PNP118" s="583"/>
      <c r="PNQ118" s="590"/>
      <c r="PNR118" s="589"/>
      <c r="PNS118" s="585"/>
      <c r="PNT118" s="577"/>
      <c r="PNU118" s="304"/>
      <c r="PNV118" s="572"/>
      <c r="PNW118" s="573"/>
      <c r="PNX118" s="574"/>
      <c r="PNY118" s="575"/>
      <c r="PNZ118" s="583"/>
      <c r="POA118" s="590"/>
      <c r="POB118" s="589"/>
      <c r="POC118" s="585"/>
      <c r="POD118" s="577"/>
      <c r="POE118" s="304"/>
      <c r="POF118" s="572"/>
      <c r="POG118" s="573"/>
      <c r="POH118" s="574"/>
      <c r="POI118" s="575"/>
      <c r="POJ118" s="583"/>
      <c r="POK118" s="590"/>
      <c r="POL118" s="589"/>
      <c r="POM118" s="585"/>
      <c r="PON118" s="577"/>
      <c r="POO118" s="304"/>
      <c r="POP118" s="572"/>
      <c r="POQ118" s="573"/>
      <c r="POR118" s="574"/>
      <c r="POS118" s="575"/>
      <c r="POT118" s="583"/>
      <c r="POU118" s="590"/>
      <c r="POV118" s="589"/>
      <c r="POW118" s="585"/>
      <c r="POX118" s="577"/>
      <c r="POY118" s="304"/>
      <c r="POZ118" s="572"/>
      <c r="PPA118" s="573"/>
      <c r="PPB118" s="574"/>
      <c r="PPC118" s="575"/>
      <c r="PPD118" s="583"/>
      <c r="PPE118" s="590"/>
      <c r="PPF118" s="589"/>
      <c r="PPG118" s="585"/>
      <c r="PPH118" s="577"/>
      <c r="PPI118" s="304"/>
      <c r="PPJ118" s="572"/>
      <c r="PPK118" s="573"/>
      <c r="PPL118" s="574"/>
      <c r="PPM118" s="575"/>
      <c r="PPN118" s="583"/>
      <c r="PPO118" s="590"/>
      <c r="PPP118" s="589"/>
      <c r="PPQ118" s="585"/>
      <c r="PPR118" s="577"/>
      <c r="PPS118" s="304"/>
      <c r="PPT118" s="572"/>
      <c r="PPU118" s="573"/>
      <c r="PPV118" s="574"/>
      <c r="PPW118" s="575"/>
      <c r="PPX118" s="583"/>
      <c r="PPY118" s="590"/>
      <c r="PPZ118" s="589"/>
      <c r="PQA118" s="585"/>
      <c r="PQB118" s="577"/>
      <c r="PQC118" s="304"/>
      <c r="PQD118" s="572"/>
      <c r="PQE118" s="573"/>
      <c r="PQF118" s="574"/>
      <c r="PQG118" s="575"/>
      <c r="PQH118" s="583"/>
      <c r="PQI118" s="590"/>
      <c r="PQJ118" s="589"/>
      <c r="PQK118" s="585"/>
      <c r="PQL118" s="577"/>
      <c r="PQM118" s="304"/>
      <c r="PQN118" s="572"/>
      <c r="PQO118" s="573"/>
      <c r="PQP118" s="574"/>
      <c r="PQQ118" s="575"/>
      <c r="PQR118" s="583"/>
      <c r="PQS118" s="590"/>
      <c r="PQT118" s="589"/>
      <c r="PQU118" s="585"/>
      <c r="PQV118" s="577"/>
      <c r="PQW118" s="304"/>
      <c r="PQX118" s="572"/>
      <c r="PQY118" s="573"/>
      <c r="PQZ118" s="574"/>
      <c r="PRA118" s="575"/>
      <c r="PRB118" s="583"/>
      <c r="PRC118" s="590"/>
      <c r="PRD118" s="589"/>
      <c r="PRE118" s="585"/>
      <c r="PRF118" s="577"/>
      <c r="PRG118" s="304"/>
      <c r="PRH118" s="572"/>
      <c r="PRI118" s="573"/>
      <c r="PRJ118" s="574"/>
      <c r="PRK118" s="575"/>
      <c r="PRL118" s="583"/>
      <c r="PRM118" s="590"/>
      <c r="PRN118" s="589"/>
      <c r="PRO118" s="585"/>
      <c r="PRP118" s="577"/>
      <c r="PRQ118" s="304"/>
      <c r="PRR118" s="572"/>
      <c r="PRS118" s="573"/>
      <c r="PRT118" s="574"/>
      <c r="PRU118" s="575"/>
      <c r="PRV118" s="583"/>
      <c r="PRW118" s="590"/>
      <c r="PRX118" s="589"/>
      <c r="PRY118" s="585"/>
      <c r="PRZ118" s="577"/>
      <c r="PSA118" s="304"/>
      <c r="PSB118" s="572"/>
      <c r="PSC118" s="573"/>
      <c r="PSD118" s="574"/>
      <c r="PSE118" s="575"/>
      <c r="PSF118" s="583"/>
      <c r="PSG118" s="590"/>
      <c r="PSH118" s="589"/>
      <c r="PSI118" s="585"/>
      <c r="PSJ118" s="577"/>
      <c r="PSK118" s="304"/>
      <c r="PSL118" s="572"/>
      <c r="PSM118" s="573"/>
      <c r="PSN118" s="574"/>
      <c r="PSO118" s="575"/>
      <c r="PSP118" s="583"/>
      <c r="PSQ118" s="590"/>
      <c r="PSR118" s="589"/>
      <c r="PSS118" s="585"/>
      <c r="PST118" s="577"/>
      <c r="PSU118" s="304"/>
      <c r="PSV118" s="572"/>
      <c r="PSW118" s="573"/>
      <c r="PSX118" s="574"/>
      <c r="PSY118" s="575"/>
      <c r="PSZ118" s="583"/>
      <c r="PTA118" s="590"/>
      <c r="PTB118" s="589"/>
      <c r="PTC118" s="585"/>
      <c r="PTD118" s="577"/>
      <c r="PTE118" s="304"/>
      <c r="PTF118" s="572"/>
      <c r="PTG118" s="573"/>
      <c r="PTH118" s="574"/>
      <c r="PTI118" s="575"/>
      <c r="PTJ118" s="583"/>
      <c r="PTK118" s="590"/>
      <c r="PTL118" s="589"/>
      <c r="PTM118" s="585"/>
      <c r="PTN118" s="577"/>
      <c r="PTO118" s="304"/>
      <c r="PTP118" s="572"/>
      <c r="PTQ118" s="573"/>
      <c r="PTR118" s="574"/>
      <c r="PTS118" s="575"/>
      <c r="PTT118" s="583"/>
      <c r="PTU118" s="590"/>
      <c r="PTV118" s="589"/>
      <c r="PTW118" s="585"/>
      <c r="PTX118" s="577"/>
      <c r="PTY118" s="304"/>
      <c r="PTZ118" s="572"/>
      <c r="PUA118" s="573"/>
      <c r="PUB118" s="574"/>
      <c r="PUC118" s="575"/>
      <c r="PUD118" s="583"/>
      <c r="PUE118" s="590"/>
      <c r="PUF118" s="589"/>
      <c r="PUG118" s="585"/>
      <c r="PUH118" s="577"/>
      <c r="PUI118" s="304"/>
      <c r="PUJ118" s="572"/>
      <c r="PUK118" s="573"/>
      <c r="PUL118" s="574"/>
      <c r="PUM118" s="575"/>
      <c r="PUN118" s="583"/>
      <c r="PUO118" s="590"/>
      <c r="PUP118" s="589"/>
      <c r="PUQ118" s="585"/>
      <c r="PUR118" s="577"/>
      <c r="PUS118" s="304"/>
      <c r="PUT118" s="572"/>
      <c r="PUU118" s="573"/>
      <c r="PUV118" s="574"/>
      <c r="PUW118" s="575"/>
      <c r="PUX118" s="583"/>
      <c r="PUY118" s="590"/>
      <c r="PUZ118" s="589"/>
      <c r="PVA118" s="585"/>
      <c r="PVB118" s="577"/>
      <c r="PVC118" s="304"/>
      <c r="PVD118" s="572"/>
      <c r="PVE118" s="573"/>
      <c r="PVF118" s="574"/>
      <c r="PVG118" s="575"/>
      <c r="PVH118" s="583"/>
      <c r="PVI118" s="590"/>
      <c r="PVJ118" s="589"/>
      <c r="PVK118" s="585"/>
      <c r="PVL118" s="577"/>
      <c r="PVM118" s="304"/>
      <c r="PVN118" s="572"/>
      <c r="PVO118" s="573"/>
      <c r="PVP118" s="574"/>
      <c r="PVQ118" s="575"/>
      <c r="PVR118" s="583"/>
      <c r="PVS118" s="590"/>
      <c r="PVT118" s="589"/>
      <c r="PVU118" s="585"/>
      <c r="PVV118" s="577"/>
      <c r="PVW118" s="304"/>
      <c r="PVX118" s="572"/>
      <c r="PVY118" s="573"/>
      <c r="PVZ118" s="574"/>
      <c r="PWA118" s="575"/>
      <c r="PWB118" s="583"/>
      <c r="PWC118" s="590"/>
      <c r="PWD118" s="589"/>
      <c r="PWE118" s="585"/>
      <c r="PWF118" s="577"/>
      <c r="PWG118" s="304"/>
      <c r="PWH118" s="572"/>
      <c r="PWI118" s="573"/>
      <c r="PWJ118" s="574"/>
      <c r="PWK118" s="575"/>
      <c r="PWL118" s="583"/>
      <c r="PWM118" s="590"/>
      <c r="PWN118" s="589"/>
      <c r="PWO118" s="585"/>
      <c r="PWP118" s="577"/>
      <c r="PWQ118" s="304"/>
      <c r="PWR118" s="572"/>
      <c r="PWS118" s="573"/>
      <c r="PWT118" s="574"/>
      <c r="PWU118" s="575"/>
      <c r="PWV118" s="583"/>
      <c r="PWW118" s="590"/>
      <c r="PWX118" s="589"/>
      <c r="PWY118" s="585"/>
      <c r="PWZ118" s="577"/>
      <c r="PXA118" s="304"/>
      <c r="PXB118" s="572"/>
      <c r="PXC118" s="573"/>
      <c r="PXD118" s="574"/>
      <c r="PXE118" s="575"/>
      <c r="PXF118" s="583"/>
      <c r="PXG118" s="590"/>
      <c r="PXH118" s="589"/>
      <c r="PXI118" s="585"/>
      <c r="PXJ118" s="577"/>
      <c r="PXK118" s="304"/>
      <c r="PXL118" s="572"/>
      <c r="PXM118" s="573"/>
      <c r="PXN118" s="574"/>
      <c r="PXO118" s="575"/>
      <c r="PXP118" s="583"/>
      <c r="PXQ118" s="590"/>
      <c r="PXR118" s="589"/>
      <c r="PXS118" s="585"/>
      <c r="PXT118" s="577"/>
      <c r="PXU118" s="304"/>
      <c r="PXV118" s="572"/>
      <c r="PXW118" s="573"/>
      <c r="PXX118" s="574"/>
      <c r="PXY118" s="575"/>
      <c r="PXZ118" s="583"/>
      <c r="PYA118" s="590"/>
      <c r="PYB118" s="589"/>
      <c r="PYC118" s="585"/>
      <c r="PYD118" s="577"/>
      <c r="PYE118" s="304"/>
      <c r="PYF118" s="572"/>
      <c r="PYG118" s="573"/>
      <c r="PYH118" s="574"/>
      <c r="PYI118" s="575"/>
      <c r="PYJ118" s="583"/>
      <c r="PYK118" s="590"/>
      <c r="PYL118" s="589"/>
      <c r="PYM118" s="585"/>
      <c r="PYN118" s="577"/>
      <c r="PYO118" s="304"/>
      <c r="PYP118" s="572"/>
      <c r="PYQ118" s="573"/>
      <c r="PYR118" s="574"/>
      <c r="PYS118" s="575"/>
      <c r="PYT118" s="583"/>
      <c r="PYU118" s="590"/>
      <c r="PYV118" s="589"/>
      <c r="PYW118" s="585"/>
      <c r="PYX118" s="577"/>
      <c r="PYY118" s="304"/>
      <c r="PYZ118" s="572"/>
      <c r="PZA118" s="573"/>
      <c r="PZB118" s="574"/>
      <c r="PZC118" s="575"/>
      <c r="PZD118" s="583"/>
      <c r="PZE118" s="590"/>
      <c r="PZF118" s="589"/>
      <c r="PZG118" s="585"/>
      <c r="PZH118" s="577"/>
      <c r="PZI118" s="304"/>
      <c r="PZJ118" s="572"/>
      <c r="PZK118" s="573"/>
      <c r="PZL118" s="574"/>
      <c r="PZM118" s="575"/>
      <c r="PZN118" s="583"/>
      <c r="PZO118" s="590"/>
      <c r="PZP118" s="589"/>
      <c r="PZQ118" s="585"/>
      <c r="PZR118" s="577"/>
      <c r="PZS118" s="304"/>
      <c r="PZT118" s="572"/>
      <c r="PZU118" s="573"/>
      <c r="PZV118" s="574"/>
      <c r="PZW118" s="575"/>
      <c r="PZX118" s="583"/>
      <c r="PZY118" s="590"/>
      <c r="PZZ118" s="589"/>
      <c r="QAA118" s="585"/>
      <c r="QAB118" s="577"/>
      <c r="QAC118" s="304"/>
      <c r="QAD118" s="572"/>
      <c r="QAE118" s="573"/>
      <c r="QAF118" s="574"/>
      <c r="QAG118" s="575"/>
      <c r="QAH118" s="583"/>
      <c r="QAI118" s="590"/>
      <c r="QAJ118" s="589"/>
      <c r="QAK118" s="585"/>
      <c r="QAL118" s="577"/>
      <c r="QAM118" s="304"/>
      <c r="QAN118" s="572"/>
      <c r="QAO118" s="573"/>
      <c r="QAP118" s="574"/>
      <c r="QAQ118" s="575"/>
      <c r="QAR118" s="583"/>
      <c r="QAS118" s="590"/>
      <c r="QAT118" s="589"/>
      <c r="QAU118" s="585"/>
      <c r="QAV118" s="577"/>
      <c r="QAW118" s="304"/>
      <c r="QAX118" s="572"/>
      <c r="QAY118" s="573"/>
      <c r="QAZ118" s="574"/>
      <c r="QBA118" s="575"/>
      <c r="QBB118" s="583"/>
      <c r="QBC118" s="590"/>
      <c r="QBD118" s="589"/>
      <c r="QBE118" s="585"/>
      <c r="QBF118" s="577"/>
      <c r="QBG118" s="304"/>
      <c r="QBH118" s="572"/>
      <c r="QBI118" s="573"/>
      <c r="QBJ118" s="574"/>
      <c r="QBK118" s="575"/>
      <c r="QBL118" s="583"/>
      <c r="QBM118" s="590"/>
      <c r="QBN118" s="589"/>
      <c r="QBO118" s="585"/>
      <c r="QBP118" s="577"/>
      <c r="QBQ118" s="304"/>
      <c r="QBR118" s="572"/>
      <c r="QBS118" s="573"/>
      <c r="QBT118" s="574"/>
      <c r="QBU118" s="575"/>
      <c r="QBV118" s="583"/>
      <c r="QBW118" s="590"/>
      <c r="QBX118" s="589"/>
      <c r="QBY118" s="585"/>
      <c r="QBZ118" s="577"/>
      <c r="QCA118" s="304"/>
      <c r="QCB118" s="572"/>
      <c r="QCC118" s="573"/>
      <c r="QCD118" s="574"/>
      <c r="QCE118" s="575"/>
      <c r="QCF118" s="583"/>
      <c r="QCG118" s="590"/>
      <c r="QCH118" s="589"/>
      <c r="QCI118" s="585"/>
      <c r="QCJ118" s="577"/>
      <c r="QCK118" s="304"/>
      <c r="QCL118" s="572"/>
      <c r="QCM118" s="573"/>
      <c r="QCN118" s="574"/>
      <c r="QCO118" s="575"/>
      <c r="QCP118" s="583"/>
      <c r="QCQ118" s="590"/>
      <c r="QCR118" s="589"/>
      <c r="QCS118" s="585"/>
      <c r="QCT118" s="577"/>
      <c r="QCU118" s="304"/>
      <c r="QCV118" s="572"/>
      <c r="QCW118" s="573"/>
      <c r="QCX118" s="574"/>
      <c r="QCY118" s="575"/>
      <c r="QCZ118" s="583"/>
      <c r="QDA118" s="590"/>
      <c r="QDB118" s="589"/>
      <c r="QDC118" s="585"/>
      <c r="QDD118" s="577"/>
      <c r="QDE118" s="304"/>
      <c r="QDF118" s="572"/>
      <c r="QDG118" s="573"/>
      <c r="QDH118" s="574"/>
      <c r="QDI118" s="575"/>
      <c r="QDJ118" s="583"/>
      <c r="QDK118" s="590"/>
      <c r="QDL118" s="589"/>
      <c r="QDM118" s="585"/>
      <c r="QDN118" s="577"/>
      <c r="QDO118" s="304"/>
      <c r="QDP118" s="572"/>
      <c r="QDQ118" s="573"/>
      <c r="QDR118" s="574"/>
      <c r="QDS118" s="575"/>
      <c r="QDT118" s="583"/>
      <c r="QDU118" s="590"/>
      <c r="QDV118" s="589"/>
      <c r="QDW118" s="585"/>
      <c r="QDX118" s="577"/>
      <c r="QDY118" s="304"/>
      <c r="QDZ118" s="572"/>
      <c r="QEA118" s="573"/>
      <c r="QEB118" s="574"/>
      <c r="QEC118" s="575"/>
      <c r="QED118" s="583"/>
      <c r="QEE118" s="590"/>
      <c r="QEF118" s="589"/>
      <c r="QEG118" s="585"/>
      <c r="QEH118" s="577"/>
      <c r="QEI118" s="304"/>
      <c r="QEJ118" s="572"/>
      <c r="QEK118" s="573"/>
      <c r="QEL118" s="574"/>
      <c r="QEM118" s="575"/>
      <c r="QEN118" s="583"/>
      <c r="QEO118" s="590"/>
      <c r="QEP118" s="589"/>
      <c r="QEQ118" s="585"/>
      <c r="QER118" s="577"/>
      <c r="QES118" s="304"/>
      <c r="QET118" s="572"/>
      <c r="QEU118" s="573"/>
      <c r="QEV118" s="574"/>
      <c r="QEW118" s="575"/>
      <c r="QEX118" s="583"/>
      <c r="QEY118" s="590"/>
      <c r="QEZ118" s="589"/>
      <c r="QFA118" s="585"/>
      <c r="QFB118" s="577"/>
      <c r="QFC118" s="304"/>
      <c r="QFD118" s="572"/>
      <c r="QFE118" s="573"/>
      <c r="QFF118" s="574"/>
      <c r="QFG118" s="575"/>
      <c r="QFH118" s="583"/>
      <c r="QFI118" s="590"/>
      <c r="QFJ118" s="589"/>
      <c r="QFK118" s="585"/>
      <c r="QFL118" s="577"/>
      <c r="QFM118" s="304"/>
      <c r="QFN118" s="572"/>
      <c r="QFO118" s="573"/>
      <c r="QFP118" s="574"/>
      <c r="QFQ118" s="575"/>
      <c r="QFR118" s="583"/>
      <c r="QFS118" s="590"/>
      <c r="QFT118" s="589"/>
      <c r="QFU118" s="585"/>
      <c r="QFV118" s="577"/>
      <c r="QFW118" s="304"/>
      <c r="QFX118" s="572"/>
      <c r="QFY118" s="573"/>
      <c r="QFZ118" s="574"/>
      <c r="QGA118" s="575"/>
      <c r="QGB118" s="583"/>
      <c r="QGC118" s="590"/>
      <c r="QGD118" s="589"/>
      <c r="QGE118" s="585"/>
      <c r="QGF118" s="577"/>
      <c r="QGG118" s="304"/>
      <c r="QGH118" s="572"/>
      <c r="QGI118" s="573"/>
      <c r="QGJ118" s="574"/>
      <c r="QGK118" s="575"/>
      <c r="QGL118" s="583"/>
      <c r="QGM118" s="590"/>
      <c r="QGN118" s="589"/>
      <c r="QGO118" s="585"/>
      <c r="QGP118" s="577"/>
      <c r="QGQ118" s="304"/>
      <c r="QGR118" s="572"/>
      <c r="QGS118" s="573"/>
      <c r="QGT118" s="574"/>
      <c r="QGU118" s="575"/>
      <c r="QGV118" s="583"/>
      <c r="QGW118" s="590"/>
      <c r="QGX118" s="589"/>
      <c r="QGY118" s="585"/>
      <c r="QGZ118" s="577"/>
      <c r="QHA118" s="304"/>
      <c r="QHB118" s="572"/>
      <c r="QHC118" s="573"/>
      <c r="QHD118" s="574"/>
      <c r="QHE118" s="575"/>
      <c r="QHF118" s="583"/>
      <c r="QHG118" s="590"/>
      <c r="QHH118" s="589"/>
      <c r="QHI118" s="585"/>
      <c r="QHJ118" s="577"/>
      <c r="QHK118" s="304"/>
      <c r="QHL118" s="572"/>
      <c r="QHM118" s="573"/>
      <c r="QHN118" s="574"/>
      <c r="QHO118" s="575"/>
      <c r="QHP118" s="583"/>
      <c r="QHQ118" s="590"/>
      <c r="QHR118" s="589"/>
      <c r="QHS118" s="585"/>
      <c r="QHT118" s="577"/>
      <c r="QHU118" s="304"/>
      <c r="QHV118" s="572"/>
      <c r="QHW118" s="573"/>
      <c r="QHX118" s="574"/>
      <c r="QHY118" s="575"/>
      <c r="QHZ118" s="583"/>
      <c r="QIA118" s="590"/>
      <c r="QIB118" s="589"/>
      <c r="QIC118" s="585"/>
      <c r="QID118" s="577"/>
      <c r="QIE118" s="304"/>
      <c r="QIF118" s="572"/>
      <c r="QIG118" s="573"/>
      <c r="QIH118" s="574"/>
      <c r="QII118" s="575"/>
      <c r="QIJ118" s="583"/>
      <c r="QIK118" s="590"/>
      <c r="QIL118" s="589"/>
      <c r="QIM118" s="585"/>
      <c r="QIN118" s="577"/>
      <c r="QIO118" s="304"/>
      <c r="QIP118" s="572"/>
      <c r="QIQ118" s="573"/>
      <c r="QIR118" s="574"/>
      <c r="QIS118" s="575"/>
      <c r="QIT118" s="583"/>
      <c r="QIU118" s="590"/>
      <c r="QIV118" s="589"/>
      <c r="QIW118" s="585"/>
      <c r="QIX118" s="577"/>
      <c r="QIY118" s="304"/>
      <c r="QIZ118" s="572"/>
      <c r="QJA118" s="573"/>
      <c r="QJB118" s="574"/>
      <c r="QJC118" s="575"/>
      <c r="QJD118" s="583"/>
      <c r="QJE118" s="590"/>
      <c r="QJF118" s="589"/>
      <c r="QJG118" s="585"/>
      <c r="QJH118" s="577"/>
      <c r="QJI118" s="304"/>
      <c r="QJJ118" s="572"/>
      <c r="QJK118" s="573"/>
      <c r="QJL118" s="574"/>
      <c r="QJM118" s="575"/>
      <c r="QJN118" s="583"/>
      <c r="QJO118" s="590"/>
      <c r="QJP118" s="589"/>
      <c r="QJQ118" s="585"/>
      <c r="QJR118" s="577"/>
      <c r="QJS118" s="304"/>
      <c r="QJT118" s="572"/>
      <c r="QJU118" s="573"/>
      <c r="QJV118" s="574"/>
      <c r="QJW118" s="575"/>
      <c r="QJX118" s="583"/>
      <c r="QJY118" s="590"/>
      <c r="QJZ118" s="589"/>
      <c r="QKA118" s="585"/>
      <c r="QKB118" s="577"/>
      <c r="QKC118" s="304"/>
      <c r="QKD118" s="572"/>
      <c r="QKE118" s="573"/>
      <c r="QKF118" s="574"/>
      <c r="QKG118" s="575"/>
      <c r="QKH118" s="583"/>
      <c r="QKI118" s="590"/>
      <c r="QKJ118" s="589"/>
      <c r="QKK118" s="585"/>
      <c r="QKL118" s="577"/>
      <c r="QKM118" s="304"/>
      <c r="QKN118" s="572"/>
      <c r="QKO118" s="573"/>
      <c r="QKP118" s="574"/>
      <c r="QKQ118" s="575"/>
      <c r="QKR118" s="583"/>
      <c r="QKS118" s="590"/>
      <c r="QKT118" s="589"/>
      <c r="QKU118" s="585"/>
      <c r="QKV118" s="577"/>
      <c r="QKW118" s="304"/>
      <c r="QKX118" s="572"/>
      <c r="QKY118" s="573"/>
      <c r="QKZ118" s="574"/>
      <c r="QLA118" s="575"/>
      <c r="QLB118" s="583"/>
      <c r="QLC118" s="590"/>
      <c r="QLD118" s="589"/>
      <c r="QLE118" s="585"/>
      <c r="QLF118" s="577"/>
      <c r="QLG118" s="304"/>
      <c r="QLH118" s="572"/>
      <c r="QLI118" s="573"/>
      <c r="QLJ118" s="574"/>
      <c r="QLK118" s="575"/>
      <c r="QLL118" s="583"/>
      <c r="QLM118" s="590"/>
      <c r="QLN118" s="589"/>
      <c r="QLO118" s="585"/>
      <c r="QLP118" s="577"/>
      <c r="QLQ118" s="304"/>
      <c r="QLR118" s="572"/>
      <c r="QLS118" s="573"/>
      <c r="QLT118" s="574"/>
      <c r="QLU118" s="575"/>
      <c r="QLV118" s="583"/>
      <c r="QLW118" s="590"/>
      <c r="QLX118" s="589"/>
      <c r="QLY118" s="585"/>
      <c r="QLZ118" s="577"/>
      <c r="QMA118" s="304"/>
      <c r="QMB118" s="572"/>
      <c r="QMC118" s="573"/>
      <c r="QMD118" s="574"/>
      <c r="QME118" s="575"/>
      <c r="QMF118" s="583"/>
      <c r="QMG118" s="590"/>
      <c r="QMH118" s="589"/>
      <c r="QMI118" s="585"/>
      <c r="QMJ118" s="577"/>
      <c r="QMK118" s="304"/>
      <c r="QML118" s="572"/>
      <c r="QMM118" s="573"/>
      <c r="QMN118" s="574"/>
      <c r="QMO118" s="575"/>
      <c r="QMP118" s="583"/>
      <c r="QMQ118" s="590"/>
      <c r="QMR118" s="589"/>
      <c r="QMS118" s="585"/>
      <c r="QMT118" s="577"/>
      <c r="QMU118" s="304"/>
      <c r="QMV118" s="572"/>
      <c r="QMW118" s="573"/>
      <c r="QMX118" s="574"/>
      <c r="QMY118" s="575"/>
      <c r="QMZ118" s="583"/>
      <c r="QNA118" s="590"/>
      <c r="QNB118" s="589"/>
      <c r="QNC118" s="585"/>
      <c r="QND118" s="577"/>
      <c r="QNE118" s="304"/>
      <c r="QNF118" s="572"/>
      <c r="QNG118" s="573"/>
      <c r="QNH118" s="574"/>
      <c r="QNI118" s="575"/>
      <c r="QNJ118" s="583"/>
      <c r="QNK118" s="590"/>
      <c r="QNL118" s="589"/>
      <c r="QNM118" s="585"/>
      <c r="QNN118" s="577"/>
      <c r="QNO118" s="304"/>
      <c r="QNP118" s="572"/>
      <c r="QNQ118" s="573"/>
      <c r="QNR118" s="574"/>
      <c r="QNS118" s="575"/>
      <c r="QNT118" s="583"/>
      <c r="QNU118" s="590"/>
      <c r="QNV118" s="589"/>
      <c r="QNW118" s="585"/>
      <c r="QNX118" s="577"/>
      <c r="QNY118" s="304"/>
      <c r="QNZ118" s="572"/>
      <c r="QOA118" s="573"/>
      <c r="QOB118" s="574"/>
      <c r="QOC118" s="575"/>
      <c r="QOD118" s="583"/>
      <c r="QOE118" s="590"/>
      <c r="QOF118" s="589"/>
      <c r="QOG118" s="585"/>
      <c r="QOH118" s="577"/>
      <c r="QOI118" s="304"/>
      <c r="QOJ118" s="572"/>
      <c r="QOK118" s="573"/>
      <c r="QOL118" s="574"/>
      <c r="QOM118" s="575"/>
      <c r="QON118" s="583"/>
      <c r="QOO118" s="590"/>
      <c r="QOP118" s="589"/>
      <c r="QOQ118" s="585"/>
      <c r="QOR118" s="577"/>
      <c r="QOS118" s="304"/>
      <c r="QOT118" s="572"/>
      <c r="QOU118" s="573"/>
      <c r="QOV118" s="574"/>
      <c r="QOW118" s="575"/>
      <c r="QOX118" s="583"/>
      <c r="QOY118" s="590"/>
      <c r="QOZ118" s="589"/>
      <c r="QPA118" s="585"/>
      <c r="QPB118" s="577"/>
      <c r="QPC118" s="304"/>
      <c r="QPD118" s="572"/>
      <c r="QPE118" s="573"/>
      <c r="QPF118" s="574"/>
      <c r="QPG118" s="575"/>
      <c r="QPH118" s="583"/>
      <c r="QPI118" s="590"/>
      <c r="QPJ118" s="589"/>
      <c r="QPK118" s="585"/>
      <c r="QPL118" s="577"/>
      <c r="QPM118" s="304"/>
      <c r="QPN118" s="572"/>
      <c r="QPO118" s="573"/>
      <c r="QPP118" s="574"/>
      <c r="QPQ118" s="575"/>
      <c r="QPR118" s="583"/>
      <c r="QPS118" s="590"/>
      <c r="QPT118" s="589"/>
      <c r="QPU118" s="585"/>
      <c r="QPV118" s="577"/>
      <c r="QPW118" s="304"/>
      <c r="QPX118" s="572"/>
      <c r="QPY118" s="573"/>
      <c r="QPZ118" s="574"/>
      <c r="QQA118" s="575"/>
      <c r="QQB118" s="583"/>
      <c r="QQC118" s="590"/>
      <c r="QQD118" s="589"/>
      <c r="QQE118" s="585"/>
      <c r="QQF118" s="577"/>
      <c r="QQG118" s="304"/>
      <c r="QQH118" s="572"/>
      <c r="QQI118" s="573"/>
      <c r="QQJ118" s="574"/>
      <c r="QQK118" s="575"/>
      <c r="QQL118" s="583"/>
      <c r="QQM118" s="590"/>
      <c r="QQN118" s="589"/>
      <c r="QQO118" s="585"/>
      <c r="QQP118" s="577"/>
      <c r="QQQ118" s="304"/>
      <c r="QQR118" s="572"/>
      <c r="QQS118" s="573"/>
      <c r="QQT118" s="574"/>
      <c r="QQU118" s="575"/>
      <c r="QQV118" s="583"/>
      <c r="QQW118" s="590"/>
      <c r="QQX118" s="589"/>
      <c r="QQY118" s="585"/>
      <c r="QQZ118" s="577"/>
      <c r="QRA118" s="304"/>
      <c r="QRB118" s="572"/>
      <c r="QRC118" s="573"/>
      <c r="QRD118" s="574"/>
      <c r="QRE118" s="575"/>
      <c r="QRF118" s="583"/>
      <c r="QRG118" s="590"/>
      <c r="QRH118" s="589"/>
      <c r="QRI118" s="585"/>
      <c r="QRJ118" s="577"/>
      <c r="QRK118" s="304"/>
      <c r="QRL118" s="572"/>
      <c r="QRM118" s="573"/>
      <c r="QRN118" s="574"/>
      <c r="QRO118" s="575"/>
      <c r="QRP118" s="583"/>
      <c r="QRQ118" s="590"/>
      <c r="QRR118" s="589"/>
      <c r="QRS118" s="585"/>
      <c r="QRT118" s="577"/>
      <c r="QRU118" s="304"/>
      <c r="QRV118" s="572"/>
      <c r="QRW118" s="573"/>
      <c r="QRX118" s="574"/>
      <c r="QRY118" s="575"/>
      <c r="QRZ118" s="583"/>
      <c r="QSA118" s="590"/>
      <c r="QSB118" s="589"/>
      <c r="QSC118" s="585"/>
      <c r="QSD118" s="577"/>
      <c r="QSE118" s="304"/>
      <c r="QSF118" s="572"/>
      <c r="QSG118" s="573"/>
      <c r="QSH118" s="574"/>
      <c r="QSI118" s="575"/>
      <c r="QSJ118" s="583"/>
      <c r="QSK118" s="590"/>
      <c r="QSL118" s="589"/>
      <c r="QSM118" s="585"/>
      <c r="QSN118" s="577"/>
      <c r="QSO118" s="304"/>
      <c r="QSP118" s="572"/>
      <c r="QSQ118" s="573"/>
      <c r="QSR118" s="574"/>
      <c r="QSS118" s="575"/>
      <c r="QST118" s="583"/>
      <c r="QSU118" s="590"/>
      <c r="QSV118" s="589"/>
      <c r="QSW118" s="585"/>
      <c r="QSX118" s="577"/>
      <c r="QSY118" s="304"/>
      <c r="QSZ118" s="572"/>
      <c r="QTA118" s="573"/>
      <c r="QTB118" s="574"/>
      <c r="QTC118" s="575"/>
      <c r="QTD118" s="583"/>
      <c r="QTE118" s="590"/>
      <c r="QTF118" s="589"/>
      <c r="QTG118" s="585"/>
      <c r="QTH118" s="577"/>
      <c r="QTI118" s="304"/>
      <c r="QTJ118" s="572"/>
      <c r="QTK118" s="573"/>
      <c r="QTL118" s="574"/>
      <c r="QTM118" s="575"/>
      <c r="QTN118" s="583"/>
      <c r="QTO118" s="590"/>
      <c r="QTP118" s="589"/>
      <c r="QTQ118" s="585"/>
      <c r="QTR118" s="577"/>
      <c r="QTS118" s="304"/>
      <c r="QTT118" s="572"/>
      <c r="QTU118" s="573"/>
      <c r="QTV118" s="574"/>
      <c r="QTW118" s="575"/>
      <c r="QTX118" s="583"/>
      <c r="QTY118" s="590"/>
      <c r="QTZ118" s="589"/>
      <c r="QUA118" s="585"/>
      <c r="QUB118" s="577"/>
      <c r="QUC118" s="304"/>
      <c r="QUD118" s="572"/>
      <c r="QUE118" s="573"/>
      <c r="QUF118" s="574"/>
      <c r="QUG118" s="575"/>
      <c r="QUH118" s="583"/>
      <c r="QUI118" s="590"/>
      <c r="QUJ118" s="589"/>
      <c r="QUK118" s="585"/>
      <c r="QUL118" s="577"/>
      <c r="QUM118" s="304"/>
      <c r="QUN118" s="572"/>
      <c r="QUO118" s="573"/>
      <c r="QUP118" s="574"/>
      <c r="QUQ118" s="575"/>
      <c r="QUR118" s="583"/>
      <c r="QUS118" s="590"/>
      <c r="QUT118" s="589"/>
      <c r="QUU118" s="585"/>
      <c r="QUV118" s="577"/>
      <c r="QUW118" s="304"/>
      <c r="QUX118" s="572"/>
      <c r="QUY118" s="573"/>
      <c r="QUZ118" s="574"/>
      <c r="QVA118" s="575"/>
      <c r="QVB118" s="583"/>
      <c r="QVC118" s="590"/>
      <c r="QVD118" s="589"/>
      <c r="QVE118" s="585"/>
      <c r="QVF118" s="577"/>
      <c r="QVG118" s="304"/>
      <c r="QVH118" s="572"/>
      <c r="QVI118" s="573"/>
      <c r="QVJ118" s="574"/>
      <c r="QVK118" s="575"/>
      <c r="QVL118" s="583"/>
      <c r="QVM118" s="590"/>
      <c r="QVN118" s="589"/>
      <c r="QVO118" s="585"/>
      <c r="QVP118" s="577"/>
      <c r="QVQ118" s="304"/>
      <c r="QVR118" s="572"/>
      <c r="QVS118" s="573"/>
      <c r="QVT118" s="574"/>
      <c r="QVU118" s="575"/>
      <c r="QVV118" s="583"/>
      <c r="QVW118" s="590"/>
      <c r="QVX118" s="589"/>
      <c r="QVY118" s="585"/>
      <c r="QVZ118" s="577"/>
      <c r="QWA118" s="304"/>
      <c r="QWB118" s="572"/>
      <c r="QWC118" s="573"/>
      <c r="QWD118" s="574"/>
      <c r="QWE118" s="575"/>
      <c r="QWF118" s="583"/>
      <c r="QWG118" s="590"/>
      <c r="QWH118" s="589"/>
      <c r="QWI118" s="585"/>
      <c r="QWJ118" s="577"/>
      <c r="QWK118" s="304"/>
      <c r="QWL118" s="572"/>
      <c r="QWM118" s="573"/>
      <c r="QWN118" s="574"/>
      <c r="QWO118" s="575"/>
      <c r="QWP118" s="583"/>
      <c r="QWQ118" s="590"/>
      <c r="QWR118" s="589"/>
      <c r="QWS118" s="585"/>
      <c r="QWT118" s="577"/>
      <c r="QWU118" s="304"/>
      <c r="QWV118" s="572"/>
      <c r="QWW118" s="573"/>
      <c r="QWX118" s="574"/>
      <c r="QWY118" s="575"/>
      <c r="QWZ118" s="583"/>
      <c r="QXA118" s="590"/>
      <c r="QXB118" s="589"/>
      <c r="QXC118" s="585"/>
      <c r="QXD118" s="577"/>
      <c r="QXE118" s="304"/>
      <c r="QXF118" s="572"/>
      <c r="QXG118" s="573"/>
      <c r="QXH118" s="574"/>
      <c r="QXI118" s="575"/>
      <c r="QXJ118" s="583"/>
      <c r="QXK118" s="590"/>
      <c r="QXL118" s="589"/>
      <c r="QXM118" s="585"/>
      <c r="QXN118" s="577"/>
      <c r="QXO118" s="304"/>
      <c r="QXP118" s="572"/>
      <c r="QXQ118" s="573"/>
      <c r="QXR118" s="574"/>
      <c r="QXS118" s="575"/>
      <c r="QXT118" s="583"/>
      <c r="QXU118" s="590"/>
      <c r="QXV118" s="589"/>
      <c r="QXW118" s="585"/>
      <c r="QXX118" s="577"/>
      <c r="QXY118" s="304"/>
      <c r="QXZ118" s="572"/>
      <c r="QYA118" s="573"/>
      <c r="QYB118" s="574"/>
      <c r="QYC118" s="575"/>
      <c r="QYD118" s="583"/>
      <c r="QYE118" s="590"/>
      <c r="QYF118" s="589"/>
      <c r="QYG118" s="585"/>
      <c r="QYH118" s="577"/>
      <c r="QYI118" s="304"/>
      <c r="QYJ118" s="572"/>
      <c r="QYK118" s="573"/>
      <c r="QYL118" s="574"/>
      <c r="QYM118" s="575"/>
      <c r="QYN118" s="583"/>
      <c r="QYO118" s="590"/>
      <c r="QYP118" s="589"/>
      <c r="QYQ118" s="585"/>
      <c r="QYR118" s="577"/>
      <c r="QYS118" s="304"/>
      <c r="QYT118" s="572"/>
      <c r="QYU118" s="573"/>
      <c r="QYV118" s="574"/>
      <c r="QYW118" s="575"/>
      <c r="QYX118" s="583"/>
      <c r="QYY118" s="590"/>
      <c r="QYZ118" s="589"/>
      <c r="QZA118" s="585"/>
      <c r="QZB118" s="577"/>
      <c r="QZC118" s="304"/>
      <c r="QZD118" s="572"/>
      <c r="QZE118" s="573"/>
      <c r="QZF118" s="574"/>
      <c r="QZG118" s="575"/>
      <c r="QZH118" s="583"/>
      <c r="QZI118" s="590"/>
      <c r="QZJ118" s="589"/>
      <c r="QZK118" s="585"/>
      <c r="QZL118" s="577"/>
      <c r="QZM118" s="304"/>
      <c r="QZN118" s="572"/>
      <c r="QZO118" s="573"/>
      <c r="QZP118" s="574"/>
      <c r="QZQ118" s="575"/>
      <c r="QZR118" s="583"/>
      <c r="QZS118" s="590"/>
      <c r="QZT118" s="589"/>
      <c r="QZU118" s="585"/>
      <c r="QZV118" s="577"/>
      <c r="QZW118" s="304"/>
      <c r="QZX118" s="572"/>
      <c r="QZY118" s="573"/>
      <c r="QZZ118" s="574"/>
      <c r="RAA118" s="575"/>
      <c r="RAB118" s="583"/>
      <c r="RAC118" s="590"/>
      <c r="RAD118" s="589"/>
      <c r="RAE118" s="585"/>
      <c r="RAF118" s="577"/>
      <c r="RAG118" s="304"/>
      <c r="RAH118" s="572"/>
      <c r="RAI118" s="573"/>
      <c r="RAJ118" s="574"/>
      <c r="RAK118" s="575"/>
      <c r="RAL118" s="583"/>
      <c r="RAM118" s="590"/>
      <c r="RAN118" s="589"/>
      <c r="RAO118" s="585"/>
      <c r="RAP118" s="577"/>
      <c r="RAQ118" s="304"/>
      <c r="RAR118" s="572"/>
      <c r="RAS118" s="573"/>
      <c r="RAT118" s="574"/>
      <c r="RAU118" s="575"/>
      <c r="RAV118" s="583"/>
      <c r="RAW118" s="590"/>
      <c r="RAX118" s="589"/>
      <c r="RAY118" s="585"/>
      <c r="RAZ118" s="577"/>
      <c r="RBA118" s="304"/>
      <c r="RBB118" s="572"/>
      <c r="RBC118" s="573"/>
      <c r="RBD118" s="574"/>
      <c r="RBE118" s="575"/>
      <c r="RBF118" s="583"/>
      <c r="RBG118" s="590"/>
      <c r="RBH118" s="589"/>
      <c r="RBI118" s="585"/>
      <c r="RBJ118" s="577"/>
      <c r="RBK118" s="304"/>
      <c r="RBL118" s="572"/>
      <c r="RBM118" s="573"/>
      <c r="RBN118" s="574"/>
      <c r="RBO118" s="575"/>
      <c r="RBP118" s="583"/>
      <c r="RBQ118" s="590"/>
      <c r="RBR118" s="589"/>
      <c r="RBS118" s="585"/>
      <c r="RBT118" s="577"/>
      <c r="RBU118" s="304"/>
      <c r="RBV118" s="572"/>
      <c r="RBW118" s="573"/>
      <c r="RBX118" s="574"/>
      <c r="RBY118" s="575"/>
      <c r="RBZ118" s="583"/>
      <c r="RCA118" s="590"/>
      <c r="RCB118" s="589"/>
      <c r="RCC118" s="585"/>
      <c r="RCD118" s="577"/>
      <c r="RCE118" s="304"/>
      <c r="RCF118" s="572"/>
      <c r="RCG118" s="573"/>
      <c r="RCH118" s="574"/>
      <c r="RCI118" s="575"/>
      <c r="RCJ118" s="583"/>
      <c r="RCK118" s="590"/>
      <c r="RCL118" s="589"/>
      <c r="RCM118" s="585"/>
      <c r="RCN118" s="577"/>
      <c r="RCO118" s="304"/>
      <c r="RCP118" s="572"/>
      <c r="RCQ118" s="573"/>
      <c r="RCR118" s="574"/>
      <c r="RCS118" s="575"/>
      <c r="RCT118" s="583"/>
      <c r="RCU118" s="590"/>
      <c r="RCV118" s="589"/>
      <c r="RCW118" s="585"/>
      <c r="RCX118" s="577"/>
      <c r="RCY118" s="304"/>
      <c r="RCZ118" s="572"/>
      <c r="RDA118" s="573"/>
      <c r="RDB118" s="574"/>
      <c r="RDC118" s="575"/>
      <c r="RDD118" s="583"/>
      <c r="RDE118" s="590"/>
      <c r="RDF118" s="589"/>
      <c r="RDG118" s="585"/>
      <c r="RDH118" s="577"/>
      <c r="RDI118" s="304"/>
      <c r="RDJ118" s="572"/>
      <c r="RDK118" s="573"/>
      <c r="RDL118" s="574"/>
      <c r="RDM118" s="575"/>
      <c r="RDN118" s="583"/>
      <c r="RDO118" s="590"/>
      <c r="RDP118" s="589"/>
      <c r="RDQ118" s="585"/>
      <c r="RDR118" s="577"/>
      <c r="RDS118" s="304"/>
      <c r="RDT118" s="572"/>
      <c r="RDU118" s="573"/>
      <c r="RDV118" s="574"/>
      <c r="RDW118" s="575"/>
      <c r="RDX118" s="583"/>
      <c r="RDY118" s="590"/>
      <c r="RDZ118" s="589"/>
      <c r="REA118" s="585"/>
      <c r="REB118" s="577"/>
      <c r="REC118" s="304"/>
      <c r="RED118" s="572"/>
      <c r="REE118" s="573"/>
      <c r="REF118" s="574"/>
      <c r="REG118" s="575"/>
      <c r="REH118" s="583"/>
      <c r="REI118" s="590"/>
      <c r="REJ118" s="589"/>
      <c r="REK118" s="585"/>
      <c r="REL118" s="577"/>
      <c r="REM118" s="304"/>
      <c r="REN118" s="572"/>
      <c r="REO118" s="573"/>
      <c r="REP118" s="574"/>
      <c r="REQ118" s="575"/>
      <c r="RER118" s="583"/>
      <c r="RES118" s="590"/>
      <c r="RET118" s="589"/>
      <c r="REU118" s="585"/>
      <c r="REV118" s="577"/>
      <c r="REW118" s="304"/>
      <c r="REX118" s="572"/>
      <c r="REY118" s="573"/>
      <c r="REZ118" s="574"/>
      <c r="RFA118" s="575"/>
      <c r="RFB118" s="583"/>
      <c r="RFC118" s="590"/>
      <c r="RFD118" s="589"/>
      <c r="RFE118" s="585"/>
      <c r="RFF118" s="577"/>
      <c r="RFG118" s="304"/>
      <c r="RFH118" s="572"/>
      <c r="RFI118" s="573"/>
      <c r="RFJ118" s="574"/>
      <c r="RFK118" s="575"/>
      <c r="RFL118" s="583"/>
      <c r="RFM118" s="590"/>
      <c r="RFN118" s="589"/>
      <c r="RFO118" s="585"/>
      <c r="RFP118" s="577"/>
      <c r="RFQ118" s="304"/>
      <c r="RFR118" s="572"/>
      <c r="RFS118" s="573"/>
      <c r="RFT118" s="574"/>
      <c r="RFU118" s="575"/>
      <c r="RFV118" s="583"/>
      <c r="RFW118" s="590"/>
      <c r="RFX118" s="589"/>
      <c r="RFY118" s="585"/>
      <c r="RFZ118" s="577"/>
      <c r="RGA118" s="304"/>
      <c r="RGB118" s="572"/>
      <c r="RGC118" s="573"/>
      <c r="RGD118" s="574"/>
      <c r="RGE118" s="575"/>
      <c r="RGF118" s="583"/>
      <c r="RGG118" s="590"/>
      <c r="RGH118" s="589"/>
      <c r="RGI118" s="585"/>
      <c r="RGJ118" s="577"/>
      <c r="RGK118" s="304"/>
      <c r="RGL118" s="572"/>
      <c r="RGM118" s="573"/>
      <c r="RGN118" s="574"/>
      <c r="RGO118" s="575"/>
      <c r="RGP118" s="583"/>
      <c r="RGQ118" s="590"/>
      <c r="RGR118" s="589"/>
      <c r="RGS118" s="585"/>
      <c r="RGT118" s="577"/>
      <c r="RGU118" s="304"/>
      <c r="RGV118" s="572"/>
      <c r="RGW118" s="573"/>
      <c r="RGX118" s="574"/>
      <c r="RGY118" s="575"/>
      <c r="RGZ118" s="583"/>
      <c r="RHA118" s="590"/>
      <c r="RHB118" s="589"/>
      <c r="RHC118" s="585"/>
      <c r="RHD118" s="577"/>
      <c r="RHE118" s="304"/>
      <c r="RHF118" s="572"/>
      <c r="RHG118" s="573"/>
      <c r="RHH118" s="574"/>
      <c r="RHI118" s="575"/>
      <c r="RHJ118" s="583"/>
      <c r="RHK118" s="590"/>
      <c r="RHL118" s="589"/>
      <c r="RHM118" s="585"/>
      <c r="RHN118" s="577"/>
      <c r="RHO118" s="304"/>
      <c r="RHP118" s="572"/>
      <c r="RHQ118" s="573"/>
      <c r="RHR118" s="574"/>
      <c r="RHS118" s="575"/>
      <c r="RHT118" s="583"/>
      <c r="RHU118" s="590"/>
      <c r="RHV118" s="589"/>
      <c r="RHW118" s="585"/>
      <c r="RHX118" s="577"/>
      <c r="RHY118" s="304"/>
      <c r="RHZ118" s="572"/>
      <c r="RIA118" s="573"/>
      <c r="RIB118" s="574"/>
      <c r="RIC118" s="575"/>
      <c r="RID118" s="583"/>
      <c r="RIE118" s="590"/>
      <c r="RIF118" s="589"/>
      <c r="RIG118" s="585"/>
      <c r="RIH118" s="577"/>
      <c r="RII118" s="304"/>
      <c r="RIJ118" s="572"/>
      <c r="RIK118" s="573"/>
      <c r="RIL118" s="574"/>
      <c r="RIM118" s="575"/>
      <c r="RIN118" s="583"/>
      <c r="RIO118" s="590"/>
      <c r="RIP118" s="589"/>
      <c r="RIQ118" s="585"/>
      <c r="RIR118" s="577"/>
      <c r="RIS118" s="304"/>
      <c r="RIT118" s="572"/>
      <c r="RIU118" s="573"/>
      <c r="RIV118" s="574"/>
      <c r="RIW118" s="575"/>
      <c r="RIX118" s="583"/>
      <c r="RIY118" s="590"/>
      <c r="RIZ118" s="589"/>
      <c r="RJA118" s="585"/>
      <c r="RJB118" s="577"/>
      <c r="RJC118" s="304"/>
      <c r="RJD118" s="572"/>
      <c r="RJE118" s="573"/>
      <c r="RJF118" s="574"/>
      <c r="RJG118" s="575"/>
      <c r="RJH118" s="583"/>
      <c r="RJI118" s="590"/>
      <c r="RJJ118" s="589"/>
      <c r="RJK118" s="585"/>
      <c r="RJL118" s="577"/>
      <c r="RJM118" s="304"/>
      <c r="RJN118" s="572"/>
      <c r="RJO118" s="573"/>
      <c r="RJP118" s="574"/>
      <c r="RJQ118" s="575"/>
      <c r="RJR118" s="583"/>
      <c r="RJS118" s="590"/>
      <c r="RJT118" s="589"/>
      <c r="RJU118" s="585"/>
      <c r="RJV118" s="577"/>
      <c r="RJW118" s="304"/>
      <c r="RJX118" s="572"/>
      <c r="RJY118" s="573"/>
      <c r="RJZ118" s="574"/>
      <c r="RKA118" s="575"/>
      <c r="RKB118" s="583"/>
      <c r="RKC118" s="590"/>
      <c r="RKD118" s="589"/>
      <c r="RKE118" s="585"/>
      <c r="RKF118" s="577"/>
      <c r="RKG118" s="304"/>
      <c r="RKH118" s="572"/>
      <c r="RKI118" s="573"/>
      <c r="RKJ118" s="574"/>
      <c r="RKK118" s="575"/>
      <c r="RKL118" s="583"/>
      <c r="RKM118" s="590"/>
      <c r="RKN118" s="589"/>
      <c r="RKO118" s="585"/>
      <c r="RKP118" s="577"/>
      <c r="RKQ118" s="304"/>
      <c r="RKR118" s="572"/>
      <c r="RKS118" s="573"/>
      <c r="RKT118" s="574"/>
      <c r="RKU118" s="575"/>
      <c r="RKV118" s="583"/>
      <c r="RKW118" s="590"/>
      <c r="RKX118" s="589"/>
      <c r="RKY118" s="585"/>
      <c r="RKZ118" s="577"/>
      <c r="RLA118" s="304"/>
      <c r="RLB118" s="572"/>
      <c r="RLC118" s="573"/>
      <c r="RLD118" s="574"/>
      <c r="RLE118" s="575"/>
      <c r="RLF118" s="583"/>
      <c r="RLG118" s="590"/>
      <c r="RLH118" s="589"/>
      <c r="RLI118" s="585"/>
      <c r="RLJ118" s="577"/>
      <c r="RLK118" s="304"/>
      <c r="RLL118" s="572"/>
      <c r="RLM118" s="573"/>
      <c r="RLN118" s="574"/>
      <c r="RLO118" s="575"/>
      <c r="RLP118" s="583"/>
      <c r="RLQ118" s="590"/>
      <c r="RLR118" s="589"/>
      <c r="RLS118" s="585"/>
      <c r="RLT118" s="577"/>
      <c r="RLU118" s="304"/>
      <c r="RLV118" s="572"/>
      <c r="RLW118" s="573"/>
      <c r="RLX118" s="574"/>
      <c r="RLY118" s="575"/>
      <c r="RLZ118" s="583"/>
      <c r="RMA118" s="590"/>
      <c r="RMB118" s="589"/>
      <c r="RMC118" s="585"/>
      <c r="RMD118" s="577"/>
      <c r="RME118" s="304"/>
      <c r="RMF118" s="572"/>
      <c r="RMG118" s="573"/>
      <c r="RMH118" s="574"/>
      <c r="RMI118" s="575"/>
      <c r="RMJ118" s="583"/>
      <c r="RMK118" s="590"/>
      <c r="RML118" s="589"/>
      <c r="RMM118" s="585"/>
      <c r="RMN118" s="577"/>
      <c r="RMO118" s="304"/>
      <c r="RMP118" s="572"/>
      <c r="RMQ118" s="573"/>
      <c r="RMR118" s="574"/>
      <c r="RMS118" s="575"/>
      <c r="RMT118" s="583"/>
      <c r="RMU118" s="590"/>
      <c r="RMV118" s="589"/>
      <c r="RMW118" s="585"/>
      <c r="RMX118" s="577"/>
      <c r="RMY118" s="304"/>
      <c r="RMZ118" s="572"/>
      <c r="RNA118" s="573"/>
      <c r="RNB118" s="574"/>
      <c r="RNC118" s="575"/>
      <c r="RND118" s="583"/>
      <c r="RNE118" s="590"/>
      <c r="RNF118" s="589"/>
      <c r="RNG118" s="585"/>
      <c r="RNH118" s="577"/>
      <c r="RNI118" s="304"/>
      <c r="RNJ118" s="572"/>
      <c r="RNK118" s="573"/>
      <c r="RNL118" s="574"/>
      <c r="RNM118" s="575"/>
      <c r="RNN118" s="583"/>
      <c r="RNO118" s="590"/>
      <c r="RNP118" s="589"/>
      <c r="RNQ118" s="585"/>
      <c r="RNR118" s="577"/>
      <c r="RNS118" s="304"/>
      <c r="RNT118" s="572"/>
      <c r="RNU118" s="573"/>
      <c r="RNV118" s="574"/>
      <c r="RNW118" s="575"/>
      <c r="RNX118" s="583"/>
      <c r="RNY118" s="590"/>
      <c r="RNZ118" s="589"/>
      <c r="ROA118" s="585"/>
      <c r="ROB118" s="577"/>
      <c r="ROC118" s="304"/>
      <c r="ROD118" s="572"/>
      <c r="ROE118" s="573"/>
      <c r="ROF118" s="574"/>
      <c r="ROG118" s="575"/>
      <c r="ROH118" s="583"/>
      <c r="ROI118" s="590"/>
      <c r="ROJ118" s="589"/>
      <c r="ROK118" s="585"/>
      <c r="ROL118" s="577"/>
      <c r="ROM118" s="304"/>
      <c r="RON118" s="572"/>
      <c r="ROO118" s="573"/>
      <c r="ROP118" s="574"/>
      <c r="ROQ118" s="575"/>
      <c r="ROR118" s="583"/>
      <c r="ROS118" s="590"/>
      <c r="ROT118" s="589"/>
      <c r="ROU118" s="585"/>
      <c r="ROV118" s="577"/>
      <c r="ROW118" s="304"/>
      <c r="ROX118" s="572"/>
      <c r="ROY118" s="573"/>
      <c r="ROZ118" s="574"/>
      <c r="RPA118" s="575"/>
      <c r="RPB118" s="583"/>
      <c r="RPC118" s="590"/>
      <c r="RPD118" s="589"/>
      <c r="RPE118" s="585"/>
      <c r="RPF118" s="577"/>
      <c r="RPG118" s="304"/>
      <c r="RPH118" s="572"/>
      <c r="RPI118" s="573"/>
      <c r="RPJ118" s="574"/>
      <c r="RPK118" s="575"/>
      <c r="RPL118" s="583"/>
      <c r="RPM118" s="590"/>
      <c r="RPN118" s="589"/>
      <c r="RPO118" s="585"/>
      <c r="RPP118" s="577"/>
      <c r="RPQ118" s="304"/>
      <c r="RPR118" s="572"/>
      <c r="RPS118" s="573"/>
      <c r="RPT118" s="574"/>
      <c r="RPU118" s="575"/>
      <c r="RPV118" s="583"/>
      <c r="RPW118" s="590"/>
      <c r="RPX118" s="589"/>
      <c r="RPY118" s="585"/>
      <c r="RPZ118" s="577"/>
      <c r="RQA118" s="304"/>
      <c r="RQB118" s="572"/>
      <c r="RQC118" s="573"/>
      <c r="RQD118" s="574"/>
      <c r="RQE118" s="575"/>
      <c r="RQF118" s="583"/>
      <c r="RQG118" s="590"/>
      <c r="RQH118" s="589"/>
      <c r="RQI118" s="585"/>
      <c r="RQJ118" s="577"/>
      <c r="RQK118" s="304"/>
      <c r="RQL118" s="572"/>
      <c r="RQM118" s="573"/>
      <c r="RQN118" s="574"/>
      <c r="RQO118" s="575"/>
      <c r="RQP118" s="583"/>
      <c r="RQQ118" s="590"/>
      <c r="RQR118" s="589"/>
      <c r="RQS118" s="585"/>
      <c r="RQT118" s="577"/>
      <c r="RQU118" s="304"/>
      <c r="RQV118" s="572"/>
      <c r="RQW118" s="573"/>
      <c r="RQX118" s="574"/>
      <c r="RQY118" s="575"/>
      <c r="RQZ118" s="583"/>
      <c r="RRA118" s="590"/>
      <c r="RRB118" s="589"/>
      <c r="RRC118" s="585"/>
      <c r="RRD118" s="577"/>
      <c r="RRE118" s="304"/>
      <c r="RRF118" s="572"/>
      <c r="RRG118" s="573"/>
      <c r="RRH118" s="574"/>
      <c r="RRI118" s="575"/>
      <c r="RRJ118" s="583"/>
      <c r="RRK118" s="590"/>
      <c r="RRL118" s="589"/>
      <c r="RRM118" s="585"/>
      <c r="RRN118" s="577"/>
      <c r="RRO118" s="304"/>
      <c r="RRP118" s="572"/>
      <c r="RRQ118" s="573"/>
      <c r="RRR118" s="574"/>
      <c r="RRS118" s="575"/>
      <c r="RRT118" s="583"/>
      <c r="RRU118" s="590"/>
      <c r="RRV118" s="589"/>
      <c r="RRW118" s="585"/>
      <c r="RRX118" s="577"/>
      <c r="RRY118" s="304"/>
      <c r="RRZ118" s="572"/>
      <c r="RSA118" s="573"/>
      <c r="RSB118" s="574"/>
      <c r="RSC118" s="575"/>
      <c r="RSD118" s="583"/>
      <c r="RSE118" s="590"/>
      <c r="RSF118" s="589"/>
      <c r="RSG118" s="585"/>
      <c r="RSH118" s="577"/>
      <c r="RSI118" s="304"/>
      <c r="RSJ118" s="572"/>
      <c r="RSK118" s="573"/>
      <c r="RSL118" s="574"/>
      <c r="RSM118" s="575"/>
      <c r="RSN118" s="583"/>
      <c r="RSO118" s="590"/>
      <c r="RSP118" s="589"/>
      <c r="RSQ118" s="585"/>
      <c r="RSR118" s="577"/>
      <c r="RSS118" s="304"/>
      <c r="RST118" s="572"/>
      <c r="RSU118" s="573"/>
      <c r="RSV118" s="574"/>
      <c r="RSW118" s="575"/>
      <c r="RSX118" s="583"/>
      <c r="RSY118" s="590"/>
      <c r="RSZ118" s="589"/>
      <c r="RTA118" s="585"/>
      <c r="RTB118" s="577"/>
      <c r="RTC118" s="304"/>
      <c r="RTD118" s="572"/>
      <c r="RTE118" s="573"/>
      <c r="RTF118" s="574"/>
      <c r="RTG118" s="575"/>
      <c r="RTH118" s="583"/>
      <c r="RTI118" s="590"/>
      <c r="RTJ118" s="589"/>
      <c r="RTK118" s="585"/>
      <c r="RTL118" s="577"/>
      <c r="RTM118" s="304"/>
      <c r="RTN118" s="572"/>
      <c r="RTO118" s="573"/>
      <c r="RTP118" s="574"/>
      <c r="RTQ118" s="575"/>
      <c r="RTR118" s="583"/>
      <c r="RTS118" s="590"/>
      <c r="RTT118" s="589"/>
      <c r="RTU118" s="585"/>
      <c r="RTV118" s="577"/>
      <c r="RTW118" s="304"/>
      <c r="RTX118" s="572"/>
      <c r="RTY118" s="573"/>
      <c r="RTZ118" s="574"/>
      <c r="RUA118" s="575"/>
      <c r="RUB118" s="583"/>
      <c r="RUC118" s="590"/>
      <c r="RUD118" s="589"/>
      <c r="RUE118" s="585"/>
      <c r="RUF118" s="577"/>
      <c r="RUG118" s="304"/>
      <c r="RUH118" s="572"/>
      <c r="RUI118" s="573"/>
      <c r="RUJ118" s="574"/>
      <c r="RUK118" s="575"/>
      <c r="RUL118" s="583"/>
      <c r="RUM118" s="590"/>
      <c r="RUN118" s="589"/>
      <c r="RUO118" s="585"/>
      <c r="RUP118" s="577"/>
      <c r="RUQ118" s="304"/>
      <c r="RUR118" s="572"/>
      <c r="RUS118" s="573"/>
      <c r="RUT118" s="574"/>
      <c r="RUU118" s="575"/>
      <c r="RUV118" s="583"/>
      <c r="RUW118" s="590"/>
      <c r="RUX118" s="589"/>
      <c r="RUY118" s="585"/>
      <c r="RUZ118" s="577"/>
      <c r="RVA118" s="304"/>
      <c r="RVB118" s="572"/>
      <c r="RVC118" s="573"/>
      <c r="RVD118" s="574"/>
      <c r="RVE118" s="575"/>
      <c r="RVF118" s="583"/>
      <c r="RVG118" s="590"/>
      <c r="RVH118" s="589"/>
      <c r="RVI118" s="585"/>
      <c r="RVJ118" s="577"/>
      <c r="RVK118" s="304"/>
      <c r="RVL118" s="572"/>
      <c r="RVM118" s="573"/>
      <c r="RVN118" s="574"/>
      <c r="RVO118" s="575"/>
      <c r="RVP118" s="583"/>
      <c r="RVQ118" s="590"/>
      <c r="RVR118" s="589"/>
      <c r="RVS118" s="585"/>
      <c r="RVT118" s="577"/>
      <c r="RVU118" s="304"/>
      <c r="RVV118" s="572"/>
      <c r="RVW118" s="573"/>
      <c r="RVX118" s="574"/>
      <c r="RVY118" s="575"/>
      <c r="RVZ118" s="583"/>
      <c r="RWA118" s="590"/>
      <c r="RWB118" s="589"/>
      <c r="RWC118" s="585"/>
      <c r="RWD118" s="577"/>
      <c r="RWE118" s="304"/>
      <c r="RWF118" s="572"/>
      <c r="RWG118" s="573"/>
      <c r="RWH118" s="574"/>
      <c r="RWI118" s="575"/>
      <c r="RWJ118" s="583"/>
      <c r="RWK118" s="590"/>
      <c r="RWL118" s="589"/>
      <c r="RWM118" s="585"/>
      <c r="RWN118" s="577"/>
      <c r="RWO118" s="304"/>
      <c r="RWP118" s="572"/>
      <c r="RWQ118" s="573"/>
      <c r="RWR118" s="574"/>
      <c r="RWS118" s="575"/>
      <c r="RWT118" s="583"/>
      <c r="RWU118" s="590"/>
      <c r="RWV118" s="589"/>
      <c r="RWW118" s="585"/>
      <c r="RWX118" s="577"/>
      <c r="RWY118" s="304"/>
      <c r="RWZ118" s="572"/>
      <c r="RXA118" s="573"/>
      <c r="RXB118" s="574"/>
      <c r="RXC118" s="575"/>
      <c r="RXD118" s="583"/>
      <c r="RXE118" s="590"/>
      <c r="RXF118" s="589"/>
      <c r="RXG118" s="585"/>
      <c r="RXH118" s="577"/>
      <c r="RXI118" s="304"/>
      <c r="RXJ118" s="572"/>
      <c r="RXK118" s="573"/>
      <c r="RXL118" s="574"/>
      <c r="RXM118" s="575"/>
      <c r="RXN118" s="583"/>
      <c r="RXO118" s="590"/>
      <c r="RXP118" s="589"/>
      <c r="RXQ118" s="585"/>
      <c r="RXR118" s="577"/>
      <c r="RXS118" s="304"/>
      <c r="RXT118" s="572"/>
      <c r="RXU118" s="573"/>
      <c r="RXV118" s="574"/>
      <c r="RXW118" s="575"/>
      <c r="RXX118" s="583"/>
      <c r="RXY118" s="590"/>
      <c r="RXZ118" s="589"/>
      <c r="RYA118" s="585"/>
      <c r="RYB118" s="577"/>
      <c r="RYC118" s="304"/>
      <c r="RYD118" s="572"/>
      <c r="RYE118" s="573"/>
      <c r="RYF118" s="574"/>
      <c r="RYG118" s="575"/>
      <c r="RYH118" s="583"/>
      <c r="RYI118" s="590"/>
      <c r="RYJ118" s="589"/>
      <c r="RYK118" s="585"/>
      <c r="RYL118" s="577"/>
      <c r="RYM118" s="304"/>
      <c r="RYN118" s="572"/>
      <c r="RYO118" s="573"/>
      <c r="RYP118" s="574"/>
      <c r="RYQ118" s="575"/>
      <c r="RYR118" s="583"/>
      <c r="RYS118" s="590"/>
      <c r="RYT118" s="589"/>
      <c r="RYU118" s="585"/>
      <c r="RYV118" s="577"/>
      <c r="RYW118" s="304"/>
      <c r="RYX118" s="572"/>
      <c r="RYY118" s="573"/>
      <c r="RYZ118" s="574"/>
      <c r="RZA118" s="575"/>
      <c r="RZB118" s="583"/>
      <c r="RZC118" s="590"/>
      <c r="RZD118" s="589"/>
      <c r="RZE118" s="585"/>
      <c r="RZF118" s="577"/>
      <c r="RZG118" s="304"/>
      <c r="RZH118" s="572"/>
      <c r="RZI118" s="573"/>
      <c r="RZJ118" s="574"/>
      <c r="RZK118" s="575"/>
      <c r="RZL118" s="583"/>
      <c r="RZM118" s="590"/>
      <c r="RZN118" s="589"/>
      <c r="RZO118" s="585"/>
      <c r="RZP118" s="577"/>
      <c r="RZQ118" s="304"/>
      <c r="RZR118" s="572"/>
      <c r="RZS118" s="573"/>
      <c r="RZT118" s="574"/>
      <c r="RZU118" s="575"/>
      <c r="RZV118" s="583"/>
      <c r="RZW118" s="590"/>
      <c r="RZX118" s="589"/>
      <c r="RZY118" s="585"/>
      <c r="RZZ118" s="577"/>
      <c r="SAA118" s="304"/>
      <c r="SAB118" s="572"/>
      <c r="SAC118" s="573"/>
      <c r="SAD118" s="574"/>
      <c r="SAE118" s="575"/>
      <c r="SAF118" s="583"/>
      <c r="SAG118" s="590"/>
      <c r="SAH118" s="589"/>
      <c r="SAI118" s="585"/>
      <c r="SAJ118" s="577"/>
      <c r="SAK118" s="304"/>
      <c r="SAL118" s="572"/>
      <c r="SAM118" s="573"/>
      <c r="SAN118" s="574"/>
      <c r="SAO118" s="575"/>
      <c r="SAP118" s="583"/>
      <c r="SAQ118" s="590"/>
      <c r="SAR118" s="589"/>
      <c r="SAS118" s="585"/>
      <c r="SAT118" s="577"/>
      <c r="SAU118" s="304"/>
      <c r="SAV118" s="572"/>
      <c r="SAW118" s="573"/>
      <c r="SAX118" s="574"/>
      <c r="SAY118" s="575"/>
      <c r="SAZ118" s="583"/>
      <c r="SBA118" s="590"/>
      <c r="SBB118" s="589"/>
      <c r="SBC118" s="585"/>
      <c r="SBD118" s="577"/>
      <c r="SBE118" s="304"/>
      <c r="SBF118" s="572"/>
      <c r="SBG118" s="573"/>
      <c r="SBH118" s="574"/>
      <c r="SBI118" s="575"/>
      <c r="SBJ118" s="583"/>
      <c r="SBK118" s="590"/>
      <c r="SBL118" s="589"/>
      <c r="SBM118" s="585"/>
      <c r="SBN118" s="577"/>
      <c r="SBO118" s="304"/>
      <c r="SBP118" s="572"/>
      <c r="SBQ118" s="573"/>
      <c r="SBR118" s="574"/>
      <c r="SBS118" s="575"/>
      <c r="SBT118" s="583"/>
      <c r="SBU118" s="590"/>
      <c r="SBV118" s="589"/>
      <c r="SBW118" s="585"/>
      <c r="SBX118" s="577"/>
      <c r="SBY118" s="304"/>
      <c r="SBZ118" s="572"/>
      <c r="SCA118" s="573"/>
      <c r="SCB118" s="574"/>
      <c r="SCC118" s="575"/>
      <c r="SCD118" s="583"/>
      <c r="SCE118" s="590"/>
      <c r="SCF118" s="589"/>
      <c r="SCG118" s="585"/>
      <c r="SCH118" s="577"/>
      <c r="SCI118" s="304"/>
      <c r="SCJ118" s="572"/>
      <c r="SCK118" s="573"/>
      <c r="SCL118" s="574"/>
      <c r="SCM118" s="575"/>
      <c r="SCN118" s="583"/>
      <c r="SCO118" s="590"/>
      <c r="SCP118" s="589"/>
      <c r="SCQ118" s="585"/>
      <c r="SCR118" s="577"/>
      <c r="SCS118" s="304"/>
      <c r="SCT118" s="572"/>
      <c r="SCU118" s="573"/>
      <c r="SCV118" s="574"/>
      <c r="SCW118" s="575"/>
      <c r="SCX118" s="583"/>
      <c r="SCY118" s="590"/>
      <c r="SCZ118" s="589"/>
      <c r="SDA118" s="585"/>
      <c r="SDB118" s="577"/>
      <c r="SDC118" s="304"/>
      <c r="SDD118" s="572"/>
      <c r="SDE118" s="573"/>
      <c r="SDF118" s="574"/>
      <c r="SDG118" s="575"/>
      <c r="SDH118" s="583"/>
      <c r="SDI118" s="590"/>
      <c r="SDJ118" s="589"/>
      <c r="SDK118" s="585"/>
      <c r="SDL118" s="577"/>
      <c r="SDM118" s="304"/>
      <c r="SDN118" s="572"/>
      <c r="SDO118" s="573"/>
      <c r="SDP118" s="574"/>
      <c r="SDQ118" s="575"/>
      <c r="SDR118" s="583"/>
      <c r="SDS118" s="590"/>
      <c r="SDT118" s="589"/>
      <c r="SDU118" s="585"/>
      <c r="SDV118" s="577"/>
      <c r="SDW118" s="304"/>
      <c r="SDX118" s="572"/>
      <c r="SDY118" s="573"/>
      <c r="SDZ118" s="574"/>
      <c r="SEA118" s="575"/>
      <c r="SEB118" s="583"/>
      <c r="SEC118" s="590"/>
      <c r="SED118" s="589"/>
      <c r="SEE118" s="585"/>
      <c r="SEF118" s="577"/>
      <c r="SEG118" s="304"/>
      <c r="SEH118" s="572"/>
      <c r="SEI118" s="573"/>
      <c r="SEJ118" s="574"/>
      <c r="SEK118" s="575"/>
      <c r="SEL118" s="583"/>
      <c r="SEM118" s="590"/>
      <c r="SEN118" s="589"/>
      <c r="SEO118" s="585"/>
      <c r="SEP118" s="577"/>
      <c r="SEQ118" s="304"/>
      <c r="SER118" s="572"/>
      <c r="SES118" s="573"/>
      <c r="SET118" s="574"/>
      <c r="SEU118" s="575"/>
      <c r="SEV118" s="583"/>
      <c r="SEW118" s="590"/>
      <c r="SEX118" s="589"/>
      <c r="SEY118" s="585"/>
      <c r="SEZ118" s="577"/>
      <c r="SFA118" s="304"/>
      <c r="SFB118" s="572"/>
      <c r="SFC118" s="573"/>
      <c r="SFD118" s="574"/>
      <c r="SFE118" s="575"/>
      <c r="SFF118" s="583"/>
      <c r="SFG118" s="590"/>
      <c r="SFH118" s="589"/>
      <c r="SFI118" s="585"/>
      <c r="SFJ118" s="577"/>
      <c r="SFK118" s="304"/>
      <c r="SFL118" s="572"/>
      <c r="SFM118" s="573"/>
      <c r="SFN118" s="574"/>
      <c r="SFO118" s="575"/>
      <c r="SFP118" s="583"/>
      <c r="SFQ118" s="590"/>
      <c r="SFR118" s="589"/>
      <c r="SFS118" s="585"/>
      <c r="SFT118" s="577"/>
      <c r="SFU118" s="304"/>
      <c r="SFV118" s="572"/>
      <c r="SFW118" s="573"/>
      <c r="SFX118" s="574"/>
      <c r="SFY118" s="575"/>
      <c r="SFZ118" s="583"/>
      <c r="SGA118" s="590"/>
      <c r="SGB118" s="589"/>
      <c r="SGC118" s="585"/>
      <c r="SGD118" s="577"/>
      <c r="SGE118" s="304"/>
      <c r="SGF118" s="572"/>
      <c r="SGG118" s="573"/>
      <c r="SGH118" s="574"/>
      <c r="SGI118" s="575"/>
      <c r="SGJ118" s="583"/>
      <c r="SGK118" s="590"/>
      <c r="SGL118" s="589"/>
      <c r="SGM118" s="585"/>
      <c r="SGN118" s="577"/>
      <c r="SGO118" s="304"/>
      <c r="SGP118" s="572"/>
      <c r="SGQ118" s="573"/>
      <c r="SGR118" s="574"/>
      <c r="SGS118" s="575"/>
      <c r="SGT118" s="583"/>
      <c r="SGU118" s="590"/>
      <c r="SGV118" s="589"/>
      <c r="SGW118" s="585"/>
      <c r="SGX118" s="577"/>
      <c r="SGY118" s="304"/>
      <c r="SGZ118" s="572"/>
      <c r="SHA118" s="573"/>
      <c r="SHB118" s="574"/>
      <c r="SHC118" s="575"/>
      <c r="SHD118" s="583"/>
      <c r="SHE118" s="590"/>
      <c r="SHF118" s="589"/>
      <c r="SHG118" s="585"/>
      <c r="SHH118" s="577"/>
      <c r="SHI118" s="304"/>
      <c r="SHJ118" s="572"/>
      <c r="SHK118" s="573"/>
      <c r="SHL118" s="574"/>
      <c r="SHM118" s="575"/>
      <c r="SHN118" s="583"/>
      <c r="SHO118" s="590"/>
      <c r="SHP118" s="589"/>
      <c r="SHQ118" s="585"/>
      <c r="SHR118" s="577"/>
      <c r="SHS118" s="304"/>
      <c r="SHT118" s="572"/>
      <c r="SHU118" s="573"/>
      <c r="SHV118" s="574"/>
      <c r="SHW118" s="575"/>
      <c r="SHX118" s="583"/>
      <c r="SHY118" s="590"/>
      <c r="SHZ118" s="589"/>
      <c r="SIA118" s="585"/>
      <c r="SIB118" s="577"/>
      <c r="SIC118" s="304"/>
      <c r="SID118" s="572"/>
      <c r="SIE118" s="573"/>
      <c r="SIF118" s="574"/>
      <c r="SIG118" s="575"/>
      <c r="SIH118" s="583"/>
      <c r="SII118" s="590"/>
      <c r="SIJ118" s="589"/>
      <c r="SIK118" s="585"/>
      <c r="SIL118" s="577"/>
      <c r="SIM118" s="304"/>
      <c r="SIN118" s="572"/>
      <c r="SIO118" s="573"/>
      <c r="SIP118" s="574"/>
      <c r="SIQ118" s="575"/>
      <c r="SIR118" s="583"/>
      <c r="SIS118" s="590"/>
      <c r="SIT118" s="589"/>
      <c r="SIU118" s="585"/>
      <c r="SIV118" s="577"/>
      <c r="SIW118" s="304"/>
      <c r="SIX118" s="572"/>
      <c r="SIY118" s="573"/>
      <c r="SIZ118" s="574"/>
      <c r="SJA118" s="575"/>
      <c r="SJB118" s="583"/>
      <c r="SJC118" s="590"/>
      <c r="SJD118" s="589"/>
      <c r="SJE118" s="585"/>
      <c r="SJF118" s="577"/>
      <c r="SJG118" s="304"/>
      <c r="SJH118" s="572"/>
      <c r="SJI118" s="573"/>
      <c r="SJJ118" s="574"/>
      <c r="SJK118" s="575"/>
      <c r="SJL118" s="583"/>
      <c r="SJM118" s="590"/>
      <c r="SJN118" s="589"/>
      <c r="SJO118" s="585"/>
      <c r="SJP118" s="577"/>
      <c r="SJQ118" s="304"/>
      <c r="SJR118" s="572"/>
      <c r="SJS118" s="573"/>
      <c r="SJT118" s="574"/>
      <c r="SJU118" s="575"/>
      <c r="SJV118" s="583"/>
      <c r="SJW118" s="590"/>
      <c r="SJX118" s="589"/>
      <c r="SJY118" s="585"/>
      <c r="SJZ118" s="577"/>
      <c r="SKA118" s="304"/>
      <c r="SKB118" s="572"/>
      <c r="SKC118" s="573"/>
      <c r="SKD118" s="574"/>
      <c r="SKE118" s="575"/>
      <c r="SKF118" s="583"/>
      <c r="SKG118" s="590"/>
      <c r="SKH118" s="589"/>
      <c r="SKI118" s="585"/>
      <c r="SKJ118" s="577"/>
      <c r="SKK118" s="304"/>
      <c r="SKL118" s="572"/>
      <c r="SKM118" s="573"/>
      <c r="SKN118" s="574"/>
      <c r="SKO118" s="575"/>
      <c r="SKP118" s="583"/>
      <c r="SKQ118" s="590"/>
      <c r="SKR118" s="589"/>
      <c r="SKS118" s="585"/>
      <c r="SKT118" s="577"/>
      <c r="SKU118" s="304"/>
      <c r="SKV118" s="572"/>
      <c r="SKW118" s="573"/>
      <c r="SKX118" s="574"/>
      <c r="SKY118" s="575"/>
      <c r="SKZ118" s="583"/>
      <c r="SLA118" s="590"/>
      <c r="SLB118" s="589"/>
      <c r="SLC118" s="585"/>
      <c r="SLD118" s="577"/>
      <c r="SLE118" s="304"/>
      <c r="SLF118" s="572"/>
      <c r="SLG118" s="573"/>
      <c r="SLH118" s="574"/>
      <c r="SLI118" s="575"/>
      <c r="SLJ118" s="583"/>
      <c r="SLK118" s="590"/>
      <c r="SLL118" s="589"/>
      <c r="SLM118" s="585"/>
      <c r="SLN118" s="577"/>
      <c r="SLO118" s="304"/>
      <c r="SLP118" s="572"/>
      <c r="SLQ118" s="573"/>
      <c r="SLR118" s="574"/>
      <c r="SLS118" s="575"/>
      <c r="SLT118" s="583"/>
      <c r="SLU118" s="590"/>
      <c r="SLV118" s="589"/>
      <c r="SLW118" s="585"/>
      <c r="SLX118" s="577"/>
      <c r="SLY118" s="304"/>
      <c r="SLZ118" s="572"/>
      <c r="SMA118" s="573"/>
      <c r="SMB118" s="574"/>
      <c r="SMC118" s="575"/>
      <c r="SMD118" s="583"/>
      <c r="SME118" s="590"/>
      <c r="SMF118" s="589"/>
      <c r="SMG118" s="585"/>
      <c r="SMH118" s="577"/>
      <c r="SMI118" s="304"/>
      <c r="SMJ118" s="572"/>
      <c r="SMK118" s="573"/>
      <c r="SML118" s="574"/>
      <c r="SMM118" s="575"/>
      <c r="SMN118" s="583"/>
      <c r="SMO118" s="590"/>
      <c r="SMP118" s="589"/>
      <c r="SMQ118" s="585"/>
      <c r="SMR118" s="577"/>
      <c r="SMS118" s="304"/>
      <c r="SMT118" s="572"/>
      <c r="SMU118" s="573"/>
      <c r="SMV118" s="574"/>
      <c r="SMW118" s="575"/>
      <c r="SMX118" s="583"/>
      <c r="SMY118" s="590"/>
      <c r="SMZ118" s="589"/>
      <c r="SNA118" s="585"/>
      <c r="SNB118" s="577"/>
      <c r="SNC118" s="304"/>
      <c r="SND118" s="572"/>
      <c r="SNE118" s="573"/>
      <c r="SNF118" s="574"/>
      <c r="SNG118" s="575"/>
      <c r="SNH118" s="583"/>
      <c r="SNI118" s="590"/>
      <c r="SNJ118" s="589"/>
      <c r="SNK118" s="585"/>
      <c r="SNL118" s="577"/>
      <c r="SNM118" s="304"/>
      <c r="SNN118" s="572"/>
      <c r="SNO118" s="573"/>
      <c r="SNP118" s="574"/>
      <c r="SNQ118" s="575"/>
      <c r="SNR118" s="583"/>
      <c r="SNS118" s="590"/>
      <c r="SNT118" s="589"/>
      <c r="SNU118" s="585"/>
      <c r="SNV118" s="577"/>
      <c r="SNW118" s="304"/>
      <c r="SNX118" s="572"/>
      <c r="SNY118" s="573"/>
      <c r="SNZ118" s="574"/>
      <c r="SOA118" s="575"/>
      <c r="SOB118" s="583"/>
      <c r="SOC118" s="590"/>
      <c r="SOD118" s="589"/>
      <c r="SOE118" s="585"/>
      <c r="SOF118" s="577"/>
      <c r="SOG118" s="304"/>
      <c r="SOH118" s="572"/>
      <c r="SOI118" s="573"/>
      <c r="SOJ118" s="574"/>
      <c r="SOK118" s="575"/>
      <c r="SOL118" s="583"/>
      <c r="SOM118" s="590"/>
      <c r="SON118" s="589"/>
      <c r="SOO118" s="585"/>
      <c r="SOP118" s="577"/>
      <c r="SOQ118" s="304"/>
      <c r="SOR118" s="572"/>
      <c r="SOS118" s="573"/>
      <c r="SOT118" s="574"/>
      <c r="SOU118" s="575"/>
      <c r="SOV118" s="583"/>
      <c r="SOW118" s="590"/>
      <c r="SOX118" s="589"/>
      <c r="SOY118" s="585"/>
      <c r="SOZ118" s="577"/>
      <c r="SPA118" s="304"/>
      <c r="SPB118" s="572"/>
      <c r="SPC118" s="573"/>
      <c r="SPD118" s="574"/>
      <c r="SPE118" s="575"/>
      <c r="SPF118" s="583"/>
      <c r="SPG118" s="590"/>
      <c r="SPH118" s="589"/>
      <c r="SPI118" s="585"/>
      <c r="SPJ118" s="577"/>
      <c r="SPK118" s="304"/>
      <c r="SPL118" s="572"/>
      <c r="SPM118" s="573"/>
      <c r="SPN118" s="574"/>
      <c r="SPO118" s="575"/>
      <c r="SPP118" s="583"/>
      <c r="SPQ118" s="590"/>
      <c r="SPR118" s="589"/>
      <c r="SPS118" s="585"/>
      <c r="SPT118" s="577"/>
      <c r="SPU118" s="304"/>
      <c r="SPV118" s="572"/>
      <c r="SPW118" s="573"/>
      <c r="SPX118" s="574"/>
      <c r="SPY118" s="575"/>
      <c r="SPZ118" s="583"/>
      <c r="SQA118" s="590"/>
      <c r="SQB118" s="589"/>
      <c r="SQC118" s="585"/>
      <c r="SQD118" s="577"/>
      <c r="SQE118" s="304"/>
      <c r="SQF118" s="572"/>
      <c r="SQG118" s="573"/>
      <c r="SQH118" s="574"/>
      <c r="SQI118" s="575"/>
      <c r="SQJ118" s="583"/>
      <c r="SQK118" s="590"/>
      <c r="SQL118" s="589"/>
      <c r="SQM118" s="585"/>
      <c r="SQN118" s="577"/>
      <c r="SQO118" s="304"/>
      <c r="SQP118" s="572"/>
      <c r="SQQ118" s="573"/>
      <c r="SQR118" s="574"/>
      <c r="SQS118" s="575"/>
      <c r="SQT118" s="583"/>
      <c r="SQU118" s="590"/>
      <c r="SQV118" s="589"/>
      <c r="SQW118" s="585"/>
      <c r="SQX118" s="577"/>
      <c r="SQY118" s="304"/>
      <c r="SQZ118" s="572"/>
      <c r="SRA118" s="573"/>
      <c r="SRB118" s="574"/>
      <c r="SRC118" s="575"/>
      <c r="SRD118" s="583"/>
      <c r="SRE118" s="590"/>
      <c r="SRF118" s="589"/>
      <c r="SRG118" s="585"/>
      <c r="SRH118" s="577"/>
      <c r="SRI118" s="304"/>
      <c r="SRJ118" s="572"/>
      <c r="SRK118" s="573"/>
      <c r="SRL118" s="574"/>
      <c r="SRM118" s="575"/>
      <c r="SRN118" s="583"/>
      <c r="SRO118" s="590"/>
      <c r="SRP118" s="589"/>
      <c r="SRQ118" s="585"/>
      <c r="SRR118" s="577"/>
      <c r="SRS118" s="304"/>
      <c r="SRT118" s="572"/>
      <c r="SRU118" s="573"/>
      <c r="SRV118" s="574"/>
      <c r="SRW118" s="575"/>
      <c r="SRX118" s="583"/>
      <c r="SRY118" s="590"/>
      <c r="SRZ118" s="589"/>
      <c r="SSA118" s="585"/>
      <c r="SSB118" s="577"/>
      <c r="SSC118" s="304"/>
      <c r="SSD118" s="572"/>
      <c r="SSE118" s="573"/>
      <c r="SSF118" s="574"/>
      <c r="SSG118" s="575"/>
      <c r="SSH118" s="583"/>
      <c r="SSI118" s="590"/>
      <c r="SSJ118" s="589"/>
      <c r="SSK118" s="585"/>
      <c r="SSL118" s="577"/>
      <c r="SSM118" s="304"/>
      <c r="SSN118" s="572"/>
      <c r="SSO118" s="573"/>
      <c r="SSP118" s="574"/>
      <c r="SSQ118" s="575"/>
      <c r="SSR118" s="583"/>
      <c r="SSS118" s="590"/>
      <c r="SST118" s="589"/>
      <c r="SSU118" s="585"/>
      <c r="SSV118" s="577"/>
      <c r="SSW118" s="304"/>
      <c r="SSX118" s="572"/>
      <c r="SSY118" s="573"/>
      <c r="SSZ118" s="574"/>
      <c r="STA118" s="575"/>
      <c r="STB118" s="583"/>
      <c r="STC118" s="590"/>
      <c r="STD118" s="589"/>
      <c r="STE118" s="585"/>
      <c r="STF118" s="577"/>
      <c r="STG118" s="304"/>
      <c r="STH118" s="572"/>
      <c r="STI118" s="573"/>
      <c r="STJ118" s="574"/>
      <c r="STK118" s="575"/>
      <c r="STL118" s="583"/>
      <c r="STM118" s="590"/>
      <c r="STN118" s="589"/>
      <c r="STO118" s="585"/>
      <c r="STP118" s="577"/>
      <c r="STQ118" s="304"/>
      <c r="STR118" s="572"/>
      <c r="STS118" s="573"/>
      <c r="STT118" s="574"/>
      <c r="STU118" s="575"/>
      <c r="STV118" s="583"/>
      <c r="STW118" s="590"/>
      <c r="STX118" s="589"/>
      <c r="STY118" s="585"/>
      <c r="STZ118" s="577"/>
      <c r="SUA118" s="304"/>
      <c r="SUB118" s="572"/>
      <c r="SUC118" s="573"/>
      <c r="SUD118" s="574"/>
      <c r="SUE118" s="575"/>
      <c r="SUF118" s="583"/>
      <c r="SUG118" s="590"/>
      <c r="SUH118" s="589"/>
      <c r="SUI118" s="585"/>
      <c r="SUJ118" s="577"/>
      <c r="SUK118" s="304"/>
      <c r="SUL118" s="572"/>
      <c r="SUM118" s="573"/>
      <c r="SUN118" s="574"/>
      <c r="SUO118" s="575"/>
      <c r="SUP118" s="583"/>
      <c r="SUQ118" s="590"/>
      <c r="SUR118" s="589"/>
      <c r="SUS118" s="585"/>
      <c r="SUT118" s="577"/>
      <c r="SUU118" s="304"/>
      <c r="SUV118" s="572"/>
      <c r="SUW118" s="573"/>
      <c r="SUX118" s="574"/>
      <c r="SUY118" s="575"/>
      <c r="SUZ118" s="583"/>
      <c r="SVA118" s="590"/>
      <c r="SVB118" s="589"/>
      <c r="SVC118" s="585"/>
      <c r="SVD118" s="577"/>
      <c r="SVE118" s="304"/>
      <c r="SVF118" s="572"/>
      <c r="SVG118" s="573"/>
      <c r="SVH118" s="574"/>
      <c r="SVI118" s="575"/>
      <c r="SVJ118" s="583"/>
      <c r="SVK118" s="590"/>
      <c r="SVL118" s="589"/>
      <c r="SVM118" s="585"/>
      <c r="SVN118" s="577"/>
      <c r="SVO118" s="304"/>
      <c r="SVP118" s="572"/>
      <c r="SVQ118" s="573"/>
      <c r="SVR118" s="574"/>
      <c r="SVS118" s="575"/>
      <c r="SVT118" s="583"/>
      <c r="SVU118" s="590"/>
      <c r="SVV118" s="589"/>
      <c r="SVW118" s="585"/>
      <c r="SVX118" s="577"/>
      <c r="SVY118" s="304"/>
      <c r="SVZ118" s="572"/>
      <c r="SWA118" s="573"/>
      <c r="SWB118" s="574"/>
      <c r="SWC118" s="575"/>
      <c r="SWD118" s="583"/>
      <c r="SWE118" s="590"/>
      <c r="SWF118" s="589"/>
      <c r="SWG118" s="585"/>
      <c r="SWH118" s="577"/>
      <c r="SWI118" s="304"/>
      <c r="SWJ118" s="572"/>
      <c r="SWK118" s="573"/>
      <c r="SWL118" s="574"/>
      <c r="SWM118" s="575"/>
      <c r="SWN118" s="583"/>
      <c r="SWO118" s="590"/>
      <c r="SWP118" s="589"/>
      <c r="SWQ118" s="585"/>
      <c r="SWR118" s="577"/>
      <c r="SWS118" s="304"/>
      <c r="SWT118" s="572"/>
      <c r="SWU118" s="573"/>
      <c r="SWV118" s="574"/>
      <c r="SWW118" s="575"/>
      <c r="SWX118" s="583"/>
      <c r="SWY118" s="590"/>
      <c r="SWZ118" s="589"/>
      <c r="SXA118" s="585"/>
      <c r="SXB118" s="577"/>
      <c r="SXC118" s="304"/>
      <c r="SXD118" s="572"/>
      <c r="SXE118" s="573"/>
      <c r="SXF118" s="574"/>
      <c r="SXG118" s="575"/>
      <c r="SXH118" s="583"/>
      <c r="SXI118" s="590"/>
      <c r="SXJ118" s="589"/>
      <c r="SXK118" s="585"/>
      <c r="SXL118" s="577"/>
      <c r="SXM118" s="304"/>
      <c r="SXN118" s="572"/>
      <c r="SXO118" s="573"/>
      <c r="SXP118" s="574"/>
      <c r="SXQ118" s="575"/>
      <c r="SXR118" s="583"/>
      <c r="SXS118" s="590"/>
      <c r="SXT118" s="589"/>
      <c r="SXU118" s="585"/>
      <c r="SXV118" s="577"/>
      <c r="SXW118" s="304"/>
      <c r="SXX118" s="572"/>
      <c r="SXY118" s="573"/>
      <c r="SXZ118" s="574"/>
      <c r="SYA118" s="575"/>
      <c r="SYB118" s="583"/>
      <c r="SYC118" s="590"/>
      <c r="SYD118" s="589"/>
      <c r="SYE118" s="585"/>
      <c r="SYF118" s="577"/>
      <c r="SYG118" s="304"/>
      <c r="SYH118" s="572"/>
      <c r="SYI118" s="573"/>
      <c r="SYJ118" s="574"/>
      <c r="SYK118" s="575"/>
      <c r="SYL118" s="583"/>
      <c r="SYM118" s="590"/>
      <c r="SYN118" s="589"/>
      <c r="SYO118" s="585"/>
      <c r="SYP118" s="577"/>
      <c r="SYQ118" s="304"/>
      <c r="SYR118" s="572"/>
      <c r="SYS118" s="573"/>
      <c r="SYT118" s="574"/>
      <c r="SYU118" s="575"/>
      <c r="SYV118" s="583"/>
      <c r="SYW118" s="590"/>
      <c r="SYX118" s="589"/>
      <c r="SYY118" s="585"/>
      <c r="SYZ118" s="577"/>
      <c r="SZA118" s="304"/>
      <c r="SZB118" s="572"/>
      <c r="SZC118" s="573"/>
      <c r="SZD118" s="574"/>
      <c r="SZE118" s="575"/>
      <c r="SZF118" s="583"/>
      <c r="SZG118" s="590"/>
      <c r="SZH118" s="589"/>
      <c r="SZI118" s="585"/>
      <c r="SZJ118" s="577"/>
      <c r="SZK118" s="304"/>
      <c r="SZL118" s="572"/>
      <c r="SZM118" s="573"/>
      <c r="SZN118" s="574"/>
      <c r="SZO118" s="575"/>
      <c r="SZP118" s="583"/>
      <c r="SZQ118" s="590"/>
      <c r="SZR118" s="589"/>
      <c r="SZS118" s="585"/>
      <c r="SZT118" s="577"/>
      <c r="SZU118" s="304"/>
      <c r="SZV118" s="572"/>
      <c r="SZW118" s="573"/>
      <c r="SZX118" s="574"/>
      <c r="SZY118" s="575"/>
      <c r="SZZ118" s="583"/>
      <c r="TAA118" s="590"/>
      <c r="TAB118" s="589"/>
      <c r="TAC118" s="585"/>
      <c r="TAD118" s="577"/>
      <c r="TAE118" s="304"/>
      <c r="TAF118" s="572"/>
      <c r="TAG118" s="573"/>
      <c r="TAH118" s="574"/>
      <c r="TAI118" s="575"/>
      <c r="TAJ118" s="583"/>
      <c r="TAK118" s="590"/>
      <c r="TAL118" s="589"/>
      <c r="TAM118" s="585"/>
      <c r="TAN118" s="577"/>
      <c r="TAO118" s="304"/>
      <c r="TAP118" s="572"/>
      <c r="TAQ118" s="573"/>
      <c r="TAR118" s="574"/>
      <c r="TAS118" s="575"/>
      <c r="TAT118" s="583"/>
      <c r="TAU118" s="590"/>
      <c r="TAV118" s="589"/>
      <c r="TAW118" s="585"/>
      <c r="TAX118" s="577"/>
      <c r="TAY118" s="304"/>
      <c r="TAZ118" s="572"/>
      <c r="TBA118" s="573"/>
      <c r="TBB118" s="574"/>
      <c r="TBC118" s="575"/>
      <c r="TBD118" s="583"/>
      <c r="TBE118" s="590"/>
      <c r="TBF118" s="589"/>
      <c r="TBG118" s="585"/>
      <c r="TBH118" s="577"/>
      <c r="TBI118" s="304"/>
      <c r="TBJ118" s="572"/>
      <c r="TBK118" s="573"/>
      <c r="TBL118" s="574"/>
      <c r="TBM118" s="575"/>
      <c r="TBN118" s="583"/>
      <c r="TBO118" s="590"/>
      <c r="TBP118" s="589"/>
      <c r="TBQ118" s="585"/>
      <c r="TBR118" s="577"/>
      <c r="TBS118" s="304"/>
      <c r="TBT118" s="572"/>
      <c r="TBU118" s="573"/>
      <c r="TBV118" s="574"/>
      <c r="TBW118" s="575"/>
      <c r="TBX118" s="583"/>
      <c r="TBY118" s="590"/>
      <c r="TBZ118" s="589"/>
      <c r="TCA118" s="585"/>
      <c r="TCB118" s="577"/>
      <c r="TCC118" s="304"/>
      <c r="TCD118" s="572"/>
      <c r="TCE118" s="573"/>
      <c r="TCF118" s="574"/>
      <c r="TCG118" s="575"/>
      <c r="TCH118" s="583"/>
      <c r="TCI118" s="590"/>
      <c r="TCJ118" s="589"/>
      <c r="TCK118" s="585"/>
      <c r="TCL118" s="577"/>
      <c r="TCM118" s="304"/>
      <c r="TCN118" s="572"/>
      <c r="TCO118" s="573"/>
      <c r="TCP118" s="574"/>
      <c r="TCQ118" s="575"/>
      <c r="TCR118" s="583"/>
      <c r="TCS118" s="590"/>
      <c r="TCT118" s="589"/>
      <c r="TCU118" s="585"/>
      <c r="TCV118" s="577"/>
      <c r="TCW118" s="304"/>
      <c r="TCX118" s="572"/>
      <c r="TCY118" s="573"/>
      <c r="TCZ118" s="574"/>
      <c r="TDA118" s="575"/>
      <c r="TDB118" s="583"/>
      <c r="TDC118" s="590"/>
      <c r="TDD118" s="589"/>
      <c r="TDE118" s="585"/>
      <c r="TDF118" s="577"/>
      <c r="TDG118" s="304"/>
      <c r="TDH118" s="572"/>
      <c r="TDI118" s="573"/>
      <c r="TDJ118" s="574"/>
      <c r="TDK118" s="575"/>
      <c r="TDL118" s="583"/>
      <c r="TDM118" s="590"/>
      <c r="TDN118" s="589"/>
      <c r="TDO118" s="585"/>
      <c r="TDP118" s="577"/>
      <c r="TDQ118" s="304"/>
      <c r="TDR118" s="572"/>
      <c r="TDS118" s="573"/>
      <c r="TDT118" s="574"/>
      <c r="TDU118" s="575"/>
      <c r="TDV118" s="583"/>
      <c r="TDW118" s="590"/>
      <c r="TDX118" s="589"/>
      <c r="TDY118" s="585"/>
      <c r="TDZ118" s="577"/>
      <c r="TEA118" s="304"/>
      <c r="TEB118" s="572"/>
      <c r="TEC118" s="573"/>
      <c r="TED118" s="574"/>
      <c r="TEE118" s="575"/>
      <c r="TEF118" s="583"/>
      <c r="TEG118" s="590"/>
      <c r="TEH118" s="589"/>
      <c r="TEI118" s="585"/>
      <c r="TEJ118" s="577"/>
      <c r="TEK118" s="304"/>
      <c r="TEL118" s="572"/>
      <c r="TEM118" s="573"/>
      <c r="TEN118" s="574"/>
      <c r="TEO118" s="575"/>
      <c r="TEP118" s="583"/>
      <c r="TEQ118" s="590"/>
      <c r="TER118" s="589"/>
      <c r="TES118" s="585"/>
      <c r="TET118" s="577"/>
      <c r="TEU118" s="304"/>
      <c r="TEV118" s="572"/>
      <c r="TEW118" s="573"/>
      <c r="TEX118" s="574"/>
      <c r="TEY118" s="575"/>
      <c r="TEZ118" s="583"/>
      <c r="TFA118" s="590"/>
      <c r="TFB118" s="589"/>
      <c r="TFC118" s="585"/>
      <c r="TFD118" s="577"/>
      <c r="TFE118" s="304"/>
      <c r="TFF118" s="572"/>
      <c r="TFG118" s="573"/>
      <c r="TFH118" s="574"/>
      <c r="TFI118" s="575"/>
      <c r="TFJ118" s="583"/>
      <c r="TFK118" s="590"/>
      <c r="TFL118" s="589"/>
      <c r="TFM118" s="585"/>
      <c r="TFN118" s="577"/>
      <c r="TFO118" s="304"/>
      <c r="TFP118" s="572"/>
      <c r="TFQ118" s="573"/>
      <c r="TFR118" s="574"/>
      <c r="TFS118" s="575"/>
      <c r="TFT118" s="583"/>
      <c r="TFU118" s="590"/>
      <c r="TFV118" s="589"/>
      <c r="TFW118" s="585"/>
      <c r="TFX118" s="577"/>
      <c r="TFY118" s="304"/>
      <c r="TFZ118" s="572"/>
      <c r="TGA118" s="573"/>
      <c r="TGB118" s="574"/>
      <c r="TGC118" s="575"/>
      <c r="TGD118" s="583"/>
      <c r="TGE118" s="590"/>
      <c r="TGF118" s="589"/>
      <c r="TGG118" s="585"/>
      <c r="TGH118" s="577"/>
      <c r="TGI118" s="304"/>
      <c r="TGJ118" s="572"/>
      <c r="TGK118" s="573"/>
      <c r="TGL118" s="574"/>
      <c r="TGM118" s="575"/>
      <c r="TGN118" s="583"/>
      <c r="TGO118" s="590"/>
      <c r="TGP118" s="589"/>
      <c r="TGQ118" s="585"/>
      <c r="TGR118" s="577"/>
      <c r="TGS118" s="304"/>
      <c r="TGT118" s="572"/>
      <c r="TGU118" s="573"/>
      <c r="TGV118" s="574"/>
      <c r="TGW118" s="575"/>
      <c r="TGX118" s="583"/>
      <c r="TGY118" s="590"/>
      <c r="TGZ118" s="589"/>
      <c r="THA118" s="585"/>
      <c r="THB118" s="577"/>
      <c r="THC118" s="304"/>
      <c r="THD118" s="572"/>
      <c r="THE118" s="573"/>
      <c r="THF118" s="574"/>
      <c r="THG118" s="575"/>
      <c r="THH118" s="583"/>
      <c r="THI118" s="590"/>
      <c r="THJ118" s="589"/>
      <c r="THK118" s="585"/>
      <c r="THL118" s="577"/>
      <c r="THM118" s="304"/>
      <c r="THN118" s="572"/>
      <c r="THO118" s="573"/>
      <c r="THP118" s="574"/>
      <c r="THQ118" s="575"/>
      <c r="THR118" s="583"/>
      <c r="THS118" s="590"/>
      <c r="THT118" s="589"/>
      <c r="THU118" s="585"/>
      <c r="THV118" s="577"/>
      <c r="THW118" s="304"/>
      <c r="THX118" s="572"/>
      <c r="THY118" s="573"/>
      <c r="THZ118" s="574"/>
      <c r="TIA118" s="575"/>
      <c r="TIB118" s="583"/>
      <c r="TIC118" s="590"/>
      <c r="TID118" s="589"/>
      <c r="TIE118" s="585"/>
      <c r="TIF118" s="577"/>
      <c r="TIG118" s="304"/>
      <c r="TIH118" s="572"/>
      <c r="TII118" s="573"/>
      <c r="TIJ118" s="574"/>
      <c r="TIK118" s="575"/>
      <c r="TIL118" s="583"/>
      <c r="TIM118" s="590"/>
      <c r="TIN118" s="589"/>
      <c r="TIO118" s="585"/>
      <c r="TIP118" s="577"/>
      <c r="TIQ118" s="304"/>
      <c r="TIR118" s="572"/>
      <c r="TIS118" s="573"/>
      <c r="TIT118" s="574"/>
      <c r="TIU118" s="575"/>
      <c r="TIV118" s="583"/>
      <c r="TIW118" s="590"/>
      <c r="TIX118" s="589"/>
      <c r="TIY118" s="585"/>
      <c r="TIZ118" s="577"/>
      <c r="TJA118" s="304"/>
      <c r="TJB118" s="572"/>
      <c r="TJC118" s="573"/>
      <c r="TJD118" s="574"/>
      <c r="TJE118" s="575"/>
      <c r="TJF118" s="583"/>
      <c r="TJG118" s="590"/>
      <c r="TJH118" s="589"/>
      <c r="TJI118" s="585"/>
      <c r="TJJ118" s="577"/>
      <c r="TJK118" s="304"/>
      <c r="TJL118" s="572"/>
      <c r="TJM118" s="573"/>
      <c r="TJN118" s="574"/>
      <c r="TJO118" s="575"/>
      <c r="TJP118" s="583"/>
      <c r="TJQ118" s="590"/>
      <c r="TJR118" s="589"/>
      <c r="TJS118" s="585"/>
      <c r="TJT118" s="577"/>
      <c r="TJU118" s="304"/>
      <c r="TJV118" s="572"/>
      <c r="TJW118" s="573"/>
      <c r="TJX118" s="574"/>
      <c r="TJY118" s="575"/>
      <c r="TJZ118" s="583"/>
      <c r="TKA118" s="590"/>
      <c r="TKB118" s="589"/>
      <c r="TKC118" s="585"/>
      <c r="TKD118" s="577"/>
      <c r="TKE118" s="304"/>
      <c r="TKF118" s="572"/>
      <c r="TKG118" s="573"/>
      <c r="TKH118" s="574"/>
      <c r="TKI118" s="575"/>
      <c r="TKJ118" s="583"/>
      <c r="TKK118" s="590"/>
      <c r="TKL118" s="589"/>
      <c r="TKM118" s="585"/>
      <c r="TKN118" s="577"/>
      <c r="TKO118" s="304"/>
      <c r="TKP118" s="572"/>
      <c r="TKQ118" s="573"/>
      <c r="TKR118" s="574"/>
      <c r="TKS118" s="575"/>
      <c r="TKT118" s="583"/>
      <c r="TKU118" s="590"/>
      <c r="TKV118" s="589"/>
      <c r="TKW118" s="585"/>
      <c r="TKX118" s="577"/>
      <c r="TKY118" s="304"/>
      <c r="TKZ118" s="572"/>
      <c r="TLA118" s="573"/>
      <c r="TLB118" s="574"/>
      <c r="TLC118" s="575"/>
      <c r="TLD118" s="583"/>
      <c r="TLE118" s="590"/>
      <c r="TLF118" s="589"/>
      <c r="TLG118" s="585"/>
      <c r="TLH118" s="577"/>
      <c r="TLI118" s="304"/>
      <c r="TLJ118" s="572"/>
      <c r="TLK118" s="573"/>
      <c r="TLL118" s="574"/>
      <c r="TLM118" s="575"/>
      <c r="TLN118" s="583"/>
      <c r="TLO118" s="590"/>
      <c r="TLP118" s="589"/>
      <c r="TLQ118" s="585"/>
      <c r="TLR118" s="577"/>
      <c r="TLS118" s="304"/>
      <c r="TLT118" s="572"/>
      <c r="TLU118" s="573"/>
      <c r="TLV118" s="574"/>
      <c r="TLW118" s="575"/>
      <c r="TLX118" s="583"/>
      <c r="TLY118" s="590"/>
      <c r="TLZ118" s="589"/>
      <c r="TMA118" s="585"/>
      <c r="TMB118" s="577"/>
      <c r="TMC118" s="304"/>
      <c r="TMD118" s="572"/>
      <c r="TME118" s="573"/>
      <c r="TMF118" s="574"/>
      <c r="TMG118" s="575"/>
      <c r="TMH118" s="583"/>
      <c r="TMI118" s="590"/>
      <c r="TMJ118" s="589"/>
      <c r="TMK118" s="585"/>
      <c r="TML118" s="577"/>
      <c r="TMM118" s="304"/>
      <c r="TMN118" s="572"/>
      <c r="TMO118" s="573"/>
      <c r="TMP118" s="574"/>
      <c r="TMQ118" s="575"/>
      <c r="TMR118" s="583"/>
      <c r="TMS118" s="590"/>
      <c r="TMT118" s="589"/>
      <c r="TMU118" s="585"/>
      <c r="TMV118" s="577"/>
      <c r="TMW118" s="304"/>
      <c r="TMX118" s="572"/>
      <c r="TMY118" s="573"/>
      <c r="TMZ118" s="574"/>
      <c r="TNA118" s="575"/>
      <c r="TNB118" s="583"/>
      <c r="TNC118" s="590"/>
      <c r="TND118" s="589"/>
      <c r="TNE118" s="585"/>
      <c r="TNF118" s="577"/>
      <c r="TNG118" s="304"/>
      <c r="TNH118" s="572"/>
      <c r="TNI118" s="573"/>
      <c r="TNJ118" s="574"/>
      <c r="TNK118" s="575"/>
      <c r="TNL118" s="583"/>
      <c r="TNM118" s="590"/>
      <c r="TNN118" s="589"/>
      <c r="TNO118" s="585"/>
      <c r="TNP118" s="577"/>
      <c r="TNQ118" s="304"/>
      <c r="TNR118" s="572"/>
      <c r="TNS118" s="573"/>
      <c r="TNT118" s="574"/>
      <c r="TNU118" s="575"/>
      <c r="TNV118" s="583"/>
      <c r="TNW118" s="590"/>
      <c r="TNX118" s="589"/>
      <c r="TNY118" s="585"/>
      <c r="TNZ118" s="577"/>
      <c r="TOA118" s="304"/>
      <c r="TOB118" s="572"/>
      <c r="TOC118" s="573"/>
      <c r="TOD118" s="574"/>
      <c r="TOE118" s="575"/>
      <c r="TOF118" s="583"/>
      <c r="TOG118" s="590"/>
      <c r="TOH118" s="589"/>
      <c r="TOI118" s="585"/>
      <c r="TOJ118" s="577"/>
      <c r="TOK118" s="304"/>
      <c r="TOL118" s="572"/>
      <c r="TOM118" s="573"/>
      <c r="TON118" s="574"/>
      <c r="TOO118" s="575"/>
      <c r="TOP118" s="583"/>
      <c r="TOQ118" s="590"/>
      <c r="TOR118" s="589"/>
      <c r="TOS118" s="585"/>
      <c r="TOT118" s="577"/>
      <c r="TOU118" s="304"/>
      <c r="TOV118" s="572"/>
      <c r="TOW118" s="573"/>
      <c r="TOX118" s="574"/>
      <c r="TOY118" s="575"/>
      <c r="TOZ118" s="583"/>
      <c r="TPA118" s="590"/>
      <c r="TPB118" s="589"/>
      <c r="TPC118" s="585"/>
      <c r="TPD118" s="577"/>
      <c r="TPE118" s="304"/>
      <c r="TPF118" s="572"/>
      <c r="TPG118" s="573"/>
      <c r="TPH118" s="574"/>
      <c r="TPI118" s="575"/>
      <c r="TPJ118" s="583"/>
      <c r="TPK118" s="590"/>
      <c r="TPL118" s="589"/>
      <c r="TPM118" s="585"/>
      <c r="TPN118" s="577"/>
      <c r="TPO118" s="304"/>
      <c r="TPP118" s="572"/>
      <c r="TPQ118" s="573"/>
      <c r="TPR118" s="574"/>
      <c r="TPS118" s="575"/>
      <c r="TPT118" s="583"/>
      <c r="TPU118" s="590"/>
      <c r="TPV118" s="589"/>
      <c r="TPW118" s="585"/>
      <c r="TPX118" s="577"/>
      <c r="TPY118" s="304"/>
      <c r="TPZ118" s="572"/>
      <c r="TQA118" s="573"/>
      <c r="TQB118" s="574"/>
      <c r="TQC118" s="575"/>
      <c r="TQD118" s="583"/>
      <c r="TQE118" s="590"/>
      <c r="TQF118" s="589"/>
      <c r="TQG118" s="585"/>
      <c r="TQH118" s="577"/>
      <c r="TQI118" s="304"/>
      <c r="TQJ118" s="572"/>
      <c r="TQK118" s="573"/>
      <c r="TQL118" s="574"/>
      <c r="TQM118" s="575"/>
      <c r="TQN118" s="583"/>
      <c r="TQO118" s="590"/>
      <c r="TQP118" s="589"/>
      <c r="TQQ118" s="585"/>
      <c r="TQR118" s="577"/>
      <c r="TQS118" s="304"/>
      <c r="TQT118" s="572"/>
      <c r="TQU118" s="573"/>
      <c r="TQV118" s="574"/>
      <c r="TQW118" s="575"/>
      <c r="TQX118" s="583"/>
      <c r="TQY118" s="590"/>
      <c r="TQZ118" s="589"/>
      <c r="TRA118" s="585"/>
      <c r="TRB118" s="577"/>
      <c r="TRC118" s="304"/>
      <c r="TRD118" s="572"/>
      <c r="TRE118" s="573"/>
      <c r="TRF118" s="574"/>
      <c r="TRG118" s="575"/>
      <c r="TRH118" s="583"/>
      <c r="TRI118" s="590"/>
      <c r="TRJ118" s="589"/>
      <c r="TRK118" s="585"/>
      <c r="TRL118" s="577"/>
      <c r="TRM118" s="304"/>
      <c r="TRN118" s="572"/>
      <c r="TRO118" s="573"/>
      <c r="TRP118" s="574"/>
      <c r="TRQ118" s="575"/>
      <c r="TRR118" s="583"/>
      <c r="TRS118" s="590"/>
      <c r="TRT118" s="589"/>
      <c r="TRU118" s="585"/>
      <c r="TRV118" s="577"/>
      <c r="TRW118" s="304"/>
      <c r="TRX118" s="572"/>
      <c r="TRY118" s="573"/>
      <c r="TRZ118" s="574"/>
      <c r="TSA118" s="575"/>
      <c r="TSB118" s="583"/>
      <c r="TSC118" s="590"/>
      <c r="TSD118" s="589"/>
      <c r="TSE118" s="585"/>
      <c r="TSF118" s="577"/>
      <c r="TSG118" s="304"/>
      <c r="TSH118" s="572"/>
      <c r="TSI118" s="573"/>
      <c r="TSJ118" s="574"/>
      <c r="TSK118" s="575"/>
      <c r="TSL118" s="583"/>
      <c r="TSM118" s="590"/>
      <c r="TSN118" s="589"/>
      <c r="TSO118" s="585"/>
      <c r="TSP118" s="577"/>
      <c r="TSQ118" s="304"/>
      <c r="TSR118" s="572"/>
      <c r="TSS118" s="573"/>
      <c r="TST118" s="574"/>
      <c r="TSU118" s="575"/>
      <c r="TSV118" s="583"/>
      <c r="TSW118" s="590"/>
      <c r="TSX118" s="589"/>
      <c r="TSY118" s="585"/>
      <c r="TSZ118" s="577"/>
      <c r="TTA118" s="304"/>
      <c r="TTB118" s="572"/>
      <c r="TTC118" s="573"/>
      <c r="TTD118" s="574"/>
      <c r="TTE118" s="575"/>
      <c r="TTF118" s="583"/>
      <c r="TTG118" s="590"/>
      <c r="TTH118" s="589"/>
      <c r="TTI118" s="585"/>
      <c r="TTJ118" s="577"/>
      <c r="TTK118" s="304"/>
      <c r="TTL118" s="572"/>
      <c r="TTM118" s="573"/>
      <c r="TTN118" s="574"/>
      <c r="TTO118" s="575"/>
      <c r="TTP118" s="583"/>
      <c r="TTQ118" s="590"/>
      <c r="TTR118" s="589"/>
      <c r="TTS118" s="585"/>
      <c r="TTT118" s="577"/>
      <c r="TTU118" s="304"/>
      <c r="TTV118" s="572"/>
      <c r="TTW118" s="573"/>
      <c r="TTX118" s="574"/>
      <c r="TTY118" s="575"/>
      <c r="TTZ118" s="583"/>
      <c r="TUA118" s="590"/>
      <c r="TUB118" s="589"/>
      <c r="TUC118" s="585"/>
      <c r="TUD118" s="577"/>
      <c r="TUE118" s="304"/>
      <c r="TUF118" s="572"/>
      <c r="TUG118" s="573"/>
      <c r="TUH118" s="574"/>
      <c r="TUI118" s="575"/>
      <c r="TUJ118" s="583"/>
      <c r="TUK118" s="590"/>
      <c r="TUL118" s="589"/>
      <c r="TUM118" s="585"/>
      <c r="TUN118" s="577"/>
      <c r="TUO118" s="304"/>
      <c r="TUP118" s="572"/>
      <c r="TUQ118" s="573"/>
      <c r="TUR118" s="574"/>
      <c r="TUS118" s="575"/>
      <c r="TUT118" s="583"/>
      <c r="TUU118" s="590"/>
      <c r="TUV118" s="589"/>
      <c r="TUW118" s="585"/>
      <c r="TUX118" s="577"/>
      <c r="TUY118" s="304"/>
      <c r="TUZ118" s="572"/>
      <c r="TVA118" s="573"/>
      <c r="TVB118" s="574"/>
      <c r="TVC118" s="575"/>
      <c r="TVD118" s="583"/>
      <c r="TVE118" s="590"/>
      <c r="TVF118" s="589"/>
      <c r="TVG118" s="585"/>
      <c r="TVH118" s="577"/>
      <c r="TVI118" s="304"/>
      <c r="TVJ118" s="572"/>
      <c r="TVK118" s="573"/>
      <c r="TVL118" s="574"/>
      <c r="TVM118" s="575"/>
      <c r="TVN118" s="583"/>
      <c r="TVO118" s="590"/>
      <c r="TVP118" s="589"/>
      <c r="TVQ118" s="585"/>
      <c r="TVR118" s="577"/>
      <c r="TVS118" s="304"/>
      <c r="TVT118" s="572"/>
      <c r="TVU118" s="573"/>
      <c r="TVV118" s="574"/>
      <c r="TVW118" s="575"/>
      <c r="TVX118" s="583"/>
      <c r="TVY118" s="590"/>
      <c r="TVZ118" s="589"/>
      <c r="TWA118" s="585"/>
      <c r="TWB118" s="577"/>
      <c r="TWC118" s="304"/>
      <c r="TWD118" s="572"/>
      <c r="TWE118" s="573"/>
      <c r="TWF118" s="574"/>
      <c r="TWG118" s="575"/>
      <c r="TWH118" s="583"/>
      <c r="TWI118" s="590"/>
      <c r="TWJ118" s="589"/>
      <c r="TWK118" s="585"/>
      <c r="TWL118" s="577"/>
      <c r="TWM118" s="304"/>
      <c r="TWN118" s="572"/>
      <c r="TWO118" s="573"/>
      <c r="TWP118" s="574"/>
      <c r="TWQ118" s="575"/>
      <c r="TWR118" s="583"/>
      <c r="TWS118" s="590"/>
      <c r="TWT118" s="589"/>
      <c r="TWU118" s="585"/>
      <c r="TWV118" s="577"/>
      <c r="TWW118" s="304"/>
      <c r="TWX118" s="572"/>
      <c r="TWY118" s="573"/>
      <c r="TWZ118" s="574"/>
      <c r="TXA118" s="575"/>
      <c r="TXB118" s="583"/>
      <c r="TXC118" s="590"/>
      <c r="TXD118" s="589"/>
      <c r="TXE118" s="585"/>
      <c r="TXF118" s="577"/>
      <c r="TXG118" s="304"/>
      <c r="TXH118" s="572"/>
      <c r="TXI118" s="573"/>
      <c r="TXJ118" s="574"/>
      <c r="TXK118" s="575"/>
      <c r="TXL118" s="583"/>
      <c r="TXM118" s="590"/>
      <c r="TXN118" s="589"/>
      <c r="TXO118" s="585"/>
      <c r="TXP118" s="577"/>
      <c r="TXQ118" s="304"/>
      <c r="TXR118" s="572"/>
      <c r="TXS118" s="573"/>
      <c r="TXT118" s="574"/>
      <c r="TXU118" s="575"/>
      <c r="TXV118" s="583"/>
      <c r="TXW118" s="590"/>
      <c r="TXX118" s="589"/>
      <c r="TXY118" s="585"/>
      <c r="TXZ118" s="577"/>
      <c r="TYA118" s="304"/>
      <c r="TYB118" s="572"/>
      <c r="TYC118" s="573"/>
      <c r="TYD118" s="574"/>
      <c r="TYE118" s="575"/>
      <c r="TYF118" s="583"/>
      <c r="TYG118" s="590"/>
      <c r="TYH118" s="589"/>
      <c r="TYI118" s="585"/>
      <c r="TYJ118" s="577"/>
      <c r="TYK118" s="304"/>
      <c r="TYL118" s="572"/>
      <c r="TYM118" s="573"/>
      <c r="TYN118" s="574"/>
      <c r="TYO118" s="575"/>
      <c r="TYP118" s="583"/>
      <c r="TYQ118" s="590"/>
      <c r="TYR118" s="589"/>
      <c r="TYS118" s="585"/>
      <c r="TYT118" s="577"/>
      <c r="TYU118" s="304"/>
      <c r="TYV118" s="572"/>
      <c r="TYW118" s="573"/>
      <c r="TYX118" s="574"/>
      <c r="TYY118" s="575"/>
      <c r="TYZ118" s="583"/>
      <c r="TZA118" s="590"/>
      <c r="TZB118" s="589"/>
      <c r="TZC118" s="585"/>
      <c r="TZD118" s="577"/>
      <c r="TZE118" s="304"/>
      <c r="TZF118" s="572"/>
      <c r="TZG118" s="573"/>
      <c r="TZH118" s="574"/>
      <c r="TZI118" s="575"/>
      <c r="TZJ118" s="583"/>
      <c r="TZK118" s="590"/>
      <c r="TZL118" s="589"/>
      <c r="TZM118" s="585"/>
      <c r="TZN118" s="577"/>
      <c r="TZO118" s="304"/>
      <c r="TZP118" s="572"/>
      <c r="TZQ118" s="573"/>
      <c r="TZR118" s="574"/>
      <c r="TZS118" s="575"/>
      <c r="TZT118" s="583"/>
      <c r="TZU118" s="590"/>
      <c r="TZV118" s="589"/>
      <c r="TZW118" s="585"/>
      <c r="TZX118" s="577"/>
      <c r="TZY118" s="304"/>
      <c r="TZZ118" s="572"/>
      <c r="UAA118" s="573"/>
      <c r="UAB118" s="574"/>
      <c r="UAC118" s="575"/>
      <c r="UAD118" s="583"/>
      <c r="UAE118" s="590"/>
      <c r="UAF118" s="589"/>
      <c r="UAG118" s="585"/>
      <c r="UAH118" s="577"/>
      <c r="UAI118" s="304"/>
      <c r="UAJ118" s="572"/>
      <c r="UAK118" s="573"/>
      <c r="UAL118" s="574"/>
      <c r="UAM118" s="575"/>
      <c r="UAN118" s="583"/>
      <c r="UAO118" s="590"/>
      <c r="UAP118" s="589"/>
      <c r="UAQ118" s="585"/>
      <c r="UAR118" s="577"/>
      <c r="UAS118" s="304"/>
      <c r="UAT118" s="572"/>
      <c r="UAU118" s="573"/>
      <c r="UAV118" s="574"/>
      <c r="UAW118" s="575"/>
      <c r="UAX118" s="583"/>
      <c r="UAY118" s="590"/>
      <c r="UAZ118" s="589"/>
      <c r="UBA118" s="585"/>
      <c r="UBB118" s="577"/>
      <c r="UBC118" s="304"/>
      <c r="UBD118" s="572"/>
      <c r="UBE118" s="573"/>
      <c r="UBF118" s="574"/>
      <c r="UBG118" s="575"/>
      <c r="UBH118" s="583"/>
      <c r="UBI118" s="590"/>
      <c r="UBJ118" s="589"/>
      <c r="UBK118" s="585"/>
      <c r="UBL118" s="577"/>
      <c r="UBM118" s="304"/>
      <c r="UBN118" s="572"/>
      <c r="UBO118" s="573"/>
      <c r="UBP118" s="574"/>
      <c r="UBQ118" s="575"/>
      <c r="UBR118" s="583"/>
      <c r="UBS118" s="590"/>
      <c r="UBT118" s="589"/>
      <c r="UBU118" s="585"/>
      <c r="UBV118" s="577"/>
      <c r="UBW118" s="304"/>
      <c r="UBX118" s="572"/>
      <c r="UBY118" s="573"/>
      <c r="UBZ118" s="574"/>
      <c r="UCA118" s="575"/>
      <c r="UCB118" s="583"/>
      <c r="UCC118" s="590"/>
      <c r="UCD118" s="589"/>
      <c r="UCE118" s="585"/>
      <c r="UCF118" s="577"/>
      <c r="UCG118" s="304"/>
      <c r="UCH118" s="572"/>
      <c r="UCI118" s="573"/>
      <c r="UCJ118" s="574"/>
      <c r="UCK118" s="575"/>
      <c r="UCL118" s="583"/>
      <c r="UCM118" s="590"/>
      <c r="UCN118" s="589"/>
      <c r="UCO118" s="585"/>
      <c r="UCP118" s="577"/>
      <c r="UCQ118" s="304"/>
      <c r="UCR118" s="572"/>
      <c r="UCS118" s="573"/>
      <c r="UCT118" s="574"/>
      <c r="UCU118" s="575"/>
      <c r="UCV118" s="583"/>
      <c r="UCW118" s="590"/>
      <c r="UCX118" s="589"/>
      <c r="UCY118" s="585"/>
      <c r="UCZ118" s="577"/>
      <c r="UDA118" s="304"/>
      <c r="UDB118" s="572"/>
      <c r="UDC118" s="573"/>
      <c r="UDD118" s="574"/>
      <c r="UDE118" s="575"/>
      <c r="UDF118" s="583"/>
      <c r="UDG118" s="590"/>
      <c r="UDH118" s="589"/>
      <c r="UDI118" s="585"/>
      <c r="UDJ118" s="577"/>
      <c r="UDK118" s="304"/>
      <c r="UDL118" s="572"/>
      <c r="UDM118" s="573"/>
      <c r="UDN118" s="574"/>
      <c r="UDO118" s="575"/>
      <c r="UDP118" s="583"/>
      <c r="UDQ118" s="590"/>
      <c r="UDR118" s="589"/>
      <c r="UDS118" s="585"/>
      <c r="UDT118" s="577"/>
      <c r="UDU118" s="304"/>
      <c r="UDV118" s="572"/>
      <c r="UDW118" s="573"/>
      <c r="UDX118" s="574"/>
      <c r="UDY118" s="575"/>
      <c r="UDZ118" s="583"/>
      <c r="UEA118" s="590"/>
      <c r="UEB118" s="589"/>
      <c r="UEC118" s="585"/>
      <c r="UED118" s="577"/>
      <c r="UEE118" s="304"/>
      <c r="UEF118" s="572"/>
      <c r="UEG118" s="573"/>
      <c r="UEH118" s="574"/>
      <c r="UEI118" s="575"/>
      <c r="UEJ118" s="583"/>
      <c r="UEK118" s="590"/>
      <c r="UEL118" s="589"/>
      <c r="UEM118" s="585"/>
      <c r="UEN118" s="577"/>
      <c r="UEO118" s="304"/>
      <c r="UEP118" s="572"/>
      <c r="UEQ118" s="573"/>
      <c r="UER118" s="574"/>
      <c r="UES118" s="575"/>
      <c r="UET118" s="583"/>
      <c r="UEU118" s="590"/>
      <c r="UEV118" s="589"/>
      <c r="UEW118" s="585"/>
      <c r="UEX118" s="577"/>
      <c r="UEY118" s="304"/>
      <c r="UEZ118" s="572"/>
      <c r="UFA118" s="573"/>
      <c r="UFB118" s="574"/>
      <c r="UFC118" s="575"/>
      <c r="UFD118" s="583"/>
      <c r="UFE118" s="590"/>
      <c r="UFF118" s="589"/>
      <c r="UFG118" s="585"/>
      <c r="UFH118" s="577"/>
      <c r="UFI118" s="304"/>
      <c r="UFJ118" s="572"/>
      <c r="UFK118" s="573"/>
      <c r="UFL118" s="574"/>
      <c r="UFM118" s="575"/>
      <c r="UFN118" s="583"/>
      <c r="UFO118" s="590"/>
      <c r="UFP118" s="589"/>
      <c r="UFQ118" s="585"/>
      <c r="UFR118" s="577"/>
      <c r="UFS118" s="304"/>
      <c r="UFT118" s="572"/>
      <c r="UFU118" s="573"/>
      <c r="UFV118" s="574"/>
      <c r="UFW118" s="575"/>
      <c r="UFX118" s="583"/>
      <c r="UFY118" s="590"/>
      <c r="UFZ118" s="589"/>
      <c r="UGA118" s="585"/>
      <c r="UGB118" s="577"/>
      <c r="UGC118" s="304"/>
      <c r="UGD118" s="572"/>
      <c r="UGE118" s="573"/>
      <c r="UGF118" s="574"/>
      <c r="UGG118" s="575"/>
      <c r="UGH118" s="583"/>
      <c r="UGI118" s="590"/>
      <c r="UGJ118" s="589"/>
      <c r="UGK118" s="585"/>
      <c r="UGL118" s="577"/>
      <c r="UGM118" s="304"/>
      <c r="UGN118" s="572"/>
      <c r="UGO118" s="573"/>
      <c r="UGP118" s="574"/>
      <c r="UGQ118" s="575"/>
      <c r="UGR118" s="583"/>
      <c r="UGS118" s="590"/>
      <c r="UGT118" s="589"/>
      <c r="UGU118" s="585"/>
      <c r="UGV118" s="577"/>
      <c r="UGW118" s="304"/>
      <c r="UGX118" s="572"/>
      <c r="UGY118" s="573"/>
      <c r="UGZ118" s="574"/>
      <c r="UHA118" s="575"/>
      <c r="UHB118" s="583"/>
      <c r="UHC118" s="590"/>
      <c r="UHD118" s="589"/>
      <c r="UHE118" s="585"/>
      <c r="UHF118" s="577"/>
      <c r="UHG118" s="304"/>
      <c r="UHH118" s="572"/>
      <c r="UHI118" s="573"/>
      <c r="UHJ118" s="574"/>
      <c r="UHK118" s="575"/>
      <c r="UHL118" s="583"/>
      <c r="UHM118" s="590"/>
      <c r="UHN118" s="589"/>
      <c r="UHO118" s="585"/>
      <c r="UHP118" s="577"/>
      <c r="UHQ118" s="304"/>
      <c r="UHR118" s="572"/>
      <c r="UHS118" s="573"/>
      <c r="UHT118" s="574"/>
      <c r="UHU118" s="575"/>
      <c r="UHV118" s="583"/>
      <c r="UHW118" s="590"/>
      <c r="UHX118" s="589"/>
      <c r="UHY118" s="585"/>
      <c r="UHZ118" s="577"/>
      <c r="UIA118" s="304"/>
      <c r="UIB118" s="572"/>
      <c r="UIC118" s="573"/>
      <c r="UID118" s="574"/>
      <c r="UIE118" s="575"/>
      <c r="UIF118" s="583"/>
      <c r="UIG118" s="590"/>
      <c r="UIH118" s="589"/>
      <c r="UII118" s="585"/>
      <c r="UIJ118" s="577"/>
      <c r="UIK118" s="304"/>
      <c r="UIL118" s="572"/>
      <c r="UIM118" s="573"/>
      <c r="UIN118" s="574"/>
      <c r="UIO118" s="575"/>
      <c r="UIP118" s="583"/>
      <c r="UIQ118" s="590"/>
      <c r="UIR118" s="589"/>
      <c r="UIS118" s="585"/>
      <c r="UIT118" s="577"/>
      <c r="UIU118" s="304"/>
      <c r="UIV118" s="572"/>
      <c r="UIW118" s="573"/>
      <c r="UIX118" s="574"/>
      <c r="UIY118" s="575"/>
      <c r="UIZ118" s="583"/>
      <c r="UJA118" s="590"/>
      <c r="UJB118" s="589"/>
      <c r="UJC118" s="585"/>
      <c r="UJD118" s="577"/>
      <c r="UJE118" s="304"/>
      <c r="UJF118" s="572"/>
      <c r="UJG118" s="573"/>
      <c r="UJH118" s="574"/>
      <c r="UJI118" s="575"/>
      <c r="UJJ118" s="583"/>
      <c r="UJK118" s="590"/>
      <c r="UJL118" s="589"/>
      <c r="UJM118" s="585"/>
      <c r="UJN118" s="577"/>
      <c r="UJO118" s="304"/>
      <c r="UJP118" s="572"/>
      <c r="UJQ118" s="573"/>
      <c r="UJR118" s="574"/>
      <c r="UJS118" s="575"/>
      <c r="UJT118" s="583"/>
      <c r="UJU118" s="590"/>
      <c r="UJV118" s="589"/>
      <c r="UJW118" s="585"/>
      <c r="UJX118" s="577"/>
      <c r="UJY118" s="304"/>
      <c r="UJZ118" s="572"/>
      <c r="UKA118" s="573"/>
      <c r="UKB118" s="574"/>
      <c r="UKC118" s="575"/>
      <c r="UKD118" s="583"/>
      <c r="UKE118" s="590"/>
      <c r="UKF118" s="589"/>
      <c r="UKG118" s="585"/>
      <c r="UKH118" s="577"/>
      <c r="UKI118" s="304"/>
      <c r="UKJ118" s="572"/>
      <c r="UKK118" s="573"/>
      <c r="UKL118" s="574"/>
      <c r="UKM118" s="575"/>
      <c r="UKN118" s="583"/>
      <c r="UKO118" s="590"/>
      <c r="UKP118" s="589"/>
      <c r="UKQ118" s="585"/>
      <c r="UKR118" s="577"/>
      <c r="UKS118" s="304"/>
      <c r="UKT118" s="572"/>
      <c r="UKU118" s="573"/>
      <c r="UKV118" s="574"/>
      <c r="UKW118" s="575"/>
      <c r="UKX118" s="583"/>
      <c r="UKY118" s="590"/>
      <c r="UKZ118" s="589"/>
      <c r="ULA118" s="585"/>
      <c r="ULB118" s="577"/>
      <c r="ULC118" s="304"/>
      <c r="ULD118" s="572"/>
      <c r="ULE118" s="573"/>
      <c r="ULF118" s="574"/>
      <c r="ULG118" s="575"/>
      <c r="ULH118" s="583"/>
      <c r="ULI118" s="590"/>
      <c r="ULJ118" s="589"/>
      <c r="ULK118" s="585"/>
      <c r="ULL118" s="577"/>
      <c r="ULM118" s="304"/>
      <c r="ULN118" s="572"/>
      <c r="ULO118" s="573"/>
      <c r="ULP118" s="574"/>
      <c r="ULQ118" s="575"/>
      <c r="ULR118" s="583"/>
      <c r="ULS118" s="590"/>
      <c r="ULT118" s="589"/>
      <c r="ULU118" s="585"/>
      <c r="ULV118" s="577"/>
      <c r="ULW118" s="304"/>
      <c r="ULX118" s="572"/>
      <c r="ULY118" s="573"/>
      <c r="ULZ118" s="574"/>
      <c r="UMA118" s="575"/>
      <c r="UMB118" s="583"/>
      <c r="UMC118" s="590"/>
      <c r="UMD118" s="589"/>
      <c r="UME118" s="585"/>
      <c r="UMF118" s="577"/>
      <c r="UMG118" s="304"/>
      <c r="UMH118" s="572"/>
      <c r="UMI118" s="573"/>
      <c r="UMJ118" s="574"/>
      <c r="UMK118" s="575"/>
      <c r="UML118" s="583"/>
      <c r="UMM118" s="590"/>
      <c r="UMN118" s="589"/>
      <c r="UMO118" s="585"/>
      <c r="UMP118" s="577"/>
      <c r="UMQ118" s="304"/>
      <c r="UMR118" s="572"/>
      <c r="UMS118" s="573"/>
      <c r="UMT118" s="574"/>
      <c r="UMU118" s="575"/>
      <c r="UMV118" s="583"/>
      <c r="UMW118" s="590"/>
      <c r="UMX118" s="589"/>
      <c r="UMY118" s="585"/>
      <c r="UMZ118" s="577"/>
      <c r="UNA118" s="304"/>
      <c r="UNB118" s="572"/>
      <c r="UNC118" s="573"/>
      <c r="UND118" s="574"/>
      <c r="UNE118" s="575"/>
      <c r="UNF118" s="583"/>
      <c r="UNG118" s="590"/>
      <c r="UNH118" s="589"/>
      <c r="UNI118" s="585"/>
      <c r="UNJ118" s="577"/>
      <c r="UNK118" s="304"/>
      <c r="UNL118" s="572"/>
      <c r="UNM118" s="573"/>
      <c r="UNN118" s="574"/>
      <c r="UNO118" s="575"/>
      <c r="UNP118" s="583"/>
      <c r="UNQ118" s="590"/>
      <c r="UNR118" s="589"/>
      <c r="UNS118" s="585"/>
      <c r="UNT118" s="577"/>
      <c r="UNU118" s="304"/>
      <c r="UNV118" s="572"/>
      <c r="UNW118" s="573"/>
      <c r="UNX118" s="574"/>
      <c r="UNY118" s="575"/>
      <c r="UNZ118" s="583"/>
      <c r="UOA118" s="590"/>
      <c r="UOB118" s="589"/>
      <c r="UOC118" s="585"/>
      <c r="UOD118" s="577"/>
      <c r="UOE118" s="304"/>
      <c r="UOF118" s="572"/>
      <c r="UOG118" s="573"/>
      <c r="UOH118" s="574"/>
      <c r="UOI118" s="575"/>
      <c r="UOJ118" s="583"/>
      <c r="UOK118" s="590"/>
      <c r="UOL118" s="589"/>
      <c r="UOM118" s="585"/>
      <c r="UON118" s="577"/>
      <c r="UOO118" s="304"/>
      <c r="UOP118" s="572"/>
      <c r="UOQ118" s="573"/>
      <c r="UOR118" s="574"/>
      <c r="UOS118" s="575"/>
      <c r="UOT118" s="583"/>
      <c r="UOU118" s="590"/>
      <c r="UOV118" s="589"/>
      <c r="UOW118" s="585"/>
      <c r="UOX118" s="577"/>
      <c r="UOY118" s="304"/>
      <c r="UOZ118" s="572"/>
      <c r="UPA118" s="573"/>
      <c r="UPB118" s="574"/>
      <c r="UPC118" s="575"/>
      <c r="UPD118" s="583"/>
      <c r="UPE118" s="590"/>
      <c r="UPF118" s="589"/>
      <c r="UPG118" s="585"/>
      <c r="UPH118" s="577"/>
      <c r="UPI118" s="304"/>
      <c r="UPJ118" s="572"/>
      <c r="UPK118" s="573"/>
      <c r="UPL118" s="574"/>
      <c r="UPM118" s="575"/>
      <c r="UPN118" s="583"/>
      <c r="UPO118" s="590"/>
      <c r="UPP118" s="589"/>
      <c r="UPQ118" s="585"/>
      <c r="UPR118" s="577"/>
      <c r="UPS118" s="304"/>
      <c r="UPT118" s="572"/>
      <c r="UPU118" s="573"/>
      <c r="UPV118" s="574"/>
      <c r="UPW118" s="575"/>
      <c r="UPX118" s="583"/>
      <c r="UPY118" s="590"/>
      <c r="UPZ118" s="589"/>
      <c r="UQA118" s="585"/>
      <c r="UQB118" s="577"/>
      <c r="UQC118" s="304"/>
      <c r="UQD118" s="572"/>
      <c r="UQE118" s="573"/>
      <c r="UQF118" s="574"/>
      <c r="UQG118" s="575"/>
      <c r="UQH118" s="583"/>
      <c r="UQI118" s="590"/>
      <c r="UQJ118" s="589"/>
      <c r="UQK118" s="585"/>
      <c r="UQL118" s="577"/>
      <c r="UQM118" s="304"/>
      <c r="UQN118" s="572"/>
      <c r="UQO118" s="573"/>
      <c r="UQP118" s="574"/>
      <c r="UQQ118" s="575"/>
      <c r="UQR118" s="583"/>
      <c r="UQS118" s="590"/>
      <c r="UQT118" s="589"/>
      <c r="UQU118" s="585"/>
      <c r="UQV118" s="577"/>
      <c r="UQW118" s="304"/>
      <c r="UQX118" s="572"/>
      <c r="UQY118" s="573"/>
      <c r="UQZ118" s="574"/>
      <c r="URA118" s="575"/>
      <c r="URB118" s="583"/>
      <c r="URC118" s="590"/>
      <c r="URD118" s="589"/>
      <c r="URE118" s="585"/>
      <c r="URF118" s="577"/>
      <c r="URG118" s="304"/>
      <c r="URH118" s="572"/>
      <c r="URI118" s="573"/>
      <c r="URJ118" s="574"/>
      <c r="URK118" s="575"/>
      <c r="URL118" s="583"/>
      <c r="URM118" s="590"/>
      <c r="URN118" s="589"/>
      <c r="URO118" s="585"/>
      <c r="URP118" s="577"/>
      <c r="URQ118" s="304"/>
      <c r="URR118" s="572"/>
      <c r="URS118" s="573"/>
      <c r="URT118" s="574"/>
      <c r="URU118" s="575"/>
      <c r="URV118" s="583"/>
      <c r="URW118" s="590"/>
      <c r="URX118" s="589"/>
      <c r="URY118" s="585"/>
      <c r="URZ118" s="577"/>
      <c r="USA118" s="304"/>
      <c r="USB118" s="572"/>
      <c r="USC118" s="573"/>
      <c r="USD118" s="574"/>
      <c r="USE118" s="575"/>
      <c r="USF118" s="583"/>
      <c r="USG118" s="590"/>
      <c r="USH118" s="589"/>
      <c r="USI118" s="585"/>
      <c r="USJ118" s="577"/>
      <c r="USK118" s="304"/>
      <c r="USL118" s="572"/>
      <c r="USM118" s="573"/>
      <c r="USN118" s="574"/>
      <c r="USO118" s="575"/>
      <c r="USP118" s="583"/>
      <c r="USQ118" s="590"/>
      <c r="USR118" s="589"/>
      <c r="USS118" s="585"/>
      <c r="UST118" s="577"/>
      <c r="USU118" s="304"/>
      <c r="USV118" s="572"/>
      <c r="USW118" s="573"/>
      <c r="USX118" s="574"/>
      <c r="USY118" s="575"/>
      <c r="USZ118" s="583"/>
      <c r="UTA118" s="590"/>
      <c r="UTB118" s="589"/>
      <c r="UTC118" s="585"/>
      <c r="UTD118" s="577"/>
      <c r="UTE118" s="304"/>
      <c r="UTF118" s="572"/>
      <c r="UTG118" s="573"/>
      <c r="UTH118" s="574"/>
      <c r="UTI118" s="575"/>
      <c r="UTJ118" s="583"/>
      <c r="UTK118" s="590"/>
      <c r="UTL118" s="589"/>
      <c r="UTM118" s="585"/>
      <c r="UTN118" s="577"/>
      <c r="UTO118" s="304"/>
      <c r="UTP118" s="572"/>
      <c r="UTQ118" s="573"/>
      <c r="UTR118" s="574"/>
      <c r="UTS118" s="575"/>
      <c r="UTT118" s="583"/>
      <c r="UTU118" s="590"/>
      <c r="UTV118" s="589"/>
      <c r="UTW118" s="585"/>
      <c r="UTX118" s="577"/>
      <c r="UTY118" s="304"/>
      <c r="UTZ118" s="572"/>
      <c r="UUA118" s="573"/>
      <c r="UUB118" s="574"/>
      <c r="UUC118" s="575"/>
      <c r="UUD118" s="583"/>
      <c r="UUE118" s="590"/>
      <c r="UUF118" s="589"/>
      <c r="UUG118" s="585"/>
      <c r="UUH118" s="577"/>
      <c r="UUI118" s="304"/>
      <c r="UUJ118" s="572"/>
      <c r="UUK118" s="573"/>
      <c r="UUL118" s="574"/>
      <c r="UUM118" s="575"/>
      <c r="UUN118" s="583"/>
      <c r="UUO118" s="590"/>
      <c r="UUP118" s="589"/>
      <c r="UUQ118" s="585"/>
      <c r="UUR118" s="577"/>
      <c r="UUS118" s="304"/>
      <c r="UUT118" s="572"/>
      <c r="UUU118" s="573"/>
      <c r="UUV118" s="574"/>
      <c r="UUW118" s="575"/>
      <c r="UUX118" s="583"/>
      <c r="UUY118" s="590"/>
      <c r="UUZ118" s="589"/>
      <c r="UVA118" s="585"/>
      <c r="UVB118" s="577"/>
      <c r="UVC118" s="304"/>
      <c r="UVD118" s="572"/>
      <c r="UVE118" s="573"/>
      <c r="UVF118" s="574"/>
      <c r="UVG118" s="575"/>
      <c r="UVH118" s="583"/>
      <c r="UVI118" s="590"/>
      <c r="UVJ118" s="589"/>
      <c r="UVK118" s="585"/>
      <c r="UVL118" s="577"/>
      <c r="UVM118" s="304"/>
      <c r="UVN118" s="572"/>
      <c r="UVO118" s="573"/>
      <c r="UVP118" s="574"/>
      <c r="UVQ118" s="575"/>
      <c r="UVR118" s="583"/>
      <c r="UVS118" s="590"/>
      <c r="UVT118" s="589"/>
      <c r="UVU118" s="585"/>
      <c r="UVV118" s="577"/>
      <c r="UVW118" s="304"/>
      <c r="UVX118" s="572"/>
      <c r="UVY118" s="573"/>
      <c r="UVZ118" s="574"/>
      <c r="UWA118" s="575"/>
      <c r="UWB118" s="583"/>
      <c r="UWC118" s="590"/>
      <c r="UWD118" s="589"/>
      <c r="UWE118" s="585"/>
      <c r="UWF118" s="577"/>
      <c r="UWG118" s="304"/>
      <c r="UWH118" s="572"/>
      <c r="UWI118" s="573"/>
      <c r="UWJ118" s="574"/>
      <c r="UWK118" s="575"/>
      <c r="UWL118" s="583"/>
      <c r="UWM118" s="590"/>
      <c r="UWN118" s="589"/>
      <c r="UWO118" s="585"/>
      <c r="UWP118" s="577"/>
      <c r="UWQ118" s="304"/>
      <c r="UWR118" s="572"/>
      <c r="UWS118" s="573"/>
      <c r="UWT118" s="574"/>
      <c r="UWU118" s="575"/>
      <c r="UWV118" s="583"/>
      <c r="UWW118" s="590"/>
      <c r="UWX118" s="589"/>
      <c r="UWY118" s="585"/>
      <c r="UWZ118" s="577"/>
      <c r="UXA118" s="304"/>
      <c r="UXB118" s="572"/>
      <c r="UXC118" s="573"/>
      <c r="UXD118" s="574"/>
      <c r="UXE118" s="575"/>
      <c r="UXF118" s="583"/>
      <c r="UXG118" s="590"/>
      <c r="UXH118" s="589"/>
      <c r="UXI118" s="585"/>
      <c r="UXJ118" s="577"/>
      <c r="UXK118" s="304"/>
      <c r="UXL118" s="572"/>
      <c r="UXM118" s="573"/>
      <c r="UXN118" s="574"/>
      <c r="UXO118" s="575"/>
      <c r="UXP118" s="583"/>
      <c r="UXQ118" s="590"/>
      <c r="UXR118" s="589"/>
      <c r="UXS118" s="585"/>
      <c r="UXT118" s="577"/>
      <c r="UXU118" s="304"/>
      <c r="UXV118" s="572"/>
      <c r="UXW118" s="573"/>
      <c r="UXX118" s="574"/>
      <c r="UXY118" s="575"/>
      <c r="UXZ118" s="583"/>
      <c r="UYA118" s="590"/>
      <c r="UYB118" s="589"/>
      <c r="UYC118" s="585"/>
      <c r="UYD118" s="577"/>
      <c r="UYE118" s="304"/>
      <c r="UYF118" s="572"/>
      <c r="UYG118" s="573"/>
      <c r="UYH118" s="574"/>
      <c r="UYI118" s="575"/>
      <c r="UYJ118" s="583"/>
      <c r="UYK118" s="590"/>
      <c r="UYL118" s="589"/>
      <c r="UYM118" s="585"/>
      <c r="UYN118" s="577"/>
      <c r="UYO118" s="304"/>
      <c r="UYP118" s="572"/>
      <c r="UYQ118" s="573"/>
      <c r="UYR118" s="574"/>
      <c r="UYS118" s="575"/>
      <c r="UYT118" s="583"/>
      <c r="UYU118" s="590"/>
      <c r="UYV118" s="589"/>
      <c r="UYW118" s="585"/>
      <c r="UYX118" s="577"/>
      <c r="UYY118" s="304"/>
      <c r="UYZ118" s="572"/>
      <c r="UZA118" s="573"/>
      <c r="UZB118" s="574"/>
      <c r="UZC118" s="575"/>
      <c r="UZD118" s="583"/>
      <c r="UZE118" s="590"/>
      <c r="UZF118" s="589"/>
      <c r="UZG118" s="585"/>
      <c r="UZH118" s="577"/>
      <c r="UZI118" s="304"/>
      <c r="UZJ118" s="572"/>
      <c r="UZK118" s="573"/>
      <c r="UZL118" s="574"/>
      <c r="UZM118" s="575"/>
      <c r="UZN118" s="583"/>
      <c r="UZO118" s="590"/>
      <c r="UZP118" s="589"/>
      <c r="UZQ118" s="585"/>
      <c r="UZR118" s="577"/>
      <c r="UZS118" s="304"/>
      <c r="UZT118" s="572"/>
      <c r="UZU118" s="573"/>
      <c r="UZV118" s="574"/>
      <c r="UZW118" s="575"/>
      <c r="UZX118" s="583"/>
      <c r="UZY118" s="590"/>
      <c r="UZZ118" s="589"/>
      <c r="VAA118" s="585"/>
      <c r="VAB118" s="577"/>
      <c r="VAC118" s="304"/>
      <c r="VAD118" s="572"/>
      <c r="VAE118" s="573"/>
      <c r="VAF118" s="574"/>
      <c r="VAG118" s="575"/>
      <c r="VAH118" s="583"/>
      <c r="VAI118" s="590"/>
      <c r="VAJ118" s="589"/>
      <c r="VAK118" s="585"/>
      <c r="VAL118" s="577"/>
      <c r="VAM118" s="304"/>
      <c r="VAN118" s="572"/>
      <c r="VAO118" s="573"/>
      <c r="VAP118" s="574"/>
      <c r="VAQ118" s="575"/>
      <c r="VAR118" s="583"/>
      <c r="VAS118" s="590"/>
      <c r="VAT118" s="589"/>
      <c r="VAU118" s="585"/>
      <c r="VAV118" s="577"/>
      <c r="VAW118" s="304"/>
      <c r="VAX118" s="572"/>
      <c r="VAY118" s="573"/>
      <c r="VAZ118" s="574"/>
      <c r="VBA118" s="575"/>
      <c r="VBB118" s="583"/>
      <c r="VBC118" s="590"/>
      <c r="VBD118" s="589"/>
      <c r="VBE118" s="585"/>
      <c r="VBF118" s="577"/>
      <c r="VBG118" s="304"/>
      <c r="VBH118" s="572"/>
      <c r="VBI118" s="573"/>
      <c r="VBJ118" s="574"/>
      <c r="VBK118" s="575"/>
      <c r="VBL118" s="583"/>
      <c r="VBM118" s="590"/>
      <c r="VBN118" s="589"/>
      <c r="VBO118" s="585"/>
      <c r="VBP118" s="577"/>
      <c r="VBQ118" s="304"/>
      <c r="VBR118" s="572"/>
      <c r="VBS118" s="573"/>
      <c r="VBT118" s="574"/>
      <c r="VBU118" s="575"/>
      <c r="VBV118" s="583"/>
      <c r="VBW118" s="590"/>
      <c r="VBX118" s="589"/>
      <c r="VBY118" s="585"/>
      <c r="VBZ118" s="577"/>
      <c r="VCA118" s="304"/>
      <c r="VCB118" s="572"/>
      <c r="VCC118" s="573"/>
      <c r="VCD118" s="574"/>
      <c r="VCE118" s="575"/>
      <c r="VCF118" s="583"/>
      <c r="VCG118" s="590"/>
      <c r="VCH118" s="589"/>
      <c r="VCI118" s="585"/>
      <c r="VCJ118" s="577"/>
      <c r="VCK118" s="304"/>
      <c r="VCL118" s="572"/>
      <c r="VCM118" s="573"/>
      <c r="VCN118" s="574"/>
      <c r="VCO118" s="575"/>
      <c r="VCP118" s="583"/>
      <c r="VCQ118" s="590"/>
      <c r="VCR118" s="589"/>
      <c r="VCS118" s="585"/>
      <c r="VCT118" s="577"/>
      <c r="VCU118" s="304"/>
      <c r="VCV118" s="572"/>
      <c r="VCW118" s="573"/>
      <c r="VCX118" s="574"/>
      <c r="VCY118" s="575"/>
      <c r="VCZ118" s="583"/>
      <c r="VDA118" s="590"/>
      <c r="VDB118" s="589"/>
      <c r="VDC118" s="585"/>
      <c r="VDD118" s="577"/>
      <c r="VDE118" s="304"/>
      <c r="VDF118" s="572"/>
      <c r="VDG118" s="573"/>
      <c r="VDH118" s="574"/>
      <c r="VDI118" s="575"/>
      <c r="VDJ118" s="583"/>
      <c r="VDK118" s="590"/>
      <c r="VDL118" s="589"/>
      <c r="VDM118" s="585"/>
      <c r="VDN118" s="577"/>
      <c r="VDO118" s="304"/>
      <c r="VDP118" s="572"/>
      <c r="VDQ118" s="573"/>
      <c r="VDR118" s="574"/>
      <c r="VDS118" s="575"/>
      <c r="VDT118" s="583"/>
      <c r="VDU118" s="590"/>
      <c r="VDV118" s="589"/>
      <c r="VDW118" s="585"/>
      <c r="VDX118" s="577"/>
      <c r="VDY118" s="304"/>
      <c r="VDZ118" s="572"/>
      <c r="VEA118" s="573"/>
      <c r="VEB118" s="574"/>
      <c r="VEC118" s="575"/>
      <c r="VED118" s="583"/>
      <c r="VEE118" s="590"/>
      <c r="VEF118" s="589"/>
      <c r="VEG118" s="585"/>
      <c r="VEH118" s="577"/>
      <c r="VEI118" s="304"/>
      <c r="VEJ118" s="572"/>
      <c r="VEK118" s="573"/>
      <c r="VEL118" s="574"/>
      <c r="VEM118" s="575"/>
      <c r="VEN118" s="583"/>
      <c r="VEO118" s="590"/>
      <c r="VEP118" s="589"/>
      <c r="VEQ118" s="585"/>
      <c r="VER118" s="577"/>
      <c r="VES118" s="304"/>
      <c r="VET118" s="572"/>
      <c r="VEU118" s="573"/>
      <c r="VEV118" s="574"/>
      <c r="VEW118" s="575"/>
      <c r="VEX118" s="583"/>
      <c r="VEY118" s="590"/>
      <c r="VEZ118" s="589"/>
      <c r="VFA118" s="585"/>
      <c r="VFB118" s="577"/>
      <c r="VFC118" s="304"/>
      <c r="VFD118" s="572"/>
      <c r="VFE118" s="573"/>
      <c r="VFF118" s="574"/>
      <c r="VFG118" s="575"/>
      <c r="VFH118" s="583"/>
      <c r="VFI118" s="590"/>
      <c r="VFJ118" s="589"/>
      <c r="VFK118" s="585"/>
      <c r="VFL118" s="577"/>
      <c r="VFM118" s="304"/>
      <c r="VFN118" s="572"/>
      <c r="VFO118" s="573"/>
      <c r="VFP118" s="574"/>
      <c r="VFQ118" s="575"/>
      <c r="VFR118" s="583"/>
      <c r="VFS118" s="590"/>
      <c r="VFT118" s="589"/>
      <c r="VFU118" s="585"/>
      <c r="VFV118" s="577"/>
      <c r="VFW118" s="304"/>
      <c r="VFX118" s="572"/>
      <c r="VFY118" s="573"/>
      <c r="VFZ118" s="574"/>
      <c r="VGA118" s="575"/>
      <c r="VGB118" s="583"/>
      <c r="VGC118" s="590"/>
      <c r="VGD118" s="589"/>
      <c r="VGE118" s="585"/>
      <c r="VGF118" s="577"/>
      <c r="VGG118" s="304"/>
      <c r="VGH118" s="572"/>
      <c r="VGI118" s="573"/>
      <c r="VGJ118" s="574"/>
      <c r="VGK118" s="575"/>
      <c r="VGL118" s="583"/>
      <c r="VGM118" s="590"/>
      <c r="VGN118" s="589"/>
      <c r="VGO118" s="585"/>
      <c r="VGP118" s="577"/>
      <c r="VGQ118" s="304"/>
      <c r="VGR118" s="572"/>
      <c r="VGS118" s="573"/>
      <c r="VGT118" s="574"/>
      <c r="VGU118" s="575"/>
      <c r="VGV118" s="583"/>
      <c r="VGW118" s="590"/>
      <c r="VGX118" s="589"/>
      <c r="VGY118" s="585"/>
      <c r="VGZ118" s="577"/>
      <c r="VHA118" s="304"/>
      <c r="VHB118" s="572"/>
      <c r="VHC118" s="573"/>
      <c r="VHD118" s="574"/>
      <c r="VHE118" s="575"/>
      <c r="VHF118" s="583"/>
      <c r="VHG118" s="590"/>
      <c r="VHH118" s="589"/>
      <c r="VHI118" s="585"/>
      <c r="VHJ118" s="577"/>
      <c r="VHK118" s="304"/>
      <c r="VHL118" s="572"/>
      <c r="VHM118" s="573"/>
      <c r="VHN118" s="574"/>
      <c r="VHO118" s="575"/>
      <c r="VHP118" s="583"/>
      <c r="VHQ118" s="590"/>
      <c r="VHR118" s="589"/>
      <c r="VHS118" s="585"/>
      <c r="VHT118" s="577"/>
      <c r="VHU118" s="304"/>
      <c r="VHV118" s="572"/>
      <c r="VHW118" s="573"/>
      <c r="VHX118" s="574"/>
      <c r="VHY118" s="575"/>
      <c r="VHZ118" s="583"/>
      <c r="VIA118" s="590"/>
      <c r="VIB118" s="589"/>
      <c r="VIC118" s="585"/>
      <c r="VID118" s="577"/>
      <c r="VIE118" s="304"/>
      <c r="VIF118" s="572"/>
      <c r="VIG118" s="573"/>
      <c r="VIH118" s="574"/>
      <c r="VII118" s="575"/>
      <c r="VIJ118" s="583"/>
      <c r="VIK118" s="590"/>
      <c r="VIL118" s="589"/>
      <c r="VIM118" s="585"/>
      <c r="VIN118" s="577"/>
      <c r="VIO118" s="304"/>
      <c r="VIP118" s="572"/>
      <c r="VIQ118" s="573"/>
      <c r="VIR118" s="574"/>
      <c r="VIS118" s="575"/>
      <c r="VIT118" s="583"/>
      <c r="VIU118" s="590"/>
      <c r="VIV118" s="589"/>
      <c r="VIW118" s="585"/>
      <c r="VIX118" s="577"/>
      <c r="VIY118" s="304"/>
      <c r="VIZ118" s="572"/>
      <c r="VJA118" s="573"/>
      <c r="VJB118" s="574"/>
      <c r="VJC118" s="575"/>
      <c r="VJD118" s="583"/>
      <c r="VJE118" s="590"/>
      <c r="VJF118" s="589"/>
      <c r="VJG118" s="585"/>
      <c r="VJH118" s="577"/>
      <c r="VJI118" s="304"/>
      <c r="VJJ118" s="572"/>
      <c r="VJK118" s="573"/>
      <c r="VJL118" s="574"/>
      <c r="VJM118" s="575"/>
      <c r="VJN118" s="583"/>
      <c r="VJO118" s="590"/>
      <c r="VJP118" s="589"/>
      <c r="VJQ118" s="585"/>
      <c r="VJR118" s="577"/>
      <c r="VJS118" s="304"/>
      <c r="VJT118" s="572"/>
      <c r="VJU118" s="573"/>
      <c r="VJV118" s="574"/>
      <c r="VJW118" s="575"/>
      <c r="VJX118" s="583"/>
      <c r="VJY118" s="590"/>
      <c r="VJZ118" s="589"/>
      <c r="VKA118" s="585"/>
      <c r="VKB118" s="577"/>
      <c r="VKC118" s="304"/>
      <c r="VKD118" s="572"/>
      <c r="VKE118" s="573"/>
      <c r="VKF118" s="574"/>
      <c r="VKG118" s="575"/>
      <c r="VKH118" s="583"/>
      <c r="VKI118" s="590"/>
      <c r="VKJ118" s="589"/>
      <c r="VKK118" s="585"/>
      <c r="VKL118" s="577"/>
      <c r="VKM118" s="304"/>
      <c r="VKN118" s="572"/>
      <c r="VKO118" s="573"/>
      <c r="VKP118" s="574"/>
      <c r="VKQ118" s="575"/>
      <c r="VKR118" s="583"/>
      <c r="VKS118" s="590"/>
      <c r="VKT118" s="589"/>
      <c r="VKU118" s="585"/>
      <c r="VKV118" s="577"/>
      <c r="VKW118" s="304"/>
      <c r="VKX118" s="572"/>
      <c r="VKY118" s="573"/>
      <c r="VKZ118" s="574"/>
      <c r="VLA118" s="575"/>
      <c r="VLB118" s="583"/>
      <c r="VLC118" s="590"/>
      <c r="VLD118" s="589"/>
      <c r="VLE118" s="585"/>
      <c r="VLF118" s="577"/>
      <c r="VLG118" s="304"/>
      <c r="VLH118" s="572"/>
      <c r="VLI118" s="573"/>
      <c r="VLJ118" s="574"/>
      <c r="VLK118" s="575"/>
      <c r="VLL118" s="583"/>
      <c r="VLM118" s="590"/>
      <c r="VLN118" s="589"/>
      <c r="VLO118" s="585"/>
      <c r="VLP118" s="577"/>
      <c r="VLQ118" s="304"/>
      <c r="VLR118" s="572"/>
      <c r="VLS118" s="573"/>
      <c r="VLT118" s="574"/>
      <c r="VLU118" s="575"/>
      <c r="VLV118" s="583"/>
      <c r="VLW118" s="590"/>
      <c r="VLX118" s="589"/>
      <c r="VLY118" s="585"/>
      <c r="VLZ118" s="577"/>
      <c r="VMA118" s="304"/>
      <c r="VMB118" s="572"/>
      <c r="VMC118" s="573"/>
      <c r="VMD118" s="574"/>
      <c r="VME118" s="575"/>
      <c r="VMF118" s="583"/>
      <c r="VMG118" s="590"/>
      <c r="VMH118" s="589"/>
      <c r="VMI118" s="585"/>
      <c r="VMJ118" s="577"/>
      <c r="VMK118" s="304"/>
      <c r="VML118" s="572"/>
      <c r="VMM118" s="573"/>
      <c r="VMN118" s="574"/>
      <c r="VMO118" s="575"/>
      <c r="VMP118" s="583"/>
      <c r="VMQ118" s="590"/>
      <c r="VMR118" s="589"/>
      <c r="VMS118" s="585"/>
      <c r="VMT118" s="577"/>
      <c r="VMU118" s="304"/>
      <c r="VMV118" s="572"/>
      <c r="VMW118" s="573"/>
      <c r="VMX118" s="574"/>
      <c r="VMY118" s="575"/>
      <c r="VMZ118" s="583"/>
      <c r="VNA118" s="590"/>
      <c r="VNB118" s="589"/>
      <c r="VNC118" s="585"/>
      <c r="VND118" s="577"/>
      <c r="VNE118" s="304"/>
      <c r="VNF118" s="572"/>
      <c r="VNG118" s="573"/>
      <c r="VNH118" s="574"/>
      <c r="VNI118" s="575"/>
      <c r="VNJ118" s="583"/>
      <c r="VNK118" s="590"/>
      <c r="VNL118" s="589"/>
      <c r="VNM118" s="585"/>
      <c r="VNN118" s="577"/>
      <c r="VNO118" s="304"/>
      <c r="VNP118" s="572"/>
      <c r="VNQ118" s="573"/>
      <c r="VNR118" s="574"/>
      <c r="VNS118" s="575"/>
      <c r="VNT118" s="583"/>
      <c r="VNU118" s="590"/>
      <c r="VNV118" s="589"/>
      <c r="VNW118" s="585"/>
      <c r="VNX118" s="577"/>
      <c r="VNY118" s="304"/>
      <c r="VNZ118" s="572"/>
      <c r="VOA118" s="573"/>
      <c r="VOB118" s="574"/>
      <c r="VOC118" s="575"/>
      <c r="VOD118" s="583"/>
      <c r="VOE118" s="590"/>
      <c r="VOF118" s="589"/>
      <c r="VOG118" s="585"/>
      <c r="VOH118" s="577"/>
      <c r="VOI118" s="304"/>
      <c r="VOJ118" s="572"/>
      <c r="VOK118" s="573"/>
      <c r="VOL118" s="574"/>
      <c r="VOM118" s="575"/>
      <c r="VON118" s="583"/>
      <c r="VOO118" s="590"/>
      <c r="VOP118" s="589"/>
      <c r="VOQ118" s="585"/>
      <c r="VOR118" s="577"/>
      <c r="VOS118" s="304"/>
      <c r="VOT118" s="572"/>
      <c r="VOU118" s="573"/>
      <c r="VOV118" s="574"/>
      <c r="VOW118" s="575"/>
      <c r="VOX118" s="583"/>
      <c r="VOY118" s="590"/>
      <c r="VOZ118" s="589"/>
      <c r="VPA118" s="585"/>
      <c r="VPB118" s="577"/>
      <c r="VPC118" s="304"/>
      <c r="VPD118" s="572"/>
      <c r="VPE118" s="573"/>
      <c r="VPF118" s="574"/>
      <c r="VPG118" s="575"/>
      <c r="VPH118" s="583"/>
      <c r="VPI118" s="590"/>
      <c r="VPJ118" s="589"/>
      <c r="VPK118" s="585"/>
      <c r="VPL118" s="577"/>
      <c r="VPM118" s="304"/>
      <c r="VPN118" s="572"/>
      <c r="VPO118" s="573"/>
      <c r="VPP118" s="574"/>
      <c r="VPQ118" s="575"/>
      <c r="VPR118" s="583"/>
      <c r="VPS118" s="590"/>
      <c r="VPT118" s="589"/>
      <c r="VPU118" s="585"/>
      <c r="VPV118" s="577"/>
      <c r="VPW118" s="304"/>
      <c r="VPX118" s="572"/>
      <c r="VPY118" s="573"/>
      <c r="VPZ118" s="574"/>
      <c r="VQA118" s="575"/>
      <c r="VQB118" s="583"/>
      <c r="VQC118" s="590"/>
      <c r="VQD118" s="589"/>
      <c r="VQE118" s="585"/>
      <c r="VQF118" s="577"/>
      <c r="VQG118" s="304"/>
      <c r="VQH118" s="572"/>
      <c r="VQI118" s="573"/>
      <c r="VQJ118" s="574"/>
      <c r="VQK118" s="575"/>
      <c r="VQL118" s="583"/>
      <c r="VQM118" s="590"/>
      <c r="VQN118" s="589"/>
      <c r="VQO118" s="585"/>
      <c r="VQP118" s="577"/>
      <c r="VQQ118" s="304"/>
      <c r="VQR118" s="572"/>
      <c r="VQS118" s="573"/>
      <c r="VQT118" s="574"/>
      <c r="VQU118" s="575"/>
      <c r="VQV118" s="583"/>
      <c r="VQW118" s="590"/>
      <c r="VQX118" s="589"/>
      <c r="VQY118" s="585"/>
      <c r="VQZ118" s="577"/>
      <c r="VRA118" s="304"/>
      <c r="VRB118" s="572"/>
      <c r="VRC118" s="573"/>
      <c r="VRD118" s="574"/>
      <c r="VRE118" s="575"/>
      <c r="VRF118" s="583"/>
      <c r="VRG118" s="590"/>
      <c r="VRH118" s="589"/>
      <c r="VRI118" s="585"/>
      <c r="VRJ118" s="577"/>
      <c r="VRK118" s="304"/>
      <c r="VRL118" s="572"/>
      <c r="VRM118" s="573"/>
      <c r="VRN118" s="574"/>
      <c r="VRO118" s="575"/>
      <c r="VRP118" s="583"/>
      <c r="VRQ118" s="590"/>
      <c r="VRR118" s="589"/>
      <c r="VRS118" s="585"/>
      <c r="VRT118" s="577"/>
      <c r="VRU118" s="304"/>
      <c r="VRV118" s="572"/>
      <c r="VRW118" s="573"/>
      <c r="VRX118" s="574"/>
      <c r="VRY118" s="575"/>
      <c r="VRZ118" s="583"/>
      <c r="VSA118" s="590"/>
      <c r="VSB118" s="589"/>
      <c r="VSC118" s="585"/>
      <c r="VSD118" s="577"/>
      <c r="VSE118" s="304"/>
      <c r="VSF118" s="572"/>
      <c r="VSG118" s="573"/>
      <c r="VSH118" s="574"/>
      <c r="VSI118" s="575"/>
      <c r="VSJ118" s="583"/>
      <c r="VSK118" s="590"/>
      <c r="VSL118" s="589"/>
      <c r="VSM118" s="585"/>
      <c r="VSN118" s="577"/>
      <c r="VSO118" s="304"/>
      <c r="VSP118" s="572"/>
      <c r="VSQ118" s="573"/>
      <c r="VSR118" s="574"/>
      <c r="VSS118" s="575"/>
      <c r="VST118" s="583"/>
      <c r="VSU118" s="590"/>
      <c r="VSV118" s="589"/>
      <c r="VSW118" s="585"/>
      <c r="VSX118" s="577"/>
      <c r="VSY118" s="304"/>
      <c r="VSZ118" s="572"/>
      <c r="VTA118" s="573"/>
      <c r="VTB118" s="574"/>
      <c r="VTC118" s="575"/>
      <c r="VTD118" s="583"/>
      <c r="VTE118" s="590"/>
      <c r="VTF118" s="589"/>
      <c r="VTG118" s="585"/>
      <c r="VTH118" s="577"/>
      <c r="VTI118" s="304"/>
      <c r="VTJ118" s="572"/>
      <c r="VTK118" s="573"/>
      <c r="VTL118" s="574"/>
      <c r="VTM118" s="575"/>
      <c r="VTN118" s="583"/>
      <c r="VTO118" s="590"/>
      <c r="VTP118" s="589"/>
      <c r="VTQ118" s="585"/>
      <c r="VTR118" s="577"/>
      <c r="VTS118" s="304"/>
      <c r="VTT118" s="572"/>
      <c r="VTU118" s="573"/>
      <c r="VTV118" s="574"/>
      <c r="VTW118" s="575"/>
      <c r="VTX118" s="583"/>
      <c r="VTY118" s="590"/>
      <c r="VTZ118" s="589"/>
      <c r="VUA118" s="585"/>
      <c r="VUB118" s="577"/>
      <c r="VUC118" s="304"/>
      <c r="VUD118" s="572"/>
      <c r="VUE118" s="573"/>
      <c r="VUF118" s="574"/>
      <c r="VUG118" s="575"/>
      <c r="VUH118" s="583"/>
      <c r="VUI118" s="590"/>
      <c r="VUJ118" s="589"/>
      <c r="VUK118" s="585"/>
      <c r="VUL118" s="577"/>
      <c r="VUM118" s="304"/>
      <c r="VUN118" s="572"/>
      <c r="VUO118" s="573"/>
      <c r="VUP118" s="574"/>
      <c r="VUQ118" s="575"/>
      <c r="VUR118" s="583"/>
      <c r="VUS118" s="590"/>
      <c r="VUT118" s="589"/>
      <c r="VUU118" s="585"/>
      <c r="VUV118" s="577"/>
      <c r="VUW118" s="304"/>
      <c r="VUX118" s="572"/>
      <c r="VUY118" s="573"/>
      <c r="VUZ118" s="574"/>
      <c r="VVA118" s="575"/>
      <c r="VVB118" s="583"/>
      <c r="VVC118" s="590"/>
      <c r="VVD118" s="589"/>
      <c r="VVE118" s="585"/>
      <c r="VVF118" s="577"/>
      <c r="VVG118" s="304"/>
      <c r="VVH118" s="572"/>
      <c r="VVI118" s="573"/>
      <c r="VVJ118" s="574"/>
      <c r="VVK118" s="575"/>
      <c r="VVL118" s="583"/>
      <c r="VVM118" s="590"/>
      <c r="VVN118" s="589"/>
      <c r="VVO118" s="585"/>
      <c r="VVP118" s="577"/>
      <c r="VVQ118" s="304"/>
      <c r="VVR118" s="572"/>
      <c r="VVS118" s="573"/>
      <c r="VVT118" s="574"/>
      <c r="VVU118" s="575"/>
      <c r="VVV118" s="583"/>
      <c r="VVW118" s="590"/>
      <c r="VVX118" s="589"/>
      <c r="VVY118" s="585"/>
      <c r="VVZ118" s="577"/>
      <c r="VWA118" s="304"/>
      <c r="VWB118" s="572"/>
      <c r="VWC118" s="573"/>
      <c r="VWD118" s="574"/>
      <c r="VWE118" s="575"/>
      <c r="VWF118" s="583"/>
      <c r="VWG118" s="590"/>
      <c r="VWH118" s="589"/>
      <c r="VWI118" s="585"/>
      <c r="VWJ118" s="577"/>
      <c r="VWK118" s="304"/>
      <c r="VWL118" s="572"/>
      <c r="VWM118" s="573"/>
      <c r="VWN118" s="574"/>
      <c r="VWO118" s="575"/>
      <c r="VWP118" s="583"/>
      <c r="VWQ118" s="590"/>
      <c r="VWR118" s="589"/>
      <c r="VWS118" s="585"/>
      <c r="VWT118" s="577"/>
      <c r="VWU118" s="304"/>
      <c r="VWV118" s="572"/>
      <c r="VWW118" s="573"/>
      <c r="VWX118" s="574"/>
      <c r="VWY118" s="575"/>
      <c r="VWZ118" s="583"/>
      <c r="VXA118" s="590"/>
      <c r="VXB118" s="589"/>
      <c r="VXC118" s="585"/>
      <c r="VXD118" s="577"/>
      <c r="VXE118" s="304"/>
      <c r="VXF118" s="572"/>
      <c r="VXG118" s="573"/>
      <c r="VXH118" s="574"/>
      <c r="VXI118" s="575"/>
      <c r="VXJ118" s="583"/>
      <c r="VXK118" s="590"/>
      <c r="VXL118" s="589"/>
      <c r="VXM118" s="585"/>
      <c r="VXN118" s="577"/>
      <c r="VXO118" s="304"/>
      <c r="VXP118" s="572"/>
      <c r="VXQ118" s="573"/>
      <c r="VXR118" s="574"/>
      <c r="VXS118" s="575"/>
      <c r="VXT118" s="583"/>
      <c r="VXU118" s="590"/>
      <c r="VXV118" s="589"/>
      <c r="VXW118" s="585"/>
      <c r="VXX118" s="577"/>
      <c r="VXY118" s="304"/>
      <c r="VXZ118" s="572"/>
      <c r="VYA118" s="573"/>
      <c r="VYB118" s="574"/>
      <c r="VYC118" s="575"/>
      <c r="VYD118" s="583"/>
      <c r="VYE118" s="590"/>
      <c r="VYF118" s="589"/>
      <c r="VYG118" s="585"/>
      <c r="VYH118" s="577"/>
      <c r="VYI118" s="304"/>
      <c r="VYJ118" s="572"/>
      <c r="VYK118" s="573"/>
      <c r="VYL118" s="574"/>
      <c r="VYM118" s="575"/>
      <c r="VYN118" s="583"/>
      <c r="VYO118" s="590"/>
      <c r="VYP118" s="589"/>
      <c r="VYQ118" s="585"/>
      <c r="VYR118" s="577"/>
      <c r="VYS118" s="304"/>
      <c r="VYT118" s="572"/>
      <c r="VYU118" s="573"/>
      <c r="VYV118" s="574"/>
      <c r="VYW118" s="575"/>
      <c r="VYX118" s="583"/>
      <c r="VYY118" s="590"/>
      <c r="VYZ118" s="589"/>
      <c r="VZA118" s="585"/>
      <c r="VZB118" s="577"/>
      <c r="VZC118" s="304"/>
      <c r="VZD118" s="572"/>
      <c r="VZE118" s="573"/>
      <c r="VZF118" s="574"/>
      <c r="VZG118" s="575"/>
      <c r="VZH118" s="583"/>
      <c r="VZI118" s="590"/>
      <c r="VZJ118" s="589"/>
      <c r="VZK118" s="585"/>
      <c r="VZL118" s="577"/>
      <c r="VZM118" s="304"/>
      <c r="VZN118" s="572"/>
      <c r="VZO118" s="573"/>
      <c r="VZP118" s="574"/>
      <c r="VZQ118" s="575"/>
      <c r="VZR118" s="583"/>
      <c r="VZS118" s="590"/>
      <c r="VZT118" s="589"/>
      <c r="VZU118" s="585"/>
      <c r="VZV118" s="577"/>
      <c r="VZW118" s="304"/>
      <c r="VZX118" s="572"/>
      <c r="VZY118" s="573"/>
      <c r="VZZ118" s="574"/>
      <c r="WAA118" s="575"/>
      <c r="WAB118" s="583"/>
      <c r="WAC118" s="590"/>
      <c r="WAD118" s="589"/>
      <c r="WAE118" s="585"/>
      <c r="WAF118" s="577"/>
      <c r="WAG118" s="304"/>
      <c r="WAH118" s="572"/>
      <c r="WAI118" s="573"/>
      <c r="WAJ118" s="574"/>
      <c r="WAK118" s="575"/>
      <c r="WAL118" s="583"/>
      <c r="WAM118" s="590"/>
      <c r="WAN118" s="589"/>
      <c r="WAO118" s="585"/>
      <c r="WAP118" s="577"/>
      <c r="WAQ118" s="304"/>
      <c r="WAR118" s="572"/>
      <c r="WAS118" s="573"/>
      <c r="WAT118" s="574"/>
      <c r="WAU118" s="575"/>
      <c r="WAV118" s="583"/>
      <c r="WAW118" s="590"/>
      <c r="WAX118" s="589"/>
      <c r="WAY118" s="585"/>
      <c r="WAZ118" s="577"/>
      <c r="WBA118" s="304"/>
      <c r="WBB118" s="572"/>
      <c r="WBC118" s="573"/>
      <c r="WBD118" s="574"/>
      <c r="WBE118" s="575"/>
      <c r="WBF118" s="583"/>
      <c r="WBG118" s="590"/>
      <c r="WBH118" s="589"/>
      <c r="WBI118" s="585"/>
      <c r="WBJ118" s="577"/>
      <c r="WBK118" s="304"/>
      <c r="WBL118" s="572"/>
      <c r="WBM118" s="573"/>
      <c r="WBN118" s="574"/>
      <c r="WBO118" s="575"/>
      <c r="WBP118" s="583"/>
      <c r="WBQ118" s="590"/>
      <c r="WBR118" s="589"/>
      <c r="WBS118" s="585"/>
      <c r="WBT118" s="577"/>
      <c r="WBU118" s="304"/>
      <c r="WBV118" s="572"/>
      <c r="WBW118" s="573"/>
      <c r="WBX118" s="574"/>
      <c r="WBY118" s="575"/>
      <c r="WBZ118" s="583"/>
      <c r="WCA118" s="590"/>
      <c r="WCB118" s="589"/>
      <c r="WCC118" s="585"/>
      <c r="WCD118" s="577"/>
      <c r="WCE118" s="304"/>
      <c r="WCF118" s="572"/>
      <c r="WCG118" s="573"/>
      <c r="WCH118" s="574"/>
      <c r="WCI118" s="575"/>
      <c r="WCJ118" s="583"/>
      <c r="WCK118" s="590"/>
      <c r="WCL118" s="589"/>
      <c r="WCM118" s="585"/>
      <c r="WCN118" s="577"/>
      <c r="WCO118" s="304"/>
      <c r="WCP118" s="572"/>
      <c r="WCQ118" s="573"/>
      <c r="WCR118" s="574"/>
      <c r="WCS118" s="575"/>
      <c r="WCT118" s="583"/>
      <c r="WCU118" s="590"/>
      <c r="WCV118" s="589"/>
      <c r="WCW118" s="585"/>
      <c r="WCX118" s="577"/>
      <c r="WCY118" s="304"/>
      <c r="WCZ118" s="572"/>
      <c r="WDA118" s="573"/>
      <c r="WDB118" s="574"/>
      <c r="WDC118" s="575"/>
      <c r="WDD118" s="583"/>
      <c r="WDE118" s="590"/>
      <c r="WDF118" s="589"/>
      <c r="WDG118" s="585"/>
      <c r="WDH118" s="577"/>
      <c r="WDI118" s="304"/>
      <c r="WDJ118" s="572"/>
      <c r="WDK118" s="573"/>
      <c r="WDL118" s="574"/>
      <c r="WDM118" s="575"/>
      <c r="WDN118" s="583"/>
      <c r="WDO118" s="590"/>
      <c r="WDP118" s="589"/>
      <c r="WDQ118" s="585"/>
      <c r="WDR118" s="577"/>
      <c r="WDS118" s="304"/>
      <c r="WDT118" s="572"/>
      <c r="WDU118" s="573"/>
      <c r="WDV118" s="574"/>
      <c r="WDW118" s="575"/>
      <c r="WDX118" s="583"/>
      <c r="WDY118" s="590"/>
      <c r="WDZ118" s="589"/>
      <c r="WEA118" s="585"/>
      <c r="WEB118" s="577"/>
      <c r="WEC118" s="304"/>
      <c r="WED118" s="572"/>
      <c r="WEE118" s="573"/>
      <c r="WEF118" s="574"/>
      <c r="WEG118" s="575"/>
      <c r="WEH118" s="583"/>
      <c r="WEI118" s="590"/>
      <c r="WEJ118" s="589"/>
      <c r="WEK118" s="585"/>
      <c r="WEL118" s="577"/>
      <c r="WEM118" s="304"/>
      <c r="WEN118" s="572"/>
      <c r="WEO118" s="573"/>
      <c r="WEP118" s="574"/>
      <c r="WEQ118" s="575"/>
      <c r="WER118" s="583"/>
      <c r="WES118" s="590"/>
      <c r="WET118" s="589"/>
      <c r="WEU118" s="585"/>
      <c r="WEV118" s="577"/>
      <c r="WEW118" s="304"/>
      <c r="WEX118" s="572"/>
      <c r="WEY118" s="573"/>
      <c r="WEZ118" s="574"/>
      <c r="WFA118" s="575"/>
      <c r="WFB118" s="583"/>
      <c r="WFC118" s="590"/>
      <c r="WFD118" s="589"/>
      <c r="WFE118" s="585"/>
      <c r="WFF118" s="577"/>
      <c r="WFG118" s="304"/>
      <c r="WFH118" s="572"/>
      <c r="WFI118" s="573"/>
      <c r="WFJ118" s="574"/>
      <c r="WFK118" s="575"/>
      <c r="WFL118" s="583"/>
      <c r="WFM118" s="590"/>
      <c r="WFN118" s="589"/>
      <c r="WFO118" s="585"/>
      <c r="WFP118" s="577"/>
      <c r="WFQ118" s="304"/>
      <c r="WFR118" s="572"/>
      <c r="WFS118" s="573"/>
      <c r="WFT118" s="574"/>
      <c r="WFU118" s="575"/>
      <c r="WFV118" s="583"/>
      <c r="WFW118" s="590"/>
      <c r="WFX118" s="589"/>
      <c r="WFY118" s="585"/>
      <c r="WFZ118" s="577"/>
      <c r="WGA118" s="304"/>
      <c r="WGB118" s="572"/>
      <c r="WGC118" s="573"/>
      <c r="WGD118" s="574"/>
      <c r="WGE118" s="575"/>
      <c r="WGF118" s="583"/>
      <c r="WGG118" s="590"/>
      <c r="WGH118" s="589"/>
      <c r="WGI118" s="585"/>
      <c r="WGJ118" s="577"/>
      <c r="WGK118" s="304"/>
      <c r="WGL118" s="572"/>
      <c r="WGM118" s="573"/>
      <c r="WGN118" s="574"/>
      <c r="WGO118" s="575"/>
      <c r="WGP118" s="583"/>
      <c r="WGQ118" s="590"/>
      <c r="WGR118" s="589"/>
      <c r="WGS118" s="585"/>
      <c r="WGT118" s="577"/>
      <c r="WGU118" s="304"/>
      <c r="WGV118" s="572"/>
      <c r="WGW118" s="573"/>
      <c r="WGX118" s="574"/>
      <c r="WGY118" s="575"/>
      <c r="WGZ118" s="583"/>
      <c r="WHA118" s="590"/>
      <c r="WHB118" s="589"/>
      <c r="WHC118" s="585"/>
      <c r="WHD118" s="577"/>
      <c r="WHE118" s="304"/>
      <c r="WHF118" s="572"/>
      <c r="WHG118" s="573"/>
      <c r="WHH118" s="574"/>
      <c r="WHI118" s="575"/>
      <c r="WHJ118" s="583"/>
      <c r="WHK118" s="590"/>
      <c r="WHL118" s="589"/>
      <c r="WHM118" s="585"/>
      <c r="WHN118" s="577"/>
      <c r="WHO118" s="304"/>
      <c r="WHP118" s="572"/>
      <c r="WHQ118" s="573"/>
      <c r="WHR118" s="574"/>
      <c r="WHS118" s="575"/>
      <c r="WHT118" s="583"/>
      <c r="WHU118" s="590"/>
      <c r="WHV118" s="589"/>
      <c r="WHW118" s="585"/>
      <c r="WHX118" s="577"/>
      <c r="WHY118" s="304"/>
      <c r="WHZ118" s="572"/>
      <c r="WIA118" s="573"/>
      <c r="WIB118" s="574"/>
      <c r="WIC118" s="575"/>
      <c r="WID118" s="583"/>
      <c r="WIE118" s="590"/>
      <c r="WIF118" s="589"/>
      <c r="WIG118" s="585"/>
      <c r="WIH118" s="577"/>
      <c r="WII118" s="304"/>
      <c r="WIJ118" s="572"/>
      <c r="WIK118" s="573"/>
      <c r="WIL118" s="574"/>
      <c r="WIM118" s="575"/>
      <c r="WIN118" s="583"/>
      <c r="WIO118" s="590"/>
      <c r="WIP118" s="589"/>
      <c r="WIQ118" s="585"/>
      <c r="WIR118" s="577"/>
      <c r="WIS118" s="304"/>
      <c r="WIT118" s="572"/>
      <c r="WIU118" s="573"/>
      <c r="WIV118" s="574"/>
      <c r="WIW118" s="575"/>
      <c r="WIX118" s="583"/>
      <c r="WIY118" s="590"/>
      <c r="WIZ118" s="589"/>
      <c r="WJA118" s="585"/>
      <c r="WJB118" s="577"/>
      <c r="WJC118" s="304"/>
      <c r="WJD118" s="572"/>
      <c r="WJE118" s="573"/>
      <c r="WJF118" s="574"/>
      <c r="WJG118" s="575"/>
      <c r="WJH118" s="583"/>
      <c r="WJI118" s="590"/>
      <c r="WJJ118" s="589"/>
      <c r="WJK118" s="585"/>
      <c r="WJL118" s="577"/>
      <c r="WJM118" s="304"/>
      <c r="WJN118" s="572"/>
      <c r="WJO118" s="573"/>
      <c r="WJP118" s="574"/>
      <c r="WJQ118" s="575"/>
      <c r="WJR118" s="583"/>
      <c r="WJS118" s="590"/>
      <c r="WJT118" s="589"/>
      <c r="WJU118" s="585"/>
      <c r="WJV118" s="577"/>
      <c r="WJW118" s="304"/>
      <c r="WJX118" s="572"/>
      <c r="WJY118" s="573"/>
      <c r="WJZ118" s="574"/>
      <c r="WKA118" s="575"/>
      <c r="WKB118" s="583"/>
      <c r="WKC118" s="590"/>
      <c r="WKD118" s="589"/>
      <c r="WKE118" s="585"/>
      <c r="WKF118" s="577"/>
      <c r="WKG118" s="304"/>
      <c r="WKH118" s="572"/>
      <c r="WKI118" s="573"/>
      <c r="WKJ118" s="574"/>
      <c r="WKK118" s="575"/>
      <c r="WKL118" s="583"/>
      <c r="WKM118" s="590"/>
      <c r="WKN118" s="589"/>
      <c r="WKO118" s="585"/>
      <c r="WKP118" s="577"/>
      <c r="WKQ118" s="304"/>
      <c r="WKR118" s="572"/>
      <c r="WKS118" s="573"/>
      <c r="WKT118" s="574"/>
      <c r="WKU118" s="575"/>
      <c r="WKV118" s="583"/>
      <c r="WKW118" s="590"/>
      <c r="WKX118" s="589"/>
      <c r="WKY118" s="585"/>
      <c r="WKZ118" s="577"/>
      <c r="WLA118" s="304"/>
      <c r="WLB118" s="572"/>
      <c r="WLC118" s="573"/>
      <c r="WLD118" s="574"/>
      <c r="WLE118" s="575"/>
      <c r="WLF118" s="583"/>
      <c r="WLG118" s="590"/>
      <c r="WLH118" s="589"/>
      <c r="WLI118" s="585"/>
      <c r="WLJ118" s="577"/>
      <c r="WLK118" s="304"/>
      <c r="WLL118" s="572"/>
      <c r="WLM118" s="573"/>
      <c r="WLN118" s="574"/>
      <c r="WLO118" s="575"/>
      <c r="WLP118" s="583"/>
      <c r="WLQ118" s="590"/>
      <c r="WLR118" s="589"/>
      <c r="WLS118" s="585"/>
      <c r="WLT118" s="577"/>
      <c r="WLU118" s="304"/>
      <c r="WLV118" s="572"/>
      <c r="WLW118" s="573"/>
      <c r="WLX118" s="574"/>
      <c r="WLY118" s="575"/>
      <c r="WLZ118" s="583"/>
      <c r="WMA118" s="590"/>
      <c r="WMB118" s="589"/>
      <c r="WMC118" s="585"/>
      <c r="WMD118" s="577"/>
      <c r="WME118" s="304"/>
      <c r="WMF118" s="572"/>
      <c r="WMG118" s="573"/>
      <c r="WMH118" s="574"/>
      <c r="WMI118" s="575"/>
      <c r="WMJ118" s="583"/>
      <c r="WMK118" s="590"/>
      <c r="WML118" s="589"/>
      <c r="WMM118" s="585"/>
      <c r="WMN118" s="577"/>
      <c r="WMO118" s="304"/>
      <c r="WMP118" s="572"/>
      <c r="WMQ118" s="573"/>
      <c r="WMR118" s="574"/>
      <c r="WMS118" s="575"/>
      <c r="WMT118" s="583"/>
      <c r="WMU118" s="590"/>
      <c r="WMV118" s="589"/>
      <c r="WMW118" s="585"/>
      <c r="WMX118" s="577"/>
      <c r="WMY118" s="304"/>
      <c r="WMZ118" s="572"/>
      <c r="WNA118" s="573"/>
      <c r="WNB118" s="574"/>
      <c r="WNC118" s="575"/>
      <c r="WND118" s="583"/>
      <c r="WNE118" s="590"/>
      <c r="WNF118" s="589"/>
      <c r="WNG118" s="585"/>
      <c r="WNH118" s="577"/>
      <c r="WNI118" s="304"/>
      <c r="WNJ118" s="572"/>
      <c r="WNK118" s="573"/>
      <c r="WNL118" s="574"/>
      <c r="WNM118" s="575"/>
      <c r="WNN118" s="583"/>
      <c r="WNO118" s="590"/>
      <c r="WNP118" s="589"/>
      <c r="WNQ118" s="585"/>
      <c r="WNR118" s="577"/>
      <c r="WNS118" s="304"/>
      <c r="WNT118" s="572"/>
      <c r="WNU118" s="573"/>
      <c r="WNV118" s="574"/>
      <c r="WNW118" s="575"/>
      <c r="WNX118" s="583"/>
      <c r="WNY118" s="590"/>
      <c r="WNZ118" s="589"/>
      <c r="WOA118" s="585"/>
      <c r="WOB118" s="577"/>
      <c r="WOC118" s="304"/>
      <c r="WOD118" s="572"/>
      <c r="WOE118" s="573"/>
      <c r="WOF118" s="574"/>
      <c r="WOG118" s="575"/>
      <c r="WOH118" s="583"/>
      <c r="WOI118" s="590"/>
      <c r="WOJ118" s="589"/>
      <c r="WOK118" s="585"/>
      <c r="WOL118" s="577"/>
      <c r="WOM118" s="304"/>
      <c r="WON118" s="572"/>
      <c r="WOO118" s="573"/>
      <c r="WOP118" s="574"/>
      <c r="WOQ118" s="575"/>
      <c r="WOR118" s="583"/>
      <c r="WOS118" s="590"/>
      <c r="WOT118" s="589"/>
      <c r="WOU118" s="585"/>
      <c r="WOV118" s="577"/>
      <c r="WOW118" s="304"/>
      <c r="WOX118" s="572"/>
      <c r="WOY118" s="573"/>
      <c r="WOZ118" s="574"/>
      <c r="WPA118" s="575"/>
      <c r="WPB118" s="583"/>
      <c r="WPC118" s="590"/>
      <c r="WPD118" s="589"/>
      <c r="WPE118" s="585"/>
      <c r="WPF118" s="577"/>
      <c r="WPG118" s="304"/>
      <c r="WPH118" s="572"/>
      <c r="WPI118" s="573"/>
      <c r="WPJ118" s="574"/>
      <c r="WPK118" s="575"/>
      <c r="WPL118" s="583"/>
      <c r="WPM118" s="590"/>
      <c r="WPN118" s="589"/>
      <c r="WPO118" s="585"/>
      <c r="WPP118" s="577"/>
      <c r="WPQ118" s="304"/>
      <c r="WPR118" s="572"/>
      <c r="WPS118" s="573"/>
      <c r="WPT118" s="574"/>
      <c r="WPU118" s="575"/>
      <c r="WPV118" s="583"/>
      <c r="WPW118" s="590"/>
      <c r="WPX118" s="589"/>
      <c r="WPY118" s="585"/>
      <c r="WPZ118" s="577"/>
      <c r="WQA118" s="304"/>
      <c r="WQB118" s="572"/>
      <c r="WQC118" s="573"/>
      <c r="WQD118" s="574"/>
      <c r="WQE118" s="575"/>
      <c r="WQF118" s="583"/>
      <c r="WQG118" s="590"/>
      <c r="WQH118" s="589"/>
      <c r="WQI118" s="585"/>
      <c r="WQJ118" s="577"/>
      <c r="WQK118" s="304"/>
      <c r="WQL118" s="572"/>
      <c r="WQM118" s="573"/>
      <c r="WQN118" s="574"/>
      <c r="WQO118" s="575"/>
      <c r="WQP118" s="583"/>
      <c r="WQQ118" s="590"/>
      <c r="WQR118" s="589"/>
      <c r="WQS118" s="585"/>
      <c r="WQT118" s="577"/>
      <c r="WQU118" s="304"/>
      <c r="WQV118" s="572"/>
      <c r="WQW118" s="573"/>
      <c r="WQX118" s="574"/>
      <c r="WQY118" s="575"/>
      <c r="WQZ118" s="583"/>
      <c r="WRA118" s="590"/>
      <c r="WRB118" s="589"/>
      <c r="WRC118" s="585"/>
      <c r="WRD118" s="577"/>
      <c r="WRE118" s="304"/>
      <c r="WRF118" s="572"/>
      <c r="WRG118" s="573"/>
      <c r="WRH118" s="574"/>
      <c r="WRI118" s="575"/>
      <c r="WRJ118" s="583"/>
      <c r="WRK118" s="590"/>
      <c r="WRL118" s="589"/>
      <c r="WRM118" s="585"/>
      <c r="WRN118" s="577"/>
      <c r="WRO118" s="304"/>
      <c r="WRP118" s="572"/>
      <c r="WRQ118" s="573"/>
      <c r="WRR118" s="574"/>
      <c r="WRS118" s="575"/>
      <c r="WRT118" s="583"/>
      <c r="WRU118" s="590"/>
      <c r="WRV118" s="589"/>
      <c r="WRW118" s="585"/>
      <c r="WRX118" s="577"/>
      <c r="WRY118" s="304"/>
      <c r="WRZ118" s="572"/>
      <c r="WSA118" s="573"/>
      <c r="WSB118" s="574"/>
      <c r="WSC118" s="575"/>
      <c r="WSD118" s="583"/>
      <c r="WSE118" s="590"/>
      <c r="WSF118" s="589"/>
      <c r="WSG118" s="585"/>
      <c r="WSH118" s="577"/>
      <c r="WSI118" s="304"/>
      <c r="WSJ118" s="572"/>
      <c r="WSK118" s="573"/>
      <c r="WSL118" s="574"/>
      <c r="WSM118" s="575"/>
      <c r="WSN118" s="583"/>
      <c r="WSO118" s="590"/>
      <c r="WSP118" s="589"/>
      <c r="WSQ118" s="585"/>
      <c r="WSR118" s="577"/>
      <c r="WSS118" s="304"/>
      <c r="WST118" s="572"/>
      <c r="WSU118" s="573"/>
      <c r="WSV118" s="574"/>
      <c r="WSW118" s="575"/>
      <c r="WSX118" s="583"/>
      <c r="WSY118" s="590"/>
      <c r="WSZ118" s="589"/>
      <c r="WTA118" s="585"/>
      <c r="WTB118" s="577"/>
      <c r="WTC118" s="304"/>
      <c r="WTD118" s="572"/>
      <c r="WTE118" s="573"/>
      <c r="WTF118" s="574"/>
      <c r="WTG118" s="575"/>
      <c r="WTH118" s="583"/>
      <c r="WTI118" s="590"/>
      <c r="WTJ118" s="589"/>
      <c r="WTK118" s="585"/>
      <c r="WTL118" s="577"/>
      <c r="WTM118" s="304"/>
      <c r="WTN118" s="572"/>
      <c r="WTO118" s="573"/>
      <c r="WTP118" s="574"/>
      <c r="WTQ118" s="575"/>
      <c r="WTR118" s="583"/>
      <c r="WTS118" s="590"/>
      <c r="WTT118" s="589"/>
      <c r="WTU118" s="585"/>
      <c r="WTV118" s="577"/>
      <c r="WTW118" s="304"/>
      <c r="WTX118" s="572"/>
      <c r="WTY118" s="573"/>
      <c r="WTZ118" s="574"/>
      <c r="WUA118" s="575"/>
      <c r="WUB118" s="583"/>
      <c r="WUC118" s="590"/>
      <c r="WUD118" s="589"/>
      <c r="WUE118" s="585"/>
      <c r="WUF118" s="577"/>
      <c r="WUG118" s="304"/>
      <c r="WUH118" s="572"/>
      <c r="WUI118" s="573"/>
      <c r="WUJ118" s="574"/>
      <c r="WUK118" s="575"/>
      <c r="WUL118" s="583"/>
      <c r="WUM118" s="590"/>
      <c r="WUN118" s="589"/>
      <c r="WUO118" s="585"/>
      <c r="WUP118" s="577"/>
      <c r="WUQ118" s="304"/>
      <c r="WUR118" s="572"/>
      <c r="WUS118" s="573"/>
      <c r="WUT118" s="574"/>
      <c r="WUU118" s="575"/>
      <c r="WUV118" s="583"/>
      <c r="WUW118" s="590"/>
      <c r="WUX118" s="589"/>
      <c r="WUY118" s="585"/>
      <c r="WUZ118" s="577"/>
      <c r="WVA118" s="304"/>
      <c r="WVB118" s="572"/>
      <c r="WVC118" s="573"/>
      <c r="WVD118" s="574"/>
      <c r="WVE118" s="575"/>
      <c r="WVF118" s="583"/>
      <c r="WVG118" s="590"/>
      <c r="WVH118" s="589"/>
      <c r="WVI118" s="585"/>
      <c r="WVJ118" s="577"/>
      <c r="WVK118" s="304"/>
      <c r="WVL118" s="572"/>
      <c r="WVM118" s="573"/>
      <c r="WVN118" s="574"/>
      <c r="WVO118" s="575"/>
      <c r="WVP118" s="583"/>
      <c r="WVQ118" s="590"/>
      <c r="WVR118" s="589"/>
      <c r="WVS118" s="585"/>
      <c r="WVT118" s="577"/>
      <c r="WVU118" s="304"/>
      <c r="WVV118" s="572"/>
      <c r="WVW118" s="573"/>
      <c r="WVX118" s="574"/>
      <c r="WVY118" s="575"/>
      <c r="WVZ118" s="583"/>
      <c r="WWA118" s="590"/>
      <c r="WWB118" s="589"/>
      <c r="WWC118" s="585"/>
      <c r="WWD118" s="577"/>
      <c r="WWE118" s="304"/>
      <c r="WWF118" s="572"/>
      <c r="WWG118" s="573"/>
      <c r="WWH118" s="574"/>
      <c r="WWI118" s="575"/>
      <c r="WWJ118" s="583"/>
      <c r="WWK118" s="590"/>
      <c r="WWL118" s="589"/>
      <c r="WWM118" s="585"/>
      <c r="WWN118" s="577"/>
      <c r="WWO118" s="304"/>
      <c r="WWP118" s="572"/>
      <c r="WWQ118" s="573"/>
      <c r="WWR118" s="574"/>
      <c r="WWS118" s="575"/>
      <c r="WWT118" s="583"/>
      <c r="WWU118" s="590"/>
      <c r="WWV118" s="589"/>
      <c r="WWW118" s="585"/>
      <c r="WWX118" s="577"/>
      <c r="WWY118" s="304"/>
      <c r="WWZ118" s="572"/>
      <c r="WXA118" s="573"/>
      <c r="WXB118" s="574"/>
      <c r="WXC118" s="575"/>
      <c r="WXD118" s="583"/>
      <c r="WXE118" s="590"/>
      <c r="WXF118" s="589"/>
      <c r="WXG118" s="585"/>
      <c r="WXH118" s="577"/>
      <c r="WXI118" s="304"/>
      <c r="WXJ118" s="572"/>
      <c r="WXK118" s="573"/>
      <c r="WXL118" s="574"/>
      <c r="WXM118" s="575"/>
      <c r="WXN118" s="583"/>
      <c r="WXO118" s="590"/>
      <c r="WXP118" s="589"/>
      <c r="WXQ118" s="585"/>
      <c r="WXR118" s="577"/>
      <c r="WXS118" s="304"/>
      <c r="WXT118" s="572"/>
      <c r="WXU118" s="573"/>
      <c r="WXV118" s="574"/>
      <c r="WXW118" s="575"/>
      <c r="WXX118" s="583"/>
      <c r="WXY118" s="590"/>
      <c r="WXZ118" s="589"/>
      <c r="WYA118" s="585"/>
      <c r="WYB118" s="577"/>
      <c r="WYC118" s="304"/>
      <c r="WYD118" s="572"/>
      <c r="WYE118" s="573"/>
      <c r="WYF118" s="574"/>
      <c r="WYG118" s="575"/>
      <c r="WYH118" s="583"/>
      <c r="WYI118" s="590"/>
      <c r="WYJ118" s="589"/>
      <c r="WYK118" s="585"/>
      <c r="WYL118" s="577"/>
      <c r="WYM118" s="304"/>
      <c r="WYN118" s="572"/>
      <c r="WYO118" s="573"/>
      <c r="WYP118" s="574"/>
      <c r="WYQ118" s="575"/>
      <c r="WYR118" s="583"/>
      <c r="WYS118" s="590"/>
      <c r="WYT118" s="589"/>
      <c r="WYU118" s="585"/>
      <c r="WYV118" s="577"/>
      <c r="WYW118" s="304"/>
      <c r="WYX118" s="572"/>
      <c r="WYY118" s="573"/>
      <c r="WYZ118" s="574"/>
      <c r="WZA118" s="575"/>
      <c r="WZB118" s="583"/>
      <c r="WZC118" s="590"/>
      <c r="WZD118" s="589"/>
      <c r="WZE118" s="585"/>
      <c r="WZF118" s="577"/>
      <c r="WZG118" s="304"/>
      <c r="WZH118" s="572"/>
      <c r="WZI118" s="573"/>
      <c r="WZJ118" s="574"/>
      <c r="WZK118" s="575"/>
      <c r="WZL118" s="583"/>
      <c r="WZM118" s="590"/>
      <c r="WZN118" s="589"/>
      <c r="WZO118" s="585"/>
      <c r="WZP118" s="577"/>
      <c r="WZQ118" s="304"/>
      <c r="WZR118" s="572"/>
      <c r="WZS118" s="573"/>
      <c r="WZT118" s="574"/>
      <c r="WZU118" s="575"/>
      <c r="WZV118" s="583"/>
      <c r="WZW118" s="590"/>
      <c r="WZX118" s="589"/>
      <c r="WZY118" s="585"/>
      <c r="WZZ118" s="577"/>
      <c r="XAA118" s="304"/>
      <c r="XAB118" s="572"/>
      <c r="XAC118" s="573"/>
      <c r="XAD118" s="574"/>
      <c r="XAE118" s="575"/>
      <c r="XAF118" s="583"/>
      <c r="XAG118" s="590"/>
      <c r="XAH118" s="589"/>
      <c r="XAI118" s="585"/>
      <c r="XAJ118" s="577"/>
      <c r="XAK118" s="304"/>
      <c r="XAL118" s="572"/>
      <c r="XAM118" s="573"/>
      <c r="XAN118" s="574"/>
      <c r="XAO118" s="575"/>
      <c r="XAP118" s="583"/>
      <c r="XAQ118" s="590"/>
      <c r="XAR118" s="589"/>
      <c r="XAS118" s="585"/>
      <c r="XAT118" s="577"/>
      <c r="XAU118" s="304"/>
      <c r="XAV118" s="572"/>
      <c r="XAW118" s="573"/>
      <c r="XAX118" s="574"/>
      <c r="XAY118" s="575"/>
      <c r="XAZ118" s="583"/>
      <c r="XBA118" s="590"/>
      <c r="XBB118" s="589"/>
      <c r="XBC118" s="585"/>
      <c r="XBD118" s="577"/>
      <c r="XBE118" s="304"/>
      <c r="XBF118" s="572"/>
      <c r="XBG118" s="573"/>
      <c r="XBH118" s="574"/>
      <c r="XBI118" s="575"/>
      <c r="XBJ118" s="583"/>
      <c r="XBK118" s="590"/>
      <c r="XBL118" s="589"/>
      <c r="XBM118" s="585"/>
      <c r="XBN118" s="577"/>
      <c r="XBO118" s="304"/>
      <c r="XBP118" s="572"/>
      <c r="XBQ118" s="573"/>
      <c r="XBR118" s="574"/>
      <c r="XBS118" s="575"/>
      <c r="XBT118" s="583"/>
      <c r="XBU118" s="590"/>
      <c r="XBV118" s="589"/>
      <c r="XBW118" s="585"/>
      <c r="XBX118" s="577"/>
      <c r="XBY118" s="304"/>
      <c r="XBZ118" s="572"/>
      <c r="XCA118" s="573"/>
      <c r="XCB118" s="574"/>
      <c r="XCC118" s="575"/>
      <c r="XCD118" s="583"/>
      <c r="XCE118" s="590"/>
      <c r="XCF118" s="589"/>
      <c r="XCG118" s="585"/>
      <c r="XCH118" s="577"/>
      <c r="XCI118" s="304"/>
      <c r="XCJ118" s="572"/>
      <c r="XCK118" s="573"/>
      <c r="XCL118" s="574"/>
      <c r="XCM118" s="575"/>
      <c r="XCN118" s="583"/>
      <c r="XCO118" s="590"/>
      <c r="XCP118" s="589"/>
      <c r="XCQ118" s="585"/>
      <c r="XCR118" s="577"/>
      <c r="XCS118" s="304"/>
      <c r="XCT118" s="572"/>
      <c r="XCU118" s="573"/>
      <c r="XCV118" s="574"/>
      <c r="XCW118" s="575"/>
      <c r="XCX118" s="583"/>
      <c r="XCY118" s="590"/>
      <c r="XCZ118" s="589"/>
      <c r="XDA118" s="585"/>
      <c r="XDB118" s="577"/>
      <c r="XDC118" s="304"/>
      <c r="XDD118" s="572"/>
      <c r="XDE118" s="573"/>
      <c r="XDF118" s="574"/>
      <c r="XDG118" s="575"/>
      <c r="XDH118" s="583"/>
      <c r="XDI118" s="590"/>
      <c r="XDJ118" s="589"/>
      <c r="XDK118" s="585"/>
      <c r="XDL118" s="577"/>
      <c r="XDM118" s="304"/>
      <c r="XDN118" s="572"/>
      <c r="XDO118" s="573"/>
      <c r="XDP118" s="574"/>
      <c r="XDQ118" s="575"/>
      <c r="XDR118" s="583"/>
      <c r="XDS118" s="590"/>
      <c r="XDT118" s="589"/>
      <c r="XDU118" s="585"/>
      <c r="XDV118" s="577"/>
      <c r="XDW118" s="304"/>
      <c r="XDX118" s="572"/>
      <c r="XDY118" s="573"/>
      <c r="XDZ118" s="574"/>
      <c r="XEA118" s="575"/>
      <c r="XEB118" s="583"/>
      <c r="XEC118" s="590"/>
      <c r="XED118" s="589"/>
      <c r="XEE118" s="585"/>
      <c r="XEF118" s="577"/>
      <c r="XEG118" s="304"/>
      <c r="XEH118" s="572"/>
      <c r="XEI118" s="573"/>
      <c r="XEJ118" s="574"/>
      <c r="XEK118" s="575"/>
      <c r="XEL118" s="583"/>
      <c r="XEM118" s="590"/>
      <c r="XEN118" s="589"/>
      <c r="XEO118" s="585"/>
      <c r="XEP118" s="577"/>
      <c r="XEQ118" s="304"/>
      <c r="XER118" s="572"/>
      <c r="XES118" s="573"/>
      <c r="XET118" s="574"/>
      <c r="XEU118" s="575"/>
      <c r="XEV118" s="583"/>
      <c r="XEW118" s="590"/>
      <c r="XEX118" s="589"/>
      <c r="XEY118" s="585"/>
      <c r="XEZ118" s="577"/>
      <c r="XFA118" s="304"/>
      <c r="XFB118" s="572"/>
      <c r="XFC118" s="573"/>
      <c r="XFD118" s="574"/>
    </row>
    <row r="119" spans="1:16384" ht="71.25" thickTop="1" thickBot="1" x14ac:dyDescent="0.5">
      <c r="A119" s="334" t="s">
        <v>316</v>
      </c>
      <c r="B119" s="603" t="s">
        <v>373</v>
      </c>
      <c r="C119" s="601" t="s">
        <v>136</v>
      </c>
      <c r="D119" s="600" t="s">
        <v>134</v>
      </c>
      <c r="E119" s="603" t="s">
        <v>133</v>
      </c>
      <c r="F119" s="601" t="s">
        <v>374</v>
      </c>
      <c r="G119" s="337" t="s">
        <v>136</v>
      </c>
      <c r="H119" s="604" t="s">
        <v>375</v>
      </c>
      <c r="I119" s="604" t="s">
        <v>376</v>
      </c>
      <c r="J119" s="602" t="s">
        <v>377</v>
      </c>
      <c r="K119" s="304"/>
      <c r="HB119" s="577"/>
      <c r="HC119" s="304"/>
      <c r="HD119" s="572"/>
      <c r="HE119" s="573"/>
      <c r="HF119" s="574"/>
      <c r="HG119" s="575"/>
      <c r="HH119" s="583"/>
      <c r="HI119" s="590"/>
      <c r="HJ119" s="589"/>
      <c r="HK119" s="585"/>
      <c r="HL119" s="577"/>
      <c r="HM119" s="304"/>
      <c r="HN119" s="572"/>
      <c r="HO119" s="573"/>
      <c r="HP119" s="574"/>
      <c r="HQ119" s="575"/>
      <c r="HR119" s="583"/>
      <c r="HS119" s="590"/>
      <c r="HT119" s="589"/>
      <c r="HU119" s="585"/>
      <c r="HV119" s="577"/>
      <c r="HW119" s="304"/>
      <c r="HX119" s="572"/>
      <c r="HY119" s="573"/>
      <c r="HZ119" s="574"/>
      <c r="IA119" s="575"/>
      <c r="IB119" s="583"/>
      <c r="IC119" s="590"/>
      <c r="ID119" s="589"/>
      <c r="IE119" s="585"/>
      <c r="IF119" s="577"/>
      <c r="IG119" s="304"/>
      <c r="IH119" s="572"/>
      <c r="II119" s="573"/>
      <c r="IJ119" s="574"/>
      <c r="IK119" s="575"/>
      <c r="IL119" s="583"/>
      <c r="IM119" s="590"/>
      <c r="IN119" s="589"/>
      <c r="IO119" s="585"/>
      <c r="IP119" s="577"/>
      <c r="IQ119" s="304"/>
      <c r="IR119" s="572"/>
      <c r="IS119" s="573"/>
      <c r="IT119" s="574"/>
      <c r="IU119" s="575"/>
      <c r="IV119" s="583"/>
      <c r="IW119" s="590"/>
      <c r="IX119" s="589"/>
      <c r="IY119" s="585"/>
      <c r="IZ119" s="577"/>
      <c r="JA119" s="304"/>
      <c r="JB119" s="572"/>
      <c r="JC119" s="573"/>
      <c r="JD119" s="574"/>
      <c r="JE119" s="575"/>
      <c r="JF119" s="583"/>
      <c r="JG119" s="590"/>
      <c r="JH119" s="589"/>
      <c r="JI119" s="585"/>
      <c r="JJ119" s="577"/>
      <c r="JK119" s="304"/>
      <c r="JL119" s="572"/>
      <c r="JM119" s="573"/>
      <c r="JN119" s="574"/>
      <c r="JO119" s="575"/>
      <c r="JP119" s="583"/>
      <c r="JQ119" s="590"/>
      <c r="JR119" s="589"/>
      <c r="JS119" s="585"/>
      <c r="JT119" s="577"/>
      <c r="JU119" s="304"/>
      <c r="JV119" s="572"/>
      <c r="JW119" s="573"/>
      <c r="JX119" s="574"/>
      <c r="JY119" s="575"/>
      <c r="JZ119" s="583"/>
      <c r="KA119" s="590"/>
      <c r="KB119" s="589"/>
      <c r="KC119" s="585"/>
      <c r="KD119" s="577"/>
      <c r="KE119" s="304"/>
      <c r="KF119" s="572"/>
      <c r="KG119" s="573"/>
      <c r="KH119" s="574"/>
      <c r="KI119" s="575"/>
      <c r="KJ119" s="583"/>
      <c r="KK119" s="590"/>
      <c r="KL119" s="589"/>
      <c r="KM119" s="585"/>
      <c r="KN119" s="577"/>
      <c r="KO119" s="304"/>
      <c r="KP119" s="572"/>
      <c r="KQ119" s="573"/>
      <c r="KR119" s="574"/>
      <c r="KS119" s="575"/>
      <c r="KT119" s="583"/>
      <c r="KU119" s="590"/>
      <c r="KV119" s="589"/>
      <c r="KW119" s="585"/>
      <c r="KX119" s="577"/>
      <c r="KY119" s="304"/>
      <c r="KZ119" s="572"/>
      <c r="LA119" s="573"/>
      <c r="LB119" s="574"/>
      <c r="LC119" s="575"/>
      <c r="LD119" s="583"/>
      <c r="LE119" s="590"/>
      <c r="LF119" s="589"/>
      <c r="LG119" s="585"/>
      <c r="LH119" s="577"/>
      <c r="LI119" s="304"/>
      <c r="LJ119" s="572"/>
      <c r="LK119" s="573"/>
      <c r="LL119" s="574"/>
      <c r="LM119" s="575"/>
      <c r="LN119" s="583"/>
      <c r="LO119" s="590"/>
      <c r="LP119" s="589"/>
      <c r="LQ119" s="585"/>
      <c r="LR119" s="577"/>
      <c r="LS119" s="304"/>
      <c r="LT119" s="572"/>
      <c r="LU119" s="573"/>
      <c r="LV119" s="574"/>
      <c r="LW119" s="575"/>
      <c r="LX119" s="583"/>
      <c r="LY119" s="590"/>
      <c r="LZ119" s="589"/>
      <c r="MA119" s="585"/>
      <c r="MB119" s="577"/>
      <c r="MC119" s="304"/>
      <c r="MD119" s="572"/>
      <c r="ME119" s="573"/>
      <c r="MF119" s="574"/>
      <c r="MG119" s="575"/>
      <c r="MH119" s="583"/>
      <c r="MI119" s="590"/>
      <c r="MJ119" s="589"/>
      <c r="MK119" s="585"/>
      <c r="ML119" s="577"/>
      <c r="MM119" s="304"/>
      <c r="MN119" s="572"/>
      <c r="MO119" s="573"/>
      <c r="MP119" s="574"/>
      <c r="MQ119" s="575"/>
      <c r="MR119" s="583"/>
      <c r="MS119" s="590"/>
      <c r="MT119" s="589"/>
      <c r="MU119" s="585"/>
      <c r="MV119" s="577"/>
      <c r="MW119" s="304"/>
      <c r="MX119" s="572"/>
      <c r="MY119" s="573"/>
      <c r="MZ119" s="574"/>
      <c r="NA119" s="575"/>
      <c r="NB119" s="583"/>
      <c r="NC119" s="590"/>
      <c r="ND119" s="589"/>
      <c r="NE119" s="585"/>
      <c r="NF119" s="577"/>
      <c r="NG119" s="304"/>
      <c r="NH119" s="572"/>
      <c r="NI119" s="573"/>
      <c r="NJ119" s="574"/>
      <c r="NK119" s="575"/>
      <c r="NL119" s="583"/>
      <c r="NM119" s="590"/>
      <c r="NN119" s="589"/>
      <c r="NO119" s="585"/>
      <c r="NP119" s="577"/>
      <c r="NQ119" s="304"/>
      <c r="NR119" s="572"/>
      <c r="NS119" s="573"/>
      <c r="NT119" s="574"/>
      <c r="NU119" s="575"/>
      <c r="NV119" s="583"/>
      <c r="NW119" s="590"/>
      <c r="NX119" s="589"/>
      <c r="NY119" s="585"/>
      <c r="NZ119" s="577"/>
      <c r="OA119" s="304"/>
      <c r="OB119" s="572"/>
      <c r="OC119" s="573"/>
      <c r="OD119" s="574"/>
      <c r="OE119" s="575"/>
      <c r="OF119" s="583"/>
      <c r="OG119" s="590"/>
      <c r="OH119" s="589"/>
      <c r="OI119" s="585"/>
      <c r="OJ119" s="577"/>
      <c r="OK119" s="304"/>
      <c r="OL119" s="572"/>
      <c r="OM119" s="573"/>
      <c r="ON119" s="574"/>
      <c r="OO119" s="575"/>
      <c r="OP119" s="583"/>
      <c r="OQ119" s="590"/>
      <c r="OR119" s="589"/>
      <c r="OS119" s="585"/>
      <c r="OT119" s="577"/>
      <c r="OU119" s="304"/>
      <c r="OV119" s="572"/>
      <c r="OW119" s="573"/>
      <c r="OX119" s="574"/>
      <c r="OY119" s="575"/>
      <c r="OZ119" s="583"/>
      <c r="PA119" s="590"/>
      <c r="PB119" s="589"/>
      <c r="PC119" s="585"/>
      <c r="PD119" s="577"/>
      <c r="PE119" s="304"/>
      <c r="PF119" s="572"/>
      <c r="PG119" s="573"/>
      <c r="PH119" s="574"/>
      <c r="PI119" s="575"/>
      <c r="PJ119" s="583"/>
      <c r="PK119" s="590"/>
      <c r="PL119" s="589"/>
      <c r="PM119" s="585"/>
      <c r="PN119" s="577"/>
      <c r="PO119" s="304"/>
      <c r="PP119" s="572"/>
      <c r="PQ119" s="573"/>
      <c r="PR119" s="574"/>
      <c r="PS119" s="575"/>
      <c r="PT119" s="583"/>
      <c r="PU119" s="590"/>
      <c r="PV119" s="589"/>
      <c r="PW119" s="585"/>
      <c r="PX119" s="577"/>
      <c r="PY119" s="304"/>
      <c r="PZ119" s="572"/>
      <c r="QA119" s="573"/>
      <c r="QB119" s="574"/>
      <c r="QC119" s="575"/>
      <c r="QD119" s="583"/>
      <c r="QE119" s="590"/>
      <c r="QF119" s="589"/>
      <c r="QG119" s="585"/>
      <c r="QH119" s="577"/>
      <c r="QI119" s="304"/>
      <c r="QJ119" s="572"/>
      <c r="QK119" s="573"/>
      <c r="QL119" s="574"/>
      <c r="QM119" s="575"/>
      <c r="QN119" s="583"/>
      <c r="QO119" s="590"/>
      <c r="QP119" s="589"/>
      <c r="QQ119" s="585"/>
      <c r="QR119" s="577"/>
      <c r="QS119" s="304"/>
      <c r="QT119" s="572"/>
      <c r="QU119" s="573"/>
      <c r="QV119" s="574"/>
      <c r="QW119" s="575"/>
      <c r="QX119" s="583"/>
      <c r="QY119" s="590"/>
      <c r="QZ119" s="589"/>
      <c r="RA119" s="585"/>
      <c r="RB119" s="577"/>
      <c r="RC119" s="304"/>
      <c r="RD119" s="572"/>
      <c r="RE119" s="573"/>
      <c r="RF119" s="574"/>
      <c r="RG119" s="575"/>
      <c r="RH119" s="583"/>
      <c r="RI119" s="590"/>
      <c r="RJ119" s="589"/>
      <c r="RK119" s="585"/>
      <c r="RL119" s="577"/>
      <c r="RM119" s="304"/>
      <c r="RN119" s="572"/>
      <c r="RO119" s="573"/>
      <c r="RP119" s="574"/>
      <c r="RQ119" s="575"/>
      <c r="RR119" s="583"/>
      <c r="RS119" s="590"/>
      <c r="RT119" s="589"/>
      <c r="RU119" s="585"/>
      <c r="RV119" s="577"/>
      <c r="RW119" s="304"/>
      <c r="RX119" s="572"/>
      <c r="RY119" s="573"/>
      <c r="RZ119" s="574"/>
      <c r="SA119" s="575"/>
      <c r="SB119" s="583"/>
      <c r="SC119" s="590"/>
      <c r="SD119" s="589"/>
      <c r="SE119" s="585"/>
      <c r="SF119" s="577"/>
      <c r="SG119" s="304"/>
      <c r="SH119" s="572"/>
      <c r="SI119" s="573"/>
      <c r="SJ119" s="574"/>
      <c r="SK119" s="575"/>
      <c r="SL119" s="583"/>
      <c r="SM119" s="590"/>
      <c r="SN119" s="589"/>
      <c r="SO119" s="585"/>
      <c r="SP119" s="577"/>
      <c r="SQ119" s="304"/>
      <c r="SR119" s="572"/>
      <c r="SS119" s="573"/>
      <c r="ST119" s="574"/>
      <c r="SU119" s="575"/>
      <c r="SV119" s="583"/>
      <c r="SW119" s="590"/>
      <c r="SX119" s="589"/>
      <c r="SY119" s="585"/>
      <c r="SZ119" s="577"/>
      <c r="TA119" s="304"/>
      <c r="TB119" s="572"/>
      <c r="TC119" s="573"/>
      <c r="TD119" s="574"/>
      <c r="TE119" s="575"/>
      <c r="TF119" s="583"/>
      <c r="TG119" s="590"/>
      <c r="TH119" s="589"/>
      <c r="TI119" s="585"/>
      <c r="TJ119" s="577"/>
      <c r="TK119" s="304"/>
      <c r="TL119" s="572"/>
      <c r="TM119" s="573"/>
      <c r="TN119" s="574"/>
      <c r="TO119" s="575"/>
      <c r="TP119" s="583"/>
      <c r="TQ119" s="590"/>
      <c r="TR119" s="589"/>
      <c r="TS119" s="585"/>
      <c r="TT119" s="577"/>
      <c r="TU119" s="304"/>
      <c r="TV119" s="572"/>
      <c r="TW119" s="573"/>
      <c r="TX119" s="574"/>
      <c r="TY119" s="575"/>
      <c r="TZ119" s="583"/>
      <c r="UA119" s="590"/>
      <c r="UB119" s="589"/>
      <c r="UC119" s="585"/>
      <c r="UD119" s="577"/>
      <c r="UE119" s="304"/>
      <c r="UF119" s="572"/>
      <c r="UG119" s="573"/>
      <c r="UH119" s="574"/>
      <c r="UI119" s="575"/>
      <c r="UJ119" s="583"/>
      <c r="UK119" s="590"/>
      <c r="UL119" s="589"/>
      <c r="UM119" s="585"/>
      <c r="UN119" s="577"/>
      <c r="UO119" s="304"/>
      <c r="UP119" s="572"/>
      <c r="UQ119" s="573"/>
      <c r="UR119" s="574"/>
      <c r="US119" s="575"/>
      <c r="UT119" s="583"/>
      <c r="UU119" s="590"/>
      <c r="UV119" s="589"/>
      <c r="UW119" s="585"/>
      <c r="UX119" s="577"/>
      <c r="UY119" s="304"/>
      <c r="UZ119" s="572"/>
      <c r="VA119" s="573"/>
      <c r="VB119" s="574"/>
      <c r="VC119" s="575"/>
      <c r="VD119" s="583"/>
      <c r="VE119" s="590"/>
      <c r="VF119" s="589"/>
      <c r="VG119" s="585"/>
      <c r="VH119" s="577"/>
      <c r="VI119" s="304"/>
      <c r="VJ119" s="572"/>
      <c r="VK119" s="573"/>
      <c r="VL119" s="574"/>
      <c r="VM119" s="575"/>
      <c r="VN119" s="583"/>
      <c r="VO119" s="590"/>
      <c r="VP119" s="589"/>
      <c r="VQ119" s="585"/>
      <c r="VR119" s="577"/>
      <c r="VS119" s="304"/>
      <c r="VT119" s="572"/>
      <c r="VU119" s="573"/>
      <c r="VV119" s="574"/>
      <c r="VW119" s="575"/>
      <c r="VX119" s="583"/>
      <c r="VY119" s="590"/>
      <c r="VZ119" s="589"/>
      <c r="WA119" s="585"/>
      <c r="WB119" s="577"/>
      <c r="WC119" s="304"/>
      <c r="WD119" s="572"/>
      <c r="WE119" s="573"/>
      <c r="WF119" s="574"/>
      <c r="WG119" s="575"/>
      <c r="WH119" s="583"/>
      <c r="WI119" s="590"/>
      <c r="WJ119" s="589"/>
      <c r="WK119" s="585"/>
      <c r="WL119" s="577"/>
      <c r="WM119" s="304"/>
      <c r="WN119" s="572"/>
      <c r="WO119" s="573"/>
      <c r="WP119" s="574"/>
      <c r="WQ119" s="575"/>
      <c r="WR119" s="583"/>
      <c r="WS119" s="590"/>
      <c r="WT119" s="589"/>
      <c r="WU119" s="585"/>
      <c r="WV119" s="577"/>
      <c r="WW119" s="304"/>
      <c r="WX119" s="572"/>
      <c r="WY119" s="573"/>
      <c r="WZ119" s="574"/>
      <c r="XA119" s="575"/>
      <c r="XB119" s="583"/>
      <c r="XC119" s="590"/>
      <c r="XD119" s="589"/>
      <c r="XE119" s="585"/>
      <c r="XF119" s="577"/>
      <c r="XG119" s="304"/>
      <c r="XH119" s="572"/>
      <c r="XI119" s="573"/>
      <c r="XJ119" s="574"/>
      <c r="XK119" s="575"/>
      <c r="XL119" s="583"/>
      <c r="XM119" s="590"/>
      <c r="XN119" s="589"/>
      <c r="XO119" s="585"/>
      <c r="XP119" s="577"/>
      <c r="XQ119" s="304"/>
      <c r="XR119" s="572"/>
      <c r="XS119" s="573"/>
      <c r="XT119" s="574"/>
      <c r="XU119" s="575"/>
      <c r="XV119" s="583"/>
      <c r="XW119" s="590"/>
      <c r="XX119" s="589"/>
      <c r="XY119" s="585"/>
      <c r="XZ119" s="577"/>
      <c r="YA119" s="304"/>
      <c r="YB119" s="572"/>
      <c r="YC119" s="573"/>
      <c r="YD119" s="574"/>
      <c r="YE119" s="575"/>
      <c r="YF119" s="583"/>
      <c r="YG119" s="590"/>
      <c r="YH119" s="589"/>
      <c r="YI119" s="585"/>
      <c r="YJ119" s="577"/>
      <c r="YK119" s="304"/>
      <c r="YL119" s="572"/>
      <c r="YM119" s="573"/>
      <c r="YN119" s="574"/>
      <c r="YO119" s="575"/>
      <c r="YP119" s="583"/>
      <c r="YQ119" s="590"/>
      <c r="YR119" s="589"/>
      <c r="YS119" s="585"/>
      <c r="YT119" s="577"/>
      <c r="YU119" s="304"/>
      <c r="YV119" s="572"/>
      <c r="YW119" s="573"/>
      <c r="YX119" s="574"/>
      <c r="YY119" s="575"/>
      <c r="YZ119" s="583"/>
      <c r="ZA119" s="590"/>
      <c r="ZB119" s="589"/>
      <c r="ZC119" s="585"/>
      <c r="ZD119" s="577"/>
      <c r="ZE119" s="304"/>
      <c r="ZF119" s="572"/>
      <c r="ZG119" s="573"/>
      <c r="ZH119" s="574"/>
      <c r="ZI119" s="575"/>
      <c r="ZJ119" s="583"/>
      <c r="ZK119" s="590"/>
      <c r="ZL119" s="589"/>
      <c r="ZM119" s="585"/>
      <c r="ZN119" s="577"/>
      <c r="ZO119" s="304"/>
      <c r="ZP119" s="572"/>
      <c r="ZQ119" s="573"/>
      <c r="ZR119" s="574"/>
      <c r="ZS119" s="575"/>
      <c r="ZT119" s="583"/>
      <c r="ZU119" s="590"/>
      <c r="ZV119" s="589"/>
      <c r="ZW119" s="585"/>
      <c r="ZX119" s="577"/>
      <c r="ZY119" s="304"/>
      <c r="ZZ119" s="572"/>
      <c r="AAA119" s="573"/>
      <c r="AAB119" s="574"/>
      <c r="AAC119" s="575"/>
      <c r="AAD119" s="583"/>
      <c r="AAE119" s="590"/>
      <c r="AAF119" s="589"/>
      <c r="AAG119" s="585"/>
      <c r="AAH119" s="577"/>
      <c r="AAI119" s="304"/>
      <c r="AAJ119" s="572"/>
      <c r="AAK119" s="573"/>
      <c r="AAL119" s="574"/>
      <c r="AAM119" s="575"/>
      <c r="AAN119" s="583"/>
      <c r="AAO119" s="590"/>
      <c r="AAP119" s="589"/>
      <c r="AAQ119" s="585"/>
      <c r="AAR119" s="577"/>
      <c r="AAS119" s="304"/>
      <c r="AAT119" s="572"/>
      <c r="AAU119" s="573"/>
      <c r="AAV119" s="574"/>
      <c r="AAW119" s="575"/>
      <c r="AAX119" s="583"/>
      <c r="AAY119" s="590"/>
      <c r="AAZ119" s="589"/>
      <c r="ABA119" s="585"/>
      <c r="ABB119" s="577"/>
      <c r="ABC119" s="304"/>
      <c r="ABD119" s="572"/>
      <c r="ABE119" s="573"/>
      <c r="ABF119" s="574"/>
      <c r="ABG119" s="575"/>
      <c r="ABH119" s="583"/>
      <c r="ABI119" s="590"/>
      <c r="ABJ119" s="589"/>
      <c r="ABK119" s="585"/>
      <c r="ABL119" s="577"/>
      <c r="ABM119" s="304"/>
      <c r="ABN119" s="572"/>
      <c r="ABO119" s="573"/>
      <c r="ABP119" s="574"/>
      <c r="ABQ119" s="575"/>
      <c r="ABR119" s="583"/>
      <c r="ABS119" s="590"/>
      <c r="ABT119" s="589"/>
      <c r="ABU119" s="585"/>
      <c r="ABV119" s="577"/>
      <c r="ABW119" s="304"/>
      <c r="ABX119" s="572"/>
      <c r="ABY119" s="573"/>
      <c r="ABZ119" s="574"/>
      <c r="ACA119" s="575"/>
      <c r="ACB119" s="583"/>
      <c r="ACC119" s="590"/>
      <c r="ACD119" s="589"/>
      <c r="ACE119" s="585"/>
      <c r="ACF119" s="577"/>
      <c r="ACG119" s="304"/>
      <c r="ACH119" s="572"/>
      <c r="ACI119" s="573"/>
      <c r="ACJ119" s="574"/>
      <c r="ACK119" s="575"/>
      <c r="ACL119" s="583"/>
      <c r="ACM119" s="590"/>
      <c r="ACN119" s="589"/>
      <c r="ACO119" s="585"/>
      <c r="ACP119" s="577"/>
      <c r="ACQ119" s="304"/>
      <c r="ACR119" s="572"/>
      <c r="ACS119" s="573"/>
      <c r="ACT119" s="574"/>
      <c r="ACU119" s="575"/>
      <c r="ACV119" s="583"/>
      <c r="ACW119" s="590"/>
      <c r="ACX119" s="589"/>
      <c r="ACY119" s="585"/>
      <c r="ACZ119" s="577"/>
      <c r="ADA119" s="304"/>
      <c r="ADB119" s="572"/>
      <c r="ADC119" s="573"/>
      <c r="ADD119" s="574"/>
      <c r="ADE119" s="575"/>
      <c r="ADF119" s="583"/>
      <c r="ADG119" s="590"/>
      <c r="ADH119" s="589"/>
      <c r="ADI119" s="585"/>
      <c r="ADJ119" s="577"/>
      <c r="ADK119" s="304"/>
      <c r="ADL119" s="572"/>
      <c r="ADM119" s="573"/>
      <c r="ADN119" s="574"/>
      <c r="ADO119" s="575"/>
      <c r="ADP119" s="583"/>
      <c r="ADQ119" s="590"/>
      <c r="ADR119" s="589"/>
      <c r="ADS119" s="585"/>
      <c r="ADT119" s="577"/>
      <c r="ADU119" s="304"/>
      <c r="ADV119" s="572"/>
      <c r="ADW119" s="573"/>
      <c r="ADX119" s="574"/>
      <c r="ADY119" s="575"/>
      <c r="ADZ119" s="583"/>
      <c r="AEA119" s="590"/>
      <c r="AEB119" s="589"/>
      <c r="AEC119" s="585"/>
      <c r="AED119" s="577"/>
      <c r="AEE119" s="304"/>
      <c r="AEF119" s="572"/>
      <c r="AEG119" s="573"/>
      <c r="AEH119" s="574"/>
      <c r="AEI119" s="575"/>
      <c r="AEJ119" s="583"/>
      <c r="AEK119" s="590"/>
      <c r="AEL119" s="589"/>
      <c r="AEM119" s="585"/>
      <c r="AEN119" s="577"/>
      <c r="AEO119" s="304"/>
      <c r="AEP119" s="572"/>
      <c r="AEQ119" s="573"/>
      <c r="AER119" s="574"/>
      <c r="AES119" s="575"/>
      <c r="AET119" s="583"/>
      <c r="AEU119" s="590"/>
      <c r="AEV119" s="589"/>
      <c r="AEW119" s="585"/>
      <c r="AEX119" s="577"/>
      <c r="AEY119" s="304"/>
      <c r="AEZ119" s="572"/>
      <c r="AFA119" s="573"/>
      <c r="AFB119" s="574"/>
      <c r="AFC119" s="575"/>
      <c r="AFD119" s="583"/>
      <c r="AFE119" s="590"/>
      <c r="AFF119" s="589"/>
      <c r="AFG119" s="585"/>
      <c r="AFH119" s="577"/>
      <c r="AFI119" s="304"/>
      <c r="AFJ119" s="572"/>
      <c r="AFK119" s="573"/>
      <c r="AFL119" s="574"/>
      <c r="AFM119" s="575"/>
      <c r="AFN119" s="583"/>
      <c r="AFO119" s="590"/>
      <c r="AFP119" s="589"/>
      <c r="AFQ119" s="585"/>
      <c r="AFR119" s="577"/>
      <c r="AFS119" s="304"/>
      <c r="AFT119" s="572"/>
      <c r="AFU119" s="573"/>
      <c r="AFV119" s="574"/>
      <c r="AFW119" s="575"/>
      <c r="AFX119" s="583"/>
      <c r="AFY119" s="590"/>
      <c r="AFZ119" s="589"/>
      <c r="AGA119" s="585"/>
      <c r="AGB119" s="577"/>
      <c r="AGC119" s="304"/>
      <c r="AGD119" s="572"/>
      <c r="AGE119" s="573"/>
      <c r="AGF119" s="574"/>
      <c r="AGG119" s="575"/>
      <c r="AGH119" s="583"/>
      <c r="AGI119" s="590"/>
      <c r="AGJ119" s="589"/>
      <c r="AGK119" s="585"/>
      <c r="AGL119" s="577"/>
      <c r="AGM119" s="304"/>
      <c r="AGN119" s="572"/>
      <c r="AGO119" s="573"/>
      <c r="AGP119" s="574"/>
      <c r="AGQ119" s="575"/>
      <c r="AGR119" s="583"/>
      <c r="AGS119" s="590"/>
      <c r="AGT119" s="589"/>
      <c r="AGU119" s="585"/>
      <c r="AGV119" s="577"/>
      <c r="AGW119" s="304"/>
      <c r="AGX119" s="572"/>
      <c r="AGY119" s="573"/>
      <c r="AGZ119" s="574"/>
      <c r="AHA119" s="575"/>
      <c r="AHB119" s="583"/>
      <c r="AHC119" s="590"/>
      <c r="AHD119" s="589"/>
      <c r="AHE119" s="585"/>
      <c r="AHF119" s="577"/>
      <c r="AHG119" s="304"/>
      <c r="AHH119" s="572"/>
      <c r="AHI119" s="573"/>
      <c r="AHJ119" s="574"/>
      <c r="AHK119" s="575"/>
      <c r="AHL119" s="583"/>
      <c r="AHM119" s="590"/>
      <c r="AHN119" s="589"/>
      <c r="AHO119" s="585"/>
      <c r="AHP119" s="577"/>
      <c r="AHQ119" s="304"/>
      <c r="AHR119" s="572"/>
      <c r="AHS119" s="573"/>
      <c r="AHT119" s="574"/>
      <c r="AHU119" s="575"/>
      <c r="AHV119" s="583"/>
      <c r="AHW119" s="590"/>
      <c r="AHX119" s="589"/>
      <c r="AHY119" s="585"/>
      <c r="AHZ119" s="577"/>
      <c r="AIA119" s="304"/>
      <c r="AIB119" s="572"/>
      <c r="AIC119" s="573"/>
      <c r="AID119" s="574"/>
      <c r="AIE119" s="575"/>
      <c r="AIF119" s="583"/>
      <c r="AIG119" s="590"/>
      <c r="AIH119" s="589"/>
      <c r="AII119" s="585"/>
      <c r="AIJ119" s="577"/>
      <c r="AIK119" s="304"/>
      <c r="AIL119" s="572"/>
      <c r="AIM119" s="573"/>
      <c r="AIN119" s="574"/>
      <c r="AIO119" s="575"/>
      <c r="AIP119" s="583"/>
      <c r="AIQ119" s="590"/>
      <c r="AIR119" s="589"/>
      <c r="AIS119" s="585"/>
      <c r="AIT119" s="577"/>
      <c r="AIU119" s="304"/>
      <c r="AIV119" s="572"/>
      <c r="AIW119" s="573"/>
      <c r="AIX119" s="574"/>
      <c r="AIY119" s="575"/>
      <c r="AIZ119" s="583"/>
      <c r="AJA119" s="590"/>
      <c r="AJB119" s="589"/>
      <c r="AJC119" s="585"/>
      <c r="AJD119" s="577"/>
      <c r="AJE119" s="304"/>
      <c r="AJF119" s="572"/>
      <c r="AJG119" s="573"/>
      <c r="AJH119" s="574"/>
      <c r="AJI119" s="575"/>
      <c r="AJJ119" s="583"/>
      <c r="AJK119" s="590"/>
      <c r="AJL119" s="589"/>
      <c r="AJM119" s="585"/>
      <c r="AJN119" s="577"/>
      <c r="AJO119" s="304"/>
      <c r="AJP119" s="572"/>
      <c r="AJQ119" s="573"/>
      <c r="AJR119" s="574"/>
      <c r="AJS119" s="575"/>
      <c r="AJT119" s="583"/>
      <c r="AJU119" s="590"/>
      <c r="AJV119" s="589"/>
      <c r="AJW119" s="585"/>
      <c r="AJX119" s="577"/>
      <c r="AJY119" s="304"/>
      <c r="AJZ119" s="572"/>
      <c r="AKA119" s="573"/>
      <c r="AKB119" s="574"/>
      <c r="AKC119" s="575"/>
      <c r="AKD119" s="583"/>
      <c r="AKE119" s="590"/>
      <c r="AKF119" s="589"/>
      <c r="AKG119" s="585"/>
      <c r="AKH119" s="577"/>
      <c r="AKI119" s="304"/>
      <c r="AKJ119" s="572"/>
      <c r="AKK119" s="573"/>
      <c r="AKL119" s="574"/>
      <c r="AKM119" s="575"/>
      <c r="AKN119" s="583"/>
      <c r="AKO119" s="590"/>
      <c r="AKP119" s="589"/>
      <c r="AKQ119" s="585"/>
      <c r="AKR119" s="577"/>
      <c r="AKS119" s="304"/>
      <c r="AKT119" s="572"/>
      <c r="AKU119" s="573"/>
      <c r="AKV119" s="574"/>
      <c r="AKW119" s="575"/>
      <c r="AKX119" s="583"/>
      <c r="AKY119" s="590"/>
      <c r="AKZ119" s="589"/>
      <c r="ALA119" s="585"/>
      <c r="ALB119" s="577"/>
      <c r="ALC119" s="304"/>
      <c r="ALD119" s="572"/>
      <c r="ALE119" s="573"/>
      <c r="ALF119" s="574"/>
      <c r="ALG119" s="575"/>
      <c r="ALH119" s="583"/>
      <c r="ALI119" s="590"/>
      <c r="ALJ119" s="589"/>
      <c r="ALK119" s="585"/>
      <c r="ALL119" s="577"/>
      <c r="ALM119" s="304"/>
      <c r="ALN119" s="572"/>
      <c r="ALO119" s="573"/>
      <c r="ALP119" s="574"/>
      <c r="ALQ119" s="575"/>
      <c r="ALR119" s="583"/>
      <c r="ALS119" s="590"/>
      <c r="ALT119" s="589"/>
      <c r="ALU119" s="585"/>
      <c r="ALV119" s="577"/>
      <c r="ALW119" s="304"/>
      <c r="ALX119" s="572"/>
      <c r="ALY119" s="573"/>
      <c r="ALZ119" s="574"/>
      <c r="AMA119" s="575"/>
      <c r="AMB119" s="583"/>
      <c r="AMC119" s="590"/>
      <c r="AMD119" s="589"/>
      <c r="AME119" s="585"/>
      <c r="AMF119" s="577"/>
      <c r="AMG119" s="304"/>
      <c r="AMH119" s="572"/>
      <c r="AMI119" s="573"/>
      <c r="AMJ119" s="574"/>
      <c r="AMK119" s="575"/>
      <c r="AML119" s="583"/>
      <c r="AMM119" s="590"/>
      <c r="AMN119" s="589"/>
      <c r="AMO119" s="585"/>
      <c r="AMP119" s="577"/>
      <c r="AMQ119" s="304"/>
      <c r="AMR119" s="572"/>
      <c r="AMS119" s="573"/>
      <c r="AMT119" s="574"/>
      <c r="AMU119" s="575"/>
      <c r="AMV119" s="583"/>
      <c r="AMW119" s="590"/>
      <c r="AMX119" s="589"/>
      <c r="AMY119" s="585"/>
      <c r="AMZ119" s="577"/>
      <c r="ANA119" s="304"/>
      <c r="ANB119" s="572"/>
      <c r="ANC119" s="573"/>
      <c r="AND119" s="574"/>
      <c r="ANE119" s="575"/>
      <c r="ANF119" s="583"/>
      <c r="ANG119" s="590"/>
      <c r="ANH119" s="589"/>
      <c r="ANI119" s="585"/>
      <c r="ANJ119" s="577"/>
      <c r="ANK119" s="304"/>
      <c r="ANL119" s="572"/>
      <c r="ANM119" s="573"/>
      <c r="ANN119" s="574"/>
      <c r="ANO119" s="575"/>
      <c r="ANP119" s="583"/>
      <c r="ANQ119" s="590"/>
      <c r="ANR119" s="589"/>
      <c r="ANS119" s="585"/>
      <c r="ANT119" s="577"/>
      <c r="ANU119" s="304"/>
      <c r="ANV119" s="572"/>
      <c r="ANW119" s="573"/>
      <c r="ANX119" s="574"/>
      <c r="ANY119" s="575"/>
      <c r="ANZ119" s="583"/>
      <c r="AOA119" s="590"/>
      <c r="AOB119" s="589"/>
      <c r="AOC119" s="585"/>
      <c r="AOD119" s="577"/>
      <c r="AOE119" s="304"/>
      <c r="AOF119" s="572"/>
      <c r="AOG119" s="573"/>
      <c r="AOH119" s="574"/>
      <c r="AOI119" s="575"/>
      <c r="AOJ119" s="583"/>
      <c r="AOK119" s="590"/>
      <c r="AOL119" s="589"/>
      <c r="AOM119" s="585"/>
      <c r="AON119" s="577"/>
      <c r="AOO119" s="304"/>
      <c r="AOP119" s="572"/>
      <c r="AOQ119" s="573"/>
      <c r="AOR119" s="574"/>
      <c r="AOS119" s="575"/>
      <c r="AOT119" s="583"/>
      <c r="AOU119" s="590"/>
      <c r="AOV119" s="589"/>
      <c r="AOW119" s="585"/>
      <c r="AOX119" s="577"/>
      <c r="AOY119" s="304"/>
      <c r="AOZ119" s="572"/>
      <c r="APA119" s="573"/>
      <c r="APB119" s="574"/>
      <c r="APC119" s="575"/>
      <c r="APD119" s="583"/>
      <c r="APE119" s="590"/>
      <c r="APF119" s="589"/>
      <c r="APG119" s="585"/>
      <c r="APH119" s="577"/>
      <c r="API119" s="304"/>
      <c r="APJ119" s="572"/>
      <c r="APK119" s="573"/>
      <c r="APL119" s="574"/>
      <c r="APM119" s="575"/>
      <c r="APN119" s="583"/>
      <c r="APO119" s="590"/>
      <c r="APP119" s="589"/>
      <c r="APQ119" s="585"/>
      <c r="APR119" s="577"/>
      <c r="APS119" s="304"/>
      <c r="APT119" s="572"/>
      <c r="APU119" s="573"/>
      <c r="APV119" s="574"/>
      <c r="APW119" s="575"/>
      <c r="APX119" s="583"/>
      <c r="APY119" s="590"/>
      <c r="APZ119" s="589"/>
      <c r="AQA119" s="585"/>
      <c r="AQB119" s="577"/>
      <c r="AQC119" s="304"/>
      <c r="AQD119" s="572"/>
      <c r="AQE119" s="573"/>
      <c r="AQF119" s="574"/>
      <c r="AQG119" s="575"/>
      <c r="AQH119" s="583"/>
      <c r="AQI119" s="590"/>
      <c r="AQJ119" s="589"/>
      <c r="AQK119" s="585"/>
      <c r="AQL119" s="577"/>
      <c r="AQM119" s="304"/>
      <c r="AQN119" s="572"/>
      <c r="AQO119" s="573"/>
      <c r="AQP119" s="574"/>
      <c r="AQQ119" s="575"/>
      <c r="AQR119" s="583"/>
      <c r="AQS119" s="590"/>
      <c r="AQT119" s="589"/>
      <c r="AQU119" s="585"/>
      <c r="AQV119" s="577"/>
      <c r="AQW119" s="304"/>
      <c r="AQX119" s="572"/>
      <c r="AQY119" s="573"/>
      <c r="AQZ119" s="574"/>
      <c r="ARA119" s="575"/>
      <c r="ARB119" s="583"/>
      <c r="ARC119" s="590"/>
      <c r="ARD119" s="589"/>
      <c r="ARE119" s="585"/>
      <c r="ARF119" s="577"/>
      <c r="ARG119" s="304"/>
      <c r="ARH119" s="572"/>
      <c r="ARI119" s="573"/>
      <c r="ARJ119" s="574"/>
      <c r="ARK119" s="575"/>
      <c r="ARL119" s="583"/>
      <c r="ARM119" s="590"/>
      <c r="ARN119" s="589"/>
      <c r="ARO119" s="585"/>
      <c r="ARP119" s="577"/>
      <c r="ARQ119" s="304"/>
      <c r="ARR119" s="572"/>
      <c r="ARS119" s="573"/>
      <c r="ART119" s="574"/>
      <c r="ARU119" s="575"/>
      <c r="ARV119" s="583"/>
      <c r="ARW119" s="590"/>
      <c r="ARX119" s="589"/>
      <c r="ARY119" s="585"/>
      <c r="ARZ119" s="577"/>
      <c r="ASA119" s="304"/>
      <c r="ASB119" s="572"/>
      <c r="ASC119" s="573"/>
      <c r="ASD119" s="574"/>
      <c r="ASE119" s="575"/>
      <c r="ASF119" s="583"/>
      <c r="ASG119" s="590"/>
      <c r="ASH119" s="589"/>
      <c r="ASI119" s="585"/>
      <c r="ASJ119" s="577"/>
      <c r="ASK119" s="304"/>
      <c r="ASL119" s="572"/>
      <c r="ASM119" s="573"/>
      <c r="ASN119" s="574"/>
      <c r="ASO119" s="575"/>
      <c r="ASP119" s="583"/>
      <c r="ASQ119" s="590"/>
      <c r="ASR119" s="589"/>
      <c r="ASS119" s="585"/>
      <c r="AST119" s="577"/>
      <c r="ASU119" s="304"/>
      <c r="ASV119" s="572"/>
      <c r="ASW119" s="573"/>
      <c r="ASX119" s="574"/>
      <c r="ASY119" s="575"/>
      <c r="ASZ119" s="583"/>
      <c r="ATA119" s="590"/>
      <c r="ATB119" s="589"/>
      <c r="ATC119" s="585"/>
      <c r="ATD119" s="577"/>
      <c r="ATE119" s="304"/>
      <c r="ATF119" s="572"/>
      <c r="ATG119" s="573"/>
      <c r="ATH119" s="574"/>
      <c r="ATI119" s="575"/>
      <c r="ATJ119" s="583"/>
      <c r="ATK119" s="590"/>
      <c r="ATL119" s="589"/>
      <c r="ATM119" s="585"/>
      <c r="ATN119" s="577"/>
      <c r="ATO119" s="304"/>
      <c r="ATP119" s="572"/>
      <c r="ATQ119" s="573"/>
      <c r="ATR119" s="574"/>
      <c r="ATS119" s="575"/>
      <c r="ATT119" s="583"/>
      <c r="ATU119" s="590"/>
      <c r="ATV119" s="589"/>
      <c r="ATW119" s="585"/>
      <c r="ATX119" s="577"/>
      <c r="ATY119" s="304"/>
      <c r="ATZ119" s="572"/>
      <c r="AUA119" s="573"/>
      <c r="AUB119" s="574"/>
      <c r="AUC119" s="575"/>
      <c r="AUD119" s="583"/>
      <c r="AUE119" s="590"/>
      <c r="AUF119" s="589"/>
      <c r="AUG119" s="585"/>
      <c r="AUH119" s="577"/>
      <c r="AUI119" s="304"/>
      <c r="AUJ119" s="572"/>
      <c r="AUK119" s="573"/>
      <c r="AUL119" s="574"/>
      <c r="AUM119" s="575"/>
      <c r="AUN119" s="583"/>
      <c r="AUO119" s="590"/>
      <c r="AUP119" s="589"/>
      <c r="AUQ119" s="585"/>
      <c r="AUR119" s="577"/>
      <c r="AUS119" s="304"/>
      <c r="AUT119" s="572"/>
      <c r="AUU119" s="573"/>
      <c r="AUV119" s="574"/>
      <c r="AUW119" s="575"/>
      <c r="AUX119" s="583"/>
      <c r="AUY119" s="590"/>
      <c r="AUZ119" s="589"/>
      <c r="AVA119" s="585"/>
      <c r="AVB119" s="577"/>
      <c r="AVC119" s="304"/>
      <c r="AVD119" s="572"/>
      <c r="AVE119" s="573"/>
      <c r="AVF119" s="574"/>
      <c r="AVG119" s="575"/>
      <c r="AVH119" s="583"/>
      <c r="AVI119" s="590"/>
      <c r="AVJ119" s="589"/>
      <c r="AVK119" s="585"/>
      <c r="AVL119" s="577"/>
      <c r="AVM119" s="304"/>
      <c r="AVN119" s="572"/>
      <c r="AVO119" s="573"/>
      <c r="AVP119" s="574"/>
      <c r="AVQ119" s="575"/>
      <c r="AVR119" s="583"/>
      <c r="AVS119" s="590"/>
      <c r="AVT119" s="589"/>
      <c r="AVU119" s="585"/>
      <c r="AVV119" s="577"/>
      <c r="AVW119" s="304"/>
      <c r="AVX119" s="572"/>
      <c r="AVY119" s="573"/>
      <c r="AVZ119" s="574"/>
      <c r="AWA119" s="575"/>
      <c r="AWB119" s="583"/>
      <c r="AWC119" s="590"/>
      <c r="AWD119" s="589"/>
      <c r="AWE119" s="585"/>
      <c r="AWF119" s="577"/>
      <c r="AWG119" s="304"/>
      <c r="AWH119" s="572"/>
      <c r="AWI119" s="573"/>
      <c r="AWJ119" s="574"/>
      <c r="AWK119" s="575"/>
      <c r="AWL119" s="583"/>
      <c r="AWM119" s="590"/>
      <c r="AWN119" s="589"/>
      <c r="AWO119" s="585"/>
      <c r="AWP119" s="577"/>
      <c r="AWQ119" s="304"/>
      <c r="AWR119" s="572"/>
      <c r="AWS119" s="573"/>
      <c r="AWT119" s="574"/>
      <c r="AWU119" s="575"/>
      <c r="AWV119" s="583"/>
      <c r="AWW119" s="590"/>
      <c r="AWX119" s="589"/>
      <c r="AWY119" s="585"/>
      <c r="AWZ119" s="577"/>
      <c r="AXA119" s="304"/>
      <c r="AXB119" s="572"/>
      <c r="AXC119" s="573"/>
      <c r="AXD119" s="574"/>
      <c r="AXE119" s="575"/>
      <c r="AXF119" s="583"/>
      <c r="AXG119" s="590"/>
      <c r="AXH119" s="589"/>
      <c r="AXI119" s="585"/>
      <c r="AXJ119" s="577"/>
      <c r="AXK119" s="304"/>
      <c r="AXL119" s="572"/>
      <c r="AXM119" s="573"/>
      <c r="AXN119" s="574"/>
      <c r="AXO119" s="575"/>
      <c r="AXP119" s="583"/>
      <c r="AXQ119" s="590"/>
      <c r="AXR119" s="589"/>
      <c r="AXS119" s="585"/>
      <c r="AXT119" s="577"/>
      <c r="AXU119" s="304"/>
      <c r="AXV119" s="572"/>
      <c r="AXW119" s="573"/>
      <c r="AXX119" s="574"/>
      <c r="AXY119" s="575"/>
      <c r="AXZ119" s="583"/>
      <c r="AYA119" s="590"/>
      <c r="AYB119" s="589"/>
      <c r="AYC119" s="585"/>
      <c r="AYD119" s="577"/>
      <c r="AYE119" s="304"/>
      <c r="AYF119" s="572"/>
      <c r="AYG119" s="573"/>
      <c r="AYH119" s="574"/>
      <c r="AYI119" s="575"/>
      <c r="AYJ119" s="583"/>
      <c r="AYK119" s="590"/>
      <c r="AYL119" s="589"/>
      <c r="AYM119" s="585"/>
      <c r="AYN119" s="577"/>
      <c r="AYO119" s="304"/>
      <c r="AYP119" s="572"/>
      <c r="AYQ119" s="573"/>
      <c r="AYR119" s="574"/>
      <c r="AYS119" s="575"/>
      <c r="AYT119" s="583"/>
      <c r="AYU119" s="590"/>
      <c r="AYV119" s="589"/>
      <c r="AYW119" s="585"/>
      <c r="AYX119" s="577"/>
      <c r="AYY119" s="304"/>
      <c r="AYZ119" s="572"/>
      <c r="AZA119" s="573"/>
      <c r="AZB119" s="574"/>
      <c r="AZC119" s="575"/>
      <c r="AZD119" s="583"/>
      <c r="AZE119" s="590"/>
      <c r="AZF119" s="589"/>
      <c r="AZG119" s="585"/>
      <c r="AZH119" s="577"/>
      <c r="AZI119" s="304"/>
      <c r="AZJ119" s="572"/>
      <c r="AZK119" s="573"/>
      <c r="AZL119" s="574"/>
      <c r="AZM119" s="575"/>
      <c r="AZN119" s="583"/>
      <c r="AZO119" s="590"/>
      <c r="AZP119" s="589"/>
      <c r="AZQ119" s="585"/>
      <c r="AZR119" s="577"/>
      <c r="AZS119" s="304"/>
      <c r="AZT119" s="572"/>
      <c r="AZU119" s="573"/>
      <c r="AZV119" s="574"/>
      <c r="AZW119" s="575"/>
      <c r="AZX119" s="583"/>
      <c r="AZY119" s="590"/>
      <c r="AZZ119" s="589"/>
      <c r="BAA119" s="585"/>
      <c r="BAB119" s="577"/>
      <c r="BAC119" s="304"/>
      <c r="BAD119" s="572"/>
      <c r="BAE119" s="573"/>
      <c r="BAF119" s="574"/>
      <c r="BAG119" s="575"/>
      <c r="BAH119" s="583"/>
      <c r="BAI119" s="590"/>
      <c r="BAJ119" s="589"/>
      <c r="BAK119" s="585"/>
      <c r="BAL119" s="577"/>
      <c r="BAM119" s="304"/>
      <c r="BAN119" s="572"/>
      <c r="BAO119" s="573"/>
      <c r="BAP119" s="574"/>
      <c r="BAQ119" s="575"/>
      <c r="BAR119" s="583"/>
      <c r="BAS119" s="590"/>
      <c r="BAT119" s="589"/>
      <c r="BAU119" s="585"/>
      <c r="BAV119" s="577"/>
      <c r="BAW119" s="304"/>
      <c r="BAX119" s="572"/>
      <c r="BAY119" s="573"/>
      <c r="BAZ119" s="574"/>
      <c r="BBA119" s="575"/>
      <c r="BBB119" s="583"/>
      <c r="BBC119" s="590"/>
      <c r="BBD119" s="589"/>
      <c r="BBE119" s="585"/>
      <c r="BBF119" s="577"/>
      <c r="BBG119" s="304"/>
      <c r="BBH119" s="572"/>
      <c r="BBI119" s="573"/>
      <c r="BBJ119" s="574"/>
      <c r="BBK119" s="575"/>
      <c r="BBL119" s="583"/>
      <c r="BBM119" s="590"/>
      <c r="BBN119" s="589"/>
      <c r="BBO119" s="585"/>
      <c r="BBP119" s="577"/>
      <c r="BBQ119" s="304"/>
      <c r="BBR119" s="572"/>
      <c r="BBS119" s="573"/>
      <c r="BBT119" s="574"/>
      <c r="BBU119" s="575"/>
      <c r="BBV119" s="583"/>
      <c r="BBW119" s="590"/>
      <c r="BBX119" s="589"/>
      <c r="BBY119" s="585"/>
      <c r="BBZ119" s="577"/>
      <c r="BCA119" s="304"/>
      <c r="BCB119" s="572"/>
      <c r="BCC119" s="573"/>
      <c r="BCD119" s="574"/>
      <c r="BCE119" s="575"/>
      <c r="BCF119" s="583"/>
      <c r="BCG119" s="590"/>
      <c r="BCH119" s="589"/>
      <c r="BCI119" s="585"/>
      <c r="BCJ119" s="577"/>
      <c r="BCK119" s="304"/>
      <c r="BCL119" s="572"/>
      <c r="BCM119" s="573"/>
      <c r="BCN119" s="574"/>
      <c r="BCO119" s="575"/>
      <c r="BCP119" s="583"/>
      <c r="BCQ119" s="590"/>
      <c r="BCR119" s="589"/>
      <c r="BCS119" s="585"/>
      <c r="BCT119" s="577"/>
      <c r="BCU119" s="304"/>
      <c r="BCV119" s="572"/>
      <c r="BCW119" s="573"/>
      <c r="BCX119" s="574"/>
      <c r="BCY119" s="575"/>
      <c r="BCZ119" s="583"/>
      <c r="BDA119" s="590"/>
      <c r="BDB119" s="589"/>
      <c r="BDC119" s="585"/>
      <c r="BDD119" s="577"/>
      <c r="BDE119" s="304"/>
      <c r="BDF119" s="572"/>
      <c r="BDG119" s="573"/>
      <c r="BDH119" s="574"/>
      <c r="BDI119" s="575"/>
      <c r="BDJ119" s="583"/>
      <c r="BDK119" s="590"/>
      <c r="BDL119" s="589"/>
      <c r="BDM119" s="585"/>
      <c r="BDN119" s="577"/>
      <c r="BDO119" s="304"/>
      <c r="BDP119" s="572"/>
      <c r="BDQ119" s="573"/>
      <c r="BDR119" s="574"/>
      <c r="BDS119" s="575"/>
      <c r="BDT119" s="583"/>
      <c r="BDU119" s="590"/>
      <c r="BDV119" s="589"/>
      <c r="BDW119" s="585"/>
      <c r="BDX119" s="577"/>
      <c r="BDY119" s="304"/>
      <c r="BDZ119" s="572"/>
      <c r="BEA119" s="573"/>
      <c r="BEB119" s="574"/>
      <c r="BEC119" s="575"/>
      <c r="BED119" s="583"/>
      <c r="BEE119" s="590"/>
      <c r="BEF119" s="589"/>
      <c r="BEG119" s="585"/>
      <c r="BEH119" s="577"/>
      <c r="BEI119" s="304"/>
      <c r="BEJ119" s="572"/>
      <c r="BEK119" s="573"/>
      <c r="BEL119" s="574"/>
      <c r="BEM119" s="575"/>
      <c r="BEN119" s="583"/>
      <c r="BEO119" s="590"/>
      <c r="BEP119" s="589"/>
      <c r="BEQ119" s="585"/>
      <c r="BER119" s="577"/>
      <c r="BES119" s="304"/>
      <c r="BET119" s="572"/>
      <c r="BEU119" s="573"/>
      <c r="BEV119" s="574"/>
      <c r="BEW119" s="575"/>
      <c r="BEX119" s="583"/>
      <c r="BEY119" s="590"/>
      <c r="BEZ119" s="589"/>
      <c r="BFA119" s="585"/>
      <c r="BFB119" s="577"/>
      <c r="BFC119" s="304"/>
      <c r="BFD119" s="572"/>
      <c r="BFE119" s="573"/>
      <c r="BFF119" s="574"/>
      <c r="BFG119" s="575"/>
      <c r="BFH119" s="583"/>
      <c r="BFI119" s="590"/>
      <c r="BFJ119" s="589"/>
      <c r="BFK119" s="585"/>
      <c r="BFL119" s="577"/>
      <c r="BFM119" s="304"/>
      <c r="BFN119" s="572"/>
      <c r="BFO119" s="573"/>
      <c r="BFP119" s="574"/>
      <c r="BFQ119" s="575"/>
      <c r="BFR119" s="583"/>
      <c r="BFS119" s="590"/>
      <c r="BFT119" s="589"/>
      <c r="BFU119" s="585"/>
      <c r="BFV119" s="577"/>
      <c r="BFW119" s="304"/>
      <c r="BFX119" s="572"/>
      <c r="BFY119" s="573"/>
      <c r="BFZ119" s="574"/>
      <c r="BGA119" s="575"/>
      <c r="BGB119" s="583"/>
      <c r="BGC119" s="590"/>
      <c r="BGD119" s="589"/>
      <c r="BGE119" s="585"/>
      <c r="BGF119" s="577"/>
      <c r="BGG119" s="304"/>
      <c r="BGH119" s="572"/>
      <c r="BGI119" s="573"/>
      <c r="BGJ119" s="574"/>
      <c r="BGK119" s="575"/>
      <c r="BGL119" s="583"/>
      <c r="BGM119" s="590"/>
      <c r="BGN119" s="589"/>
      <c r="BGO119" s="585"/>
      <c r="BGP119" s="577"/>
      <c r="BGQ119" s="304"/>
      <c r="BGR119" s="572"/>
      <c r="BGS119" s="573"/>
      <c r="BGT119" s="574"/>
      <c r="BGU119" s="575"/>
      <c r="BGV119" s="583"/>
      <c r="BGW119" s="590"/>
      <c r="BGX119" s="589"/>
      <c r="BGY119" s="585"/>
      <c r="BGZ119" s="577"/>
      <c r="BHA119" s="304"/>
      <c r="BHB119" s="572"/>
      <c r="BHC119" s="573"/>
      <c r="BHD119" s="574"/>
      <c r="BHE119" s="575"/>
      <c r="BHF119" s="583"/>
      <c r="BHG119" s="590"/>
      <c r="BHH119" s="589"/>
      <c r="BHI119" s="585"/>
      <c r="BHJ119" s="577"/>
      <c r="BHK119" s="304"/>
      <c r="BHL119" s="572"/>
      <c r="BHM119" s="573"/>
      <c r="BHN119" s="574"/>
      <c r="BHO119" s="575"/>
      <c r="BHP119" s="583"/>
      <c r="BHQ119" s="590"/>
      <c r="BHR119" s="589"/>
      <c r="BHS119" s="585"/>
      <c r="BHT119" s="577"/>
      <c r="BHU119" s="304"/>
      <c r="BHV119" s="572"/>
      <c r="BHW119" s="573"/>
      <c r="BHX119" s="574"/>
      <c r="BHY119" s="575"/>
      <c r="BHZ119" s="583"/>
      <c r="BIA119" s="590"/>
      <c r="BIB119" s="589"/>
      <c r="BIC119" s="585"/>
      <c r="BID119" s="577"/>
      <c r="BIE119" s="304"/>
      <c r="BIF119" s="572"/>
      <c r="BIG119" s="573"/>
      <c r="BIH119" s="574"/>
      <c r="BII119" s="575"/>
      <c r="BIJ119" s="583"/>
      <c r="BIK119" s="590"/>
      <c r="BIL119" s="589"/>
      <c r="BIM119" s="585"/>
      <c r="BIN119" s="577"/>
      <c r="BIO119" s="304"/>
      <c r="BIP119" s="572"/>
      <c r="BIQ119" s="573"/>
      <c r="BIR119" s="574"/>
      <c r="BIS119" s="575"/>
      <c r="BIT119" s="583"/>
      <c r="BIU119" s="590"/>
      <c r="BIV119" s="589"/>
      <c r="BIW119" s="585"/>
      <c r="BIX119" s="577"/>
      <c r="BIY119" s="304"/>
      <c r="BIZ119" s="572"/>
      <c r="BJA119" s="573"/>
      <c r="BJB119" s="574"/>
      <c r="BJC119" s="575"/>
      <c r="BJD119" s="583"/>
      <c r="BJE119" s="590"/>
      <c r="BJF119" s="589"/>
      <c r="BJG119" s="585"/>
      <c r="BJH119" s="577"/>
      <c r="BJI119" s="304"/>
      <c r="BJJ119" s="572"/>
      <c r="BJK119" s="573"/>
      <c r="BJL119" s="574"/>
      <c r="BJM119" s="575"/>
      <c r="BJN119" s="583"/>
      <c r="BJO119" s="590"/>
      <c r="BJP119" s="589"/>
      <c r="BJQ119" s="585"/>
      <c r="BJR119" s="577"/>
      <c r="BJS119" s="304"/>
      <c r="BJT119" s="572"/>
      <c r="BJU119" s="573"/>
      <c r="BJV119" s="574"/>
      <c r="BJW119" s="575"/>
      <c r="BJX119" s="583"/>
      <c r="BJY119" s="590"/>
      <c r="BJZ119" s="589"/>
      <c r="BKA119" s="585"/>
      <c r="BKB119" s="577"/>
      <c r="BKC119" s="304"/>
      <c r="BKD119" s="572"/>
      <c r="BKE119" s="573"/>
      <c r="BKF119" s="574"/>
      <c r="BKG119" s="575"/>
      <c r="BKH119" s="583"/>
      <c r="BKI119" s="590"/>
      <c r="BKJ119" s="589"/>
      <c r="BKK119" s="585"/>
      <c r="BKL119" s="577"/>
      <c r="BKM119" s="304"/>
      <c r="BKN119" s="572"/>
      <c r="BKO119" s="573"/>
      <c r="BKP119" s="574"/>
      <c r="BKQ119" s="575"/>
      <c r="BKR119" s="583"/>
      <c r="BKS119" s="590"/>
      <c r="BKT119" s="589"/>
      <c r="BKU119" s="585"/>
      <c r="BKV119" s="577"/>
      <c r="BKW119" s="304"/>
      <c r="BKX119" s="572"/>
      <c r="BKY119" s="573"/>
      <c r="BKZ119" s="574"/>
      <c r="BLA119" s="575"/>
      <c r="BLB119" s="583"/>
      <c r="BLC119" s="590"/>
      <c r="BLD119" s="589"/>
      <c r="BLE119" s="585"/>
      <c r="BLF119" s="577"/>
      <c r="BLG119" s="304"/>
      <c r="BLH119" s="572"/>
      <c r="BLI119" s="573"/>
      <c r="BLJ119" s="574"/>
      <c r="BLK119" s="575"/>
      <c r="BLL119" s="583"/>
      <c r="BLM119" s="590"/>
      <c r="BLN119" s="589"/>
      <c r="BLO119" s="585"/>
      <c r="BLP119" s="577"/>
      <c r="BLQ119" s="304"/>
      <c r="BLR119" s="572"/>
      <c r="BLS119" s="573"/>
      <c r="BLT119" s="574"/>
      <c r="BLU119" s="575"/>
      <c r="BLV119" s="583"/>
      <c r="BLW119" s="590"/>
      <c r="BLX119" s="589"/>
      <c r="BLY119" s="585"/>
      <c r="BLZ119" s="577"/>
      <c r="BMA119" s="304"/>
      <c r="BMB119" s="572"/>
      <c r="BMC119" s="573"/>
      <c r="BMD119" s="574"/>
      <c r="BME119" s="575"/>
      <c r="BMF119" s="583"/>
      <c r="BMG119" s="590"/>
      <c r="BMH119" s="589"/>
      <c r="BMI119" s="585"/>
      <c r="BMJ119" s="577"/>
      <c r="BMK119" s="304"/>
      <c r="BML119" s="572"/>
      <c r="BMM119" s="573"/>
      <c r="BMN119" s="574"/>
      <c r="BMO119" s="575"/>
      <c r="BMP119" s="583"/>
      <c r="BMQ119" s="590"/>
      <c r="BMR119" s="589"/>
      <c r="BMS119" s="585"/>
      <c r="BMT119" s="577"/>
      <c r="BMU119" s="304"/>
      <c r="BMV119" s="572"/>
      <c r="BMW119" s="573"/>
      <c r="BMX119" s="574"/>
      <c r="BMY119" s="575"/>
      <c r="BMZ119" s="583"/>
      <c r="BNA119" s="590"/>
      <c r="BNB119" s="589"/>
      <c r="BNC119" s="585"/>
      <c r="BND119" s="577"/>
      <c r="BNE119" s="304"/>
      <c r="BNF119" s="572"/>
      <c r="BNG119" s="573"/>
      <c r="BNH119" s="574"/>
      <c r="BNI119" s="575"/>
      <c r="BNJ119" s="583"/>
      <c r="BNK119" s="590"/>
      <c r="BNL119" s="589"/>
      <c r="BNM119" s="585"/>
      <c r="BNN119" s="577"/>
      <c r="BNO119" s="304"/>
      <c r="BNP119" s="572"/>
      <c r="BNQ119" s="573"/>
      <c r="BNR119" s="574"/>
      <c r="BNS119" s="575"/>
      <c r="BNT119" s="583"/>
      <c r="BNU119" s="590"/>
      <c r="BNV119" s="589"/>
      <c r="BNW119" s="585"/>
      <c r="BNX119" s="577"/>
      <c r="BNY119" s="304"/>
      <c r="BNZ119" s="572"/>
      <c r="BOA119" s="573"/>
      <c r="BOB119" s="574"/>
      <c r="BOC119" s="575"/>
      <c r="BOD119" s="583"/>
      <c r="BOE119" s="590"/>
      <c r="BOF119" s="589"/>
      <c r="BOG119" s="585"/>
      <c r="BOH119" s="577"/>
      <c r="BOI119" s="304"/>
      <c r="BOJ119" s="572"/>
      <c r="BOK119" s="573"/>
      <c r="BOL119" s="574"/>
      <c r="BOM119" s="575"/>
      <c r="BON119" s="583"/>
      <c r="BOO119" s="590"/>
      <c r="BOP119" s="589"/>
      <c r="BOQ119" s="585"/>
      <c r="BOR119" s="577"/>
      <c r="BOS119" s="304"/>
      <c r="BOT119" s="572"/>
      <c r="BOU119" s="573"/>
      <c r="BOV119" s="574"/>
      <c r="BOW119" s="575"/>
      <c r="BOX119" s="583"/>
      <c r="BOY119" s="590"/>
      <c r="BOZ119" s="589"/>
      <c r="BPA119" s="585"/>
      <c r="BPB119" s="577"/>
      <c r="BPC119" s="304"/>
      <c r="BPD119" s="572"/>
      <c r="BPE119" s="573"/>
      <c r="BPF119" s="574"/>
      <c r="BPG119" s="575"/>
      <c r="BPH119" s="583"/>
      <c r="BPI119" s="590"/>
      <c r="BPJ119" s="589"/>
      <c r="BPK119" s="585"/>
      <c r="BPL119" s="577"/>
      <c r="BPM119" s="304"/>
      <c r="BPN119" s="572"/>
      <c r="BPO119" s="573"/>
      <c r="BPP119" s="574"/>
      <c r="BPQ119" s="575"/>
      <c r="BPR119" s="583"/>
      <c r="BPS119" s="590"/>
      <c r="BPT119" s="589"/>
      <c r="BPU119" s="585"/>
      <c r="BPV119" s="577"/>
      <c r="BPW119" s="304"/>
      <c r="BPX119" s="572"/>
      <c r="BPY119" s="573"/>
      <c r="BPZ119" s="574"/>
      <c r="BQA119" s="575"/>
      <c r="BQB119" s="583"/>
      <c r="BQC119" s="590"/>
      <c r="BQD119" s="589"/>
      <c r="BQE119" s="585"/>
      <c r="BQF119" s="577"/>
      <c r="BQG119" s="304"/>
      <c r="BQH119" s="572"/>
      <c r="BQI119" s="573"/>
      <c r="BQJ119" s="574"/>
      <c r="BQK119" s="575"/>
      <c r="BQL119" s="583"/>
      <c r="BQM119" s="590"/>
      <c r="BQN119" s="589"/>
      <c r="BQO119" s="585"/>
      <c r="BQP119" s="577"/>
      <c r="BQQ119" s="304"/>
      <c r="BQR119" s="572"/>
      <c r="BQS119" s="573"/>
      <c r="BQT119" s="574"/>
      <c r="BQU119" s="575"/>
      <c r="BQV119" s="583"/>
      <c r="BQW119" s="590"/>
      <c r="BQX119" s="589"/>
      <c r="BQY119" s="585"/>
      <c r="BQZ119" s="577"/>
      <c r="BRA119" s="304"/>
      <c r="BRB119" s="572"/>
      <c r="BRC119" s="573"/>
      <c r="BRD119" s="574"/>
      <c r="BRE119" s="575"/>
      <c r="BRF119" s="583"/>
      <c r="BRG119" s="590"/>
      <c r="BRH119" s="589"/>
      <c r="BRI119" s="585"/>
      <c r="BRJ119" s="577"/>
      <c r="BRK119" s="304"/>
      <c r="BRL119" s="572"/>
      <c r="BRM119" s="573"/>
      <c r="BRN119" s="574"/>
      <c r="BRO119" s="575"/>
      <c r="BRP119" s="583"/>
      <c r="BRQ119" s="590"/>
      <c r="BRR119" s="589"/>
      <c r="BRS119" s="585"/>
      <c r="BRT119" s="577"/>
      <c r="BRU119" s="304"/>
      <c r="BRV119" s="572"/>
      <c r="BRW119" s="573"/>
      <c r="BRX119" s="574"/>
      <c r="BRY119" s="575"/>
      <c r="BRZ119" s="583"/>
      <c r="BSA119" s="590"/>
      <c r="BSB119" s="589"/>
      <c r="BSC119" s="585"/>
      <c r="BSD119" s="577"/>
      <c r="BSE119" s="304"/>
      <c r="BSF119" s="572"/>
      <c r="BSG119" s="573"/>
      <c r="BSH119" s="574"/>
      <c r="BSI119" s="575"/>
      <c r="BSJ119" s="583"/>
      <c r="BSK119" s="590"/>
      <c r="BSL119" s="589"/>
      <c r="BSM119" s="585"/>
      <c r="BSN119" s="577"/>
      <c r="BSO119" s="304"/>
      <c r="BSP119" s="572"/>
      <c r="BSQ119" s="573"/>
      <c r="BSR119" s="574"/>
      <c r="BSS119" s="575"/>
      <c r="BST119" s="583"/>
      <c r="BSU119" s="590"/>
      <c r="BSV119" s="589"/>
      <c r="BSW119" s="585"/>
      <c r="BSX119" s="577"/>
      <c r="BSY119" s="304"/>
      <c r="BSZ119" s="572"/>
      <c r="BTA119" s="573"/>
      <c r="BTB119" s="574"/>
      <c r="BTC119" s="575"/>
      <c r="BTD119" s="583"/>
      <c r="BTE119" s="590"/>
      <c r="BTF119" s="589"/>
      <c r="BTG119" s="585"/>
      <c r="BTH119" s="577"/>
      <c r="BTI119" s="304"/>
      <c r="BTJ119" s="572"/>
      <c r="BTK119" s="573"/>
      <c r="BTL119" s="574"/>
      <c r="BTM119" s="575"/>
      <c r="BTN119" s="583"/>
      <c r="BTO119" s="590"/>
      <c r="BTP119" s="589"/>
      <c r="BTQ119" s="585"/>
      <c r="BTR119" s="577"/>
      <c r="BTS119" s="304"/>
      <c r="BTT119" s="572"/>
      <c r="BTU119" s="573"/>
      <c r="BTV119" s="574"/>
      <c r="BTW119" s="575"/>
      <c r="BTX119" s="583"/>
      <c r="BTY119" s="590"/>
      <c r="BTZ119" s="589"/>
      <c r="BUA119" s="585"/>
      <c r="BUB119" s="577"/>
      <c r="BUC119" s="304"/>
      <c r="BUD119" s="572"/>
      <c r="BUE119" s="573"/>
      <c r="BUF119" s="574"/>
      <c r="BUG119" s="575"/>
      <c r="BUH119" s="583"/>
      <c r="BUI119" s="590"/>
      <c r="BUJ119" s="589"/>
      <c r="BUK119" s="585"/>
      <c r="BUL119" s="577"/>
      <c r="BUM119" s="304"/>
      <c r="BUN119" s="572"/>
      <c r="BUO119" s="573"/>
      <c r="BUP119" s="574"/>
      <c r="BUQ119" s="575"/>
      <c r="BUR119" s="583"/>
      <c r="BUS119" s="590"/>
      <c r="BUT119" s="589"/>
      <c r="BUU119" s="585"/>
      <c r="BUV119" s="577"/>
      <c r="BUW119" s="304"/>
      <c r="BUX119" s="572"/>
      <c r="BUY119" s="573"/>
      <c r="BUZ119" s="574"/>
      <c r="BVA119" s="575"/>
      <c r="BVB119" s="583"/>
      <c r="BVC119" s="590"/>
      <c r="BVD119" s="589"/>
      <c r="BVE119" s="585"/>
      <c r="BVF119" s="577"/>
      <c r="BVG119" s="304"/>
      <c r="BVH119" s="572"/>
      <c r="BVI119" s="573"/>
      <c r="BVJ119" s="574"/>
      <c r="BVK119" s="575"/>
      <c r="BVL119" s="583"/>
      <c r="BVM119" s="590"/>
      <c r="BVN119" s="589"/>
      <c r="BVO119" s="585"/>
      <c r="BVP119" s="577"/>
      <c r="BVQ119" s="304"/>
      <c r="BVR119" s="572"/>
      <c r="BVS119" s="573"/>
      <c r="BVT119" s="574"/>
      <c r="BVU119" s="575"/>
      <c r="BVV119" s="583"/>
      <c r="BVW119" s="590"/>
      <c r="BVX119" s="589"/>
      <c r="BVY119" s="585"/>
      <c r="BVZ119" s="577"/>
      <c r="BWA119" s="304"/>
      <c r="BWB119" s="572"/>
      <c r="BWC119" s="573"/>
      <c r="BWD119" s="574"/>
      <c r="BWE119" s="575"/>
      <c r="BWF119" s="583"/>
      <c r="BWG119" s="590"/>
      <c r="BWH119" s="589"/>
      <c r="BWI119" s="585"/>
      <c r="BWJ119" s="577"/>
      <c r="BWK119" s="304"/>
      <c r="BWL119" s="572"/>
      <c r="BWM119" s="573"/>
      <c r="BWN119" s="574"/>
      <c r="BWO119" s="575"/>
      <c r="BWP119" s="583"/>
      <c r="BWQ119" s="590"/>
      <c r="BWR119" s="589"/>
      <c r="BWS119" s="585"/>
      <c r="BWT119" s="577"/>
      <c r="BWU119" s="304"/>
      <c r="BWV119" s="572"/>
      <c r="BWW119" s="573"/>
      <c r="BWX119" s="574"/>
      <c r="BWY119" s="575"/>
      <c r="BWZ119" s="583"/>
      <c r="BXA119" s="590"/>
      <c r="BXB119" s="589"/>
      <c r="BXC119" s="585"/>
      <c r="BXD119" s="577"/>
      <c r="BXE119" s="304"/>
      <c r="BXF119" s="572"/>
      <c r="BXG119" s="573"/>
      <c r="BXH119" s="574"/>
      <c r="BXI119" s="575"/>
      <c r="BXJ119" s="583"/>
      <c r="BXK119" s="590"/>
      <c r="BXL119" s="589"/>
      <c r="BXM119" s="585"/>
      <c r="BXN119" s="577"/>
      <c r="BXO119" s="304"/>
      <c r="BXP119" s="572"/>
      <c r="BXQ119" s="573"/>
      <c r="BXR119" s="574"/>
      <c r="BXS119" s="575"/>
      <c r="BXT119" s="583"/>
      <c r="BXU119" s="590"/>
      <c r="BXV119" s="589"/>
      <c r="BXW119" s="585"/>
      <c r="BXX119" s="577"/>
      <c r="BXY119" s="304"/>
      <c r="BXZ119" s="572"/>
      <c r="BYA119" s="573"/>
      <c r="BYB119" s="574"/>
      <c r="BYC119" s="575"/>
      <c r="BYD119" s="583"/>
      <c r="BYE119" s="590"/>
      <c r="BYF119" s="589"/>
      <c r="BYG119" s="585"/>
      <c r="BYH119" s="577"/>
      <c r="BYI119" s="304"/>
      <c r="BYJ119" s="572"/>
      <c r="BYK119" s="573"/>
      <c r="BYL119" s="574"/>
      <c r="BYM119" s="575"/>
      <c r="BYN119" s="583"/>
      <c r="BYO119" s="590"/>
      <c r="BYP119" s="589"/>
      <c r="BYQ119" s="585"/>
      <c r="BYR119" s="577"/>
      <c r="BYS119" s="304"/>
      <c r="BYT119" s="572"/>
      <c r="BYU119" s="573"/>
      <c r="BYV119" s="574"/>
      <c r="BYW119" s="575"/>
      <c r="BYX119" s="583"/>
      <c r="BYY119" s="590"/>
      <c r="BYZ119" s="589"/>
      <c r="BZA119" s="585"/>
      <c r="BZB119" s="577"/>
      <c r="BZC119" s="304"/>
      <c r="BZD119" s="572"/>
      <c r="BZE119" s="573"/>
      <c r="BZF119" s="574"/>
      <c r="BZG119" s="575"/>
      <c r="BZH119" s="583"/>
      <c r="BZI119" s="590"/>
      <c r="BZJ119" s="589"/>
      <c r="BZK119" s="585"/>
      <c r="BZL119" s="577"/>
      <c r="BZM119" s="304"/>
      <c r="BZN119" s="572"/>
      <c r="BZO119" s="573"/>
      <c r="BZP119" s="574"/>
      <c r="BZQ119" s="575"/>
      <c r="BZR119" s="583"/>
      <c r="BZS119" s="590"/>
      <c r="BZT119" s="589"/>
      <c r="BZU119" s="585"/>
      <c r="BZV119" s="577"/>
      <c r="BZW119" s="304"/>
      <c r="BZX119" s="572"/>
      <c r="BZY119" s="573"/>
      <c r="BZZ119" s="574"/>
      <c r="CAA119" s="575"/>
      <c r="CAB119" s="583"/>
      <c r="CAC119" s="590"/>
      <c r="CAD119" s="589"/>
      <c r="CAE119" s="585"/>
      <c r="CAF119" s="577"/>
      <c r="CAG119" s="304"/>
      <c r="CAH119" s="572"/>
      <c r="CAI119" s="573"/>
      <c r="CAJ119" s="574"/>
      <c r="CAK119" s="575"/>
      <c r="CAL119" s="583"/>
      <c r="CAM119" s="590"/>
      <c r="CAN119" s="589"/>
      <c r="CAO119" s="585"/>
      <c r="CAP119" s="577"/>
      <c r="CAQ119" s="304"/>
      <c r="CAR119" s="572"/>
      <c r="CAS119" s="573"/>
      <c r="CAT119" s="574"/>
      <c r="CAU119" s="575"/>
      <c r="CAV119" s="583"/>
      <c r="CAW119" s="590"/>
      <c r="CAX119" s="589"/>
      <c r="CAY119" s="585"/>
      <c r="CAZ119" s="577"/>
      <c r="CBA119" s="304"/>
      <c r="CBB119" s="572"/>
      <c r="CBC119" s="573"/>
      <c r="CBD119" s="574"/>
      <c r="CBE119" s="575"/>
      <c r="CBF119" s="583"/>
      <c r="CBG119" s="590"/>
      <c r="CBH119" s="589"/>
      <c r="CBI119" s="585"/>
      <c r="CBJ119" s="577"/>
      <c r="CBK119" s="304"/>
      <c r="CBL119" s="572"/>
      <c r="CBM119" s="573"/>
      <c r="CBN119" s="574"/>
      <c r="CBO119" s="575"/>
      <c r="CBP119" s="583"/>
      <c r="CBQ119" s="590"/>
      <c r="CBR119" s="589"/>
      <c r="CBS119" s="585"/>
      <c r="CBT119" s="577"/>
      <c r="CBU119" s="304"/>
      <c r="CBV119" s="572"/>
      <c r="CBW119" s="573"/>
      <c r="CBX119" s="574"/>
      <c r="CBY119" s="575"/>
      <c r="CBZ119" s="583"/>
      <c r="CCA119" s="590"/>
      <c r="CCB119" s="589"/>
      <c r="CCC119" s="585"/>
      <c r="CCD119" s="577"/>
      <c r="CCE119" s="304"/>
      <c r="CCF119" s="572"/>
      <c r="CCG119" s="573"/>
      <c r="CCH119" s="574"/>
      <c r="CCI119" s="575"/>
      <c r="CCJ119" s="583"/>
      <c r="CCK119" s="590"/>
      <c r="CCL119" s="589"/>
      <c r="CCM119" s="585"/>
      <c r="CCN119" s="577"/>
      <c r="CCO119" s="304"/>
      <c r="CCP119" s="572"/>
      <c r="CCQ119" s="573"/>
      <c r="CCR119" s="574"/>
      <c r="CCS119" s="575"/>
      <c r="CCT119" s="583"/>
      <c r="CCU119" s="590"/>
      <c r="CCV119" s="589"/>
      <c r="CCW119" s="585"/>
      <c r="CCX119" s="577"/>
      <c r="CCY119" s="304"/>
      <c r="CCZ119" s="572"/>
      <c r="CDA119" s="573"/>
      <c r="CDB119" s="574"/>
      <c r="CDC119" s="575"/>
      <c r="CDD119" s="583"/>
      <c r="CDE119" s="590"/>
      <c r="CDF119" s="589"/>
      <c r="CDG119" s="585"/>
      <c r="CDH119" s="577"/>
      <c r="CDI119" s="304"/>
      <c r="CDJ119" s="572"/>
      <c r="CDK119" s="573"/>
      <c r="CDL119" s="574"/>
      <c r="CDM119" s="575"/>
      <c r="CDN119" s="583"/>
      <c r="CDO119" s="590"/>
      <c r="CDP119" s="589"/>
      <c r="CDQ119" s="585"/>
      <c r="CDR119" s="577"/>
      <c r="CDS119" s="304"/>
      <c r="CDT119" s="572"/>
      <c r="CDU119" s="573"/>
      <c r="CDV119" s="574"/>
      <c r="CDW119" s="575"/>
      <c r="CDX119" s="583"/>
      <c r="CDY119" s="590"/>
      <c r="CDZ119" s="589"/>
      <c r="CEA119" s="585"/>
      <c r="CEB119" s="577"/>
      <c r="CEC119" s="304"/>
      <c r="CED119" s="572"/>
      <c r="CEE119" s="573"/>
      <c r="CEF119" s="574"/>
      <c r="CEG119" s="575"/>
      <c r="CEH119" s="583"/>
      <c r="CEI119" s="590"/>
      <c r="CEJ119" s="589"/>
      <c r="CEK119" s="585"/>
      <c r="CEL119" s="577"/>
      <c r="CEM119" s="304"/>
      <c r="CEN119" s="572"/>
      <c r="CEO119" s="573"/>
      <c r="CEP119" s="574"/>
      <c r="CEQ119" s="575"/>
      <c r="CER119" s="583"/>
      <c r="CES119" s="590"/>
      <c r="CET119" s="589"/>
      <c r="CEU119" s="585"/>
      <c r="CEV119" s="577"/>
      <c r="CEW119" s="304"/>
      <c r="CEX119" s="572"/>
      <c r="CEY119" s="573"/>
      <c r="CEZ119" s="574"/>
      <c r="CFA119" s="575"/>
      <c r="CFB119" s="583"/>
      <c r="CFC119" s="590"/>
      <c r="CFD119" s="589"/>
      <c r="CFE119" s="585"/>
      <c r="CFF119" s="577"/>
      <c r="CFG119" s="304"/>
      <c r="CFH119" s="572"/>
      <c r="CFI119" s="573"/>
      <c r="CFJ119" s="574"/>
      <c r="CFK119" s="575"/>
      <c r="CFL119" s="583"/>
      <c r="CFM119" s="590"/>
      <c r="CFN119" s="589"/>
      <c r="CFO119" s="585"/>
      <c r="CFP119" s="577"/>
      <c r="CFQ119" s="304"/>
      <c r="CFR119" s="572"/>
      <c r="CFS119" s="573"/>
      <c r="CFT119" s="574"/>
      <c r="CFU119" s="575"/>
      <c r="CFV119" s="583"/>
      <c r="CFW119" s="590"/>
      <c r="CFX119" s="589"/>
      <c r="CFY119" s="585"/>
      <c r="CFZ119" s="577"/>
      <c r="CGA119" s="304"/>
      <c r="CGB119" s="572"/>
      <c r="CGC119" s="573"/>
      <c r="CGD119" s="574"/>
      <c r="CGE119" s="575"/>
      <c r="CGF119" s="583"/>
      <c r="CGG119" s="590"/>
      <c r="CGH119" s="589"/>
      <c r="CGI119" s="585"/>
      <c r="CGJ119" s="577"/>
      <c r="CGK119" s="304"/>
      <c r="CGL119" s="572"/>
      <c r="CGM119" s="573"/>
      <c r="CGN119" s="574"/>
      <c r="CGO119" s="575"/>
      <c r="CGP119" s="583"/>
      <c r="CGQ119" s="590"/>
      <c r="CGR119" s="589"/>
      <c r="CGS119" s="585"/>
      <c r="CGT119" s="577"/>
      <c r="CGU119" s="304"/>
      <c r="CGV119" s="572"/>
      <c r="CGW119" s="573"/>
      <c r="CGX119" s="574"/>
      <c r="CGY119" s="575"/>
      <c r="CGZ119" s="583"/>
      <c r="CHA119" s="590"/>
      <c r="CHB119" s="589"/>
      <c r="CHC119" s="585"/>
      <c r="CHD119" s="577"/>
      <c r="CHE119" s="304"/>
      <c r="CHF119" s="572"/>
      <c r="CHG119" s="573"/>
      <c r="CHH119" s="574"/>
      <c r="CHI119" s="575"/>
      <c r="CHJ119" s="583"/>
      <c r="CHK119" s="590"/>
      <c r="CHL119" s="589"/>
      <c r="CHM119" s="585"/>
      <c r="CHN119" s="577"/>
      <c r="CHO119" s="304"/>
      <c r="CHP119" s="572"/>
      <c r="CHQ119" s="573"/>
      <c r="CHR119" s="574"/>
      <c r="CHS119" s="575"/>
      <c r="CHT119" s="583"/>
      <c r="CHU119" s="590"/>
      <c r="CHV119" s="589"/>
      <c r="CHW119" s="585"/>
      <c r="CHX119" s="577"/>
      <c r="CHY119" s="304"/>
      <c r="CHZ119" s="572"/>
      <c r="CIA119" s="573"/>
      <c r="CIB119" s="574"/>
      <c r="CIC119" s="575"/>
      <c r="CID119" s="583"/>
      <c r="CIE119" s="590"/>
      <c r="CIF119" s="589"/>
      <c r="CIG119" s="585"/>
      <c r="CIH119" s="577"/>
      <c r="CII119" s="304"/>
      <c r="CIJ119" s="572"/>
      <c r="CIK119" s="573"/>
      <c r="CIL119" s="574"/>
      <c r="CIM119" s="575"/>
      <c r="CIN119" s="583"/>
      <c r="CIO119" s="590"/>
      <c r="CIP119" s="589"/>
      <c r="CIQ119" s="585"/>
      <c r="CIR119" s="577"/>
      <c r="CIS119" s="304"/>
      <c r="CIT119" s="572"/>
      <c r="CIU119" s="573"/>
      <c r="CIV119" s="574"/>
      <c r="CIW119" s="575"/>
      <c r="CIX119" s="583"/>
      <c r="CIY119" s="590"/>
      <c r="CIZ119" s="589"/>
      <c r="CJA119" s="585"/>
      <c r="CJB119" s="577"/>
      <c r="CJC119" s="304"/>
      <c r="CJD119" s="572"/>
      <c r="CJE119" s="573"/>
      <c r="CJF119" s="574"/>
      <c r="CJG119" s="575"/>
      <c r="CJH119" s="583"/>
      <c r="CJI119" s="590"/>
      <c r="CJJ119" s="589"/>
      <c r="CJK119" s="585"/>
      <c r="CJL119" s="577"/>
      <c r="CJM119" s="304"/>
      <c r="CJN119" s="572"/>
      <c r="CJO119" s="573"/>
      <c r="CJP119" s="574"/>
      <c r="CJQ119" s="575"/>
      <c r="CJR119" s="583"/>
      <c r="CJS119" s="590"/>
      <c r="CJT119" s="589"/>
      <c r="CJU119" s="585"/>
      <c r="CJV119" s="577"/>
      <c r="CJW119" s="304"/>
      <c r="CJX119" s="572"/>
      <c r="CJY119" s="573"/>
      <c r="CJZ119" s="574"/>
      <c r="CKA119" s="575"/>
      <c r="CKB119" s="583"/>
      <c r="CKC119" s="590"/>
      <c r="CKD119" s="589"/>
      <c r="CKE119" s="585"/>
      <c r="CKF119" s="577"/>
      <c r="CKG119" s="304"/>
      <c r="CKH119" s="572"/>
      <c r="CKI119" s="573"/>
      <c r="CKJ119" s="574"/>
      <c r="CKK119" s="575"/>
      <c r="CKL119" s="583"/>
      <c r="CKM119" s="590"/>
      <c r="CKN119" s="589"/>
      <c r="CKO119" s="585"/>
      <c r="CKP119" s="577"/>
      <c r="CKQ119" s="304"/>
      <c r="CKR119" s="572"/>
      <c r="CKS119" s="573"/>
      <c r="CKT119" s="574"/>
      <c r="CKU119" s="575"/>
      <c r="CKV119" s="583"/>
      <c r="CKW119" s="590"/>
      <c r="CKX119" s="589"/>
      <c r="CKY119" s="585"/>
      <c r="CKZ119" s="577"/>
      <c r="CLA119" s="304"/>
      <c r="CLB119" s="572"/>
      <c r="CLC119" s="573"/>
      <c r="CLD119" s="574"/>
      <c r="CLE119" s="575"/>
      <c r="CLF119" s="583"/>
      <c r="CLG119" s="590"/>
      <c r="CLH119" s="589"/>
      <c r="CLI119" s="585"/>
      <c r="CLJ119" s="577"/>
      <c r="CLK119" s="304"/>
      <c r="CLL119" s="572"/>
      <c r="CLM119" s="573"/>
      <c r="CLN119" s="574"/>
      <c r="CLO119" s="575"/>
      <c r="CLP119" s="583"/>
      <c r="CLQ119" s="590"/>
      <c r="CLR119" s="589"/>
      <c r="CLS119" s="585"/>
      <c r="CLT119" s="577"/>
      <c r="CLU119" s="304"/>
      <c r="CLV119" s="572"/>
      <c r="CLW119" s="573"/>
      <c r="CLX119" s="574"/>
      <c r="CLY119" s="575"/>
      <c r="CLZ119" s="583"/>
      <c r="CMA119" s="590"/>
      <c r="CMB119" s="589"/>
      <c r="CMC119" s="585"/>
      <c r="CMD119" s="577"/>
      <c r="CME119" s="304"/>
      <c r="CMF119" s="572"/>
      <c r="CMG119" s="573"/>
      <c r="CMH119" s="574"/>
      <c r="CMI119" s="575"/>
      <c r="CMJ119" s="583"/>
      <c r="CMK119" s="590"/>
      <c r="CML119" s="589"/>
      <c r="CMM119" s="585"/>
      <c r="CMN119" s="577"/>
      <c r="CMO119" s="304"/>
      <c r="CMP119" s="572"/>
      <c r="CMQ119" s="573"/>
      <c r="CMR119" s="574"/>
      <c r="CMS119" s="575"/>
      <c r="CMT119" s="583"/>
      <c r="CMU119" s="590"/>
      <c r="CMV119" s="589"/>
      <c r="CMW119" s="585"/>
      <c r="CMX119" s="577"/>
      <c r="CMY119" s="304"/>
      <c r="CMZ119" s="572"/>
      <c r="CNA119" s="573"/>
      <c r="CNB119" s="574"/>
      <c r="CNC119" s="575"/>
      <c r="CND119" s="583"/>
      <c r="CNE119" s="590"/>
      <c r="CNF119" s="589"/>
      <c r="CNG119" s="585"/>
      <c r="CNH119" s="577"/>
      <c r="CNI119" s="304"/>
      <c r="CNJ119" s="572"/>
      <c r="CNK119" s="573"/>
      <c r="CNL119" s="574"/>
      <c r="CNM119" s="575"/>
      <c r="CNN119" s="583"/>
      <c r="CNO119" s="590"/>
      <c r="CNP119" s="589"/>
      <c r="CNQ119" s="585"/>
      <c r="CNR119" s="577"/>
      <c r="CNS119" s="304"/>
      <c r="CNT119" s="572"/>
      <c r="CNU119" s="573"/>
      <c r="CNV119" s="574"/>
      <c r="CNW119" s="575"/>
      <c r="CNX119" s="583"/>
      <c r="CNY119" s="590"/>
      <c r="CNZ119" s="589"/>
      <c r="COA119" s="585"/>
      <c r="COB119" s="577"/>
      <c r="COC119" s="304"/>
      <c r="COD119" s="572"/>
      <c r="COE119" s="573"/>
      <c r="COF119" s="574"/>
      <c r="COG119" s="575"/>
      <c r="COH119" s="583"/>
      <c r="COI119" s="590"/>
      <c r="COJ119" s="589"/>
      <c r="COK119" s="585"/>
      <c r="COL119" s="577"/>
      <c r="COM119" s="304"/>
      <c r="CON119" s="572"/>
      <c r="COO119" s="573"/>
      <c r="COP119" s="574"/>
      <c r="COQ119" s="575"/>
      <c r="COR119" s="583"/>
      <c r="COS119" s="590"/>
      <c r="COT119" s="589"/>
      <c r="COU119" s="585"/>
      <c r="COV119" s="577"/>
      <c r="COW119" s="304"/>
      <c r="COX119" s="572"/>
      <c r="COY119" s="573"/>
      <c r="COZ119" s="574"/>
      <c r="CPA119" s="575"/>
      <c r="CPB119" s="583"/>
      <c r="CPC119" s="590"/>
      <c r="CPD119" s="589"/>
      <c r="CPE119" s="585"/>
      <c r="CPF119" s="577"/>
      <c r="CPG119" s="304"/>
      <c r="CPH119" s="572"/>
      <c r="CPI119" s="573"/>
      <c r="CPJ119" s="574"/>
      <c r="CPK119" s="575"/>
      <c r="CPL119" s="583"/>
      <c r="CPM119" s="590"/>
      <c r="CPN119" s="589"/>
      <c r="CPO119" s="585"/>
      <c r="CPP119" s="577"/>
      <c r="CPQ119" s="304"/>
      <c r="CPR119" s="572"/>
      <c r="CPS119" s="573"/>
      <c r="CPT119" s="574"/>
      <c r="CPU119" s="575"/>
      <c r="CPV119" s="583"/>
      <c r="CPW119" s="590"/>
      <c r="CPX119" s="589"/>
      <c r="CPY119" s="585"/>
      <c r="CPZ119" s="577"/>
      <c r="CQA119" s="304"/>
      <c r="CQB119" s="572"/>
      <c r="CQC119" s="573"/>
      <c r="CQD119" s="574"/>
      <c r="CQE119" s="575"/>
      <c r="CQF119" s="583"/>
      <c r="CQG119" s="590"/>
      <c r="CQH119" s="589"/>
      <c r="CQI119" s="585"/>
      <c r="CQJ119" s="577"/>
      <c r="CQK119" s="304"/>
      <c r="CQL119" s="572"/>
      <c r="CQM119" s="573"/>
      <c r="CQN119" s="574"/>
      <c r="CQO119" s="575"/>
      <c r="CQP119" s="583"/>
      <c r="CQQ119" s="590"/>
      <c r="CQR119" s="589"/>
      <c r="CQS119" s="585"/>
      <c r="CQT119" s="577"/>
      <c r="CQU119" s="304"/>
      <c r="CQV119" s="572"/>
      <c r="CQW119" s="573"/>
      <c r="CQX119" s="574"/>
      <c r="CQY119" s="575"/>
      <c r="CQZ119" s="583"/>
      <c r="CRA119" s="590"/>
      <c r="CRB119" s="589"/>
      <c r="CRC119" s="585"/>
      <c r="CRD119" s="577"/>
      <c r="CRE119" s="304"/>
      <c r="CRF119" s="572"/>
      <c r="CRG119" s="573"/>
      <c r="CRH119" s="574"/>
      <c r="CRI119" s="575"/>
      <c r="CRJ119" s="583"/>
      <c r="CRK119" s="590"/>
      <c r="CRL119" s="589"/>
      <c r="CRM119" s="585"/>
      <c r="CRN119" s="577"/>
      <c r="CRO119" s="304"/>
      <c r="CRP119" s="572"/>
      <c r="CRQ119" s="573"/>
      <c r="CRR119" s="574"/>
      <c r="CRS119" s="575"/>
      <c r="CRT119" s="583"/>
      <c r="CRU119" s="590"/>
      <c r="CRV119" s="589"/>
      <c r="CRW119" s="585"/>
      <c r="CRX119" s="577"/>
      <c r="CRY119" s="304"/>
      <c r="CRZ119" s="572"/>
      <c r="CSA119" s="573"/>
      <c r="CSB119" s="574"/>
      <c r="CSC119" s="575"/>
      <c r="CSD119" s="583"/>
      <c r="CSE119" s="590"/>
      <c r="CSF119" s="589"/>
      <c r="CSG119" s="585"/>
      <c r="CSH119" s="577"/>
      <c r="CSI119" s="304"/>
      <c r="CSJ119" s="572"/>
      <c r="CSK119" s="573"/>
      <c r="CSL119" s="574"/>
      <c r="CSM119" s="575"/>
      <c r="CSN119" s="583"/>
      <c r="CSO119" s="590"/>
      <c r="CSP119" s="589"/>
      <c r="CSQ119" s="585"/>
      <c r="CSR119" s="577"/>
      <c r="CSS119" s="304"/>
      <c r="CST119" s="572"/>
      <c r="CSU119" s="573"/>
      <c r="CSV119" s="574"/>
      <c r="CSW119" s="575"/>
      <c r="CSX119" s="583"/>
      <c r="CSY119" s="590"/>
      <c r="CSZ119" s="589"/>
      <c r="CTA119" s="585"/>
      <c r="CTB119" s="577"/>
      <c r="CTC119" s="304"/>
      <c r="CTD119" s="572"/>
      <c r="CTE119" s="573"/>
      <c r="CTF119" s="574"/>
      <c r="CTG119" s="575"/>
      <c r="CTH119" s="583"/>
      <c r="CTI119" s="590"/>
      <c r="CTJ119" s="589"/>
      <c r="CTK119" s="585"/>
      <c r="CTL119" s="577"/>
      <c r="CTM119" s="304"/>
      <c r="CTN119" s="572"/>
      <c r="CTO119" s="573"/>
      <c r="CTP119" s="574"/>
      <c r="CTQ119" s="575"/>
      <c r="CTR119" s="583"/>
      <c r="CTS119" s="590"/>
      <c r="CTT119" s="589"/>
      <c r="CTU119" s="585"/>
      <c r="CTV119" s="577"/>
      <c r="CTW119" s="304"/>
      <c r="CTX119" s="572"/>
      <c r="CTY119" s="573"/>
      <c r="CTZ119" s="574"/>
      <c r="CUA119" s="575"/>
      <c r="CUB119" s="583"/>
      <c r="CUC119" s="590"/>
      <c r="CUD119" s="589"/>
      <c r="CUE119" s="585"/>
      <c r="CUF119" s="577"/>
      <c r="CUG119" s="304"/>
      <c r="CUH119" s="572"/>
      <c r="CUI119" s="573"/>
      <c r="CUJ119" s="574"/>
      <c r="CUK119" s="575"/>
      <c r="CUL119" s="583"/>
      <c r="CUM119" s="590"/>
      <c r="CUN119" s="589"/>
      <c r="CUO119" s="585"/>
      <c r="CUP119" s="577"/>
      <c r="CUQ119" s="304"/>
      <c r="CUR119" s="572"/>
      <c r="CUS119" s="573"/>
      <c r="CUT119" s="574"/>
      <c r="CUU119" s="575"/>
      <c r="CUV119" s="583"/>
      <c r="CUW119" s="590"/>
      <c r="CUX119" s="589"/>
      <c r="CUY119" s="585"/>
      <c r="CUZ119" s="577"/>
      <c r="CVA119" s="304"/>
      <c r="CVB119" s="572"/>
      <c r="CVC119" s="573"/>
      <c r="CVD119" s="574"/>
      <c r="CVE119" s="575"/>
      <c r="CVF119" s="583"/>
      <c r="CVG119" s="590"/>
      <c r="CVH119" s="589"/>
      <c r="CVI119" s="585"/>
      <c r="CVJ119" s="577"/>
      <c r="CVK119" s="304"/>
      <c r="CVL119" s="572"/>
      <c r="CVM119" s="573"/>
      <c r="CVN119" s="574"/>
      <c r="CVO119" s="575"/>
      <c r="CVP119" s="583"/>
      <c r="CVQ119" s="590"/>
      <c r="CVR119" s="589"/>
      <c r="CVS119" s="585"/>
      <c r="CVT119" s="577"/>
      <c r="CVU119" s="304"/>
      <c r="CVV119" s="572"/>
      <c r="CVW119" s="573"/>
      <c r="CVX119" s="574"/>
      <c r="CVY119" s="575"/>
      <c r="CVZ119" s="583"/>
      <c r="CWA119" s="590"/>
      <c r="CWB119" s="589"/>
      <c r="CWC119" s="585"/>
      <c r="CWD119" s="577"/>
      <c r="CWE119" s="304"/>
      <c r="CWF119" s="572"/>
      <c r="CWG119" s="573"/>
      <c r="CWH119" s="574"/>
      <c r="CWI119" s="575"/>
      <c r="CWJ119" s="583"/>
      <c r="CWK119" s="590"/>
      <c r="CWL119" s="589"/>
      <c r="CWM119" s="585"/>
      <c r="CWN119" s="577"/>
      <c r="CWO119" s="304"/>
      <c r="CWP119" s="572"/>
      <c r="CWQ119" s="573"/>
      <c r="CWR119" s="574"/>
      <c r="CWS119" s="575"/>
      <c r="CWT119" s="583"/>
      <c r="CWU119" s="590"/>
      <c r="CWV119" s="589"/>
      <c r="CWW119" s="585"/>
      <c r="CWX119" s="577"/>
      <c r="CWY119" s="304"/>
      <c r="CWZ119" s="572"/>
      <c r="CXA119" s="573"/>
      <c r="CXB119" s="574"/>
      <c r="CXC119" s="575"/>
      <c r="CXD119" s="583"/>
      <c r="CXE119" s="590"/>
      <c r="CXF119" s="589"/>
      <c r="CXG119" s="585"/>
      <c r="CXH119" s="577"/>
      <c r="CXI119" s="304"/>
      <c r="CXJ119" s="572"/>
      <c r="CXK119" s="573"/>
      <c r="CXL119" s="574"/>
      <c r="CXM119" s="575"/>
      <c r="CXN119" s="583"/>
      <c r="CXO119" s="590"/>
      <c r="CXP119" s="589"/>
      <c r="CXQ119" s="585"/>
      <c r="CXR119" s="577"/>
      <c r="CXS119" s="304"/>
      <c r="CXT119" s="572"/>
      <c r="CXU119" s="573"/>
      <c r="CXV119" s="574"/>
      <c r="CXW119" s="575"/>
      <c r="CXX119" s="583"/>
      <c r="CXY119" s="590"/>
      <c r="CXZ119" s="589"/>
      <c r="CYA119" s="585"/>
      <c r="CYB119" s="577"/>
      <c r="CYC119" s="304"/>
      <c r="CYD119" s="572"/>
      <c r="CYE119" s="573"/>
      <c r="CYF119" s="574"/>
      <c r="CYG119" s="575"/>
      <c r="CYH119" s="583"/>
      <c r="CYI119" s="590"/>
      <c r="CYJ119" s="589"/>
      <c r="CYK119" s="585"/>
      <c r="CYL119" s="577"/>
      <c r="CYM119" s="304"/>
      <c r="CYN119" s="572"/>
      <c r="CYO119" s="573"/>
      <c r="CYP119" s="574"/>
      <c r="CYQ119" s="575"/>
      <c r="CYR119" s="583"/>
      <c r="CYS119" s="590"/>
      <c r="CYT119" s="589"/>
      <c r="CYU119" s="585"/>
      <c r="CYV119" s="577"/>
      <c r="CYW119" s="304"/>
      <c r="CYX119" s="572"/>
      <c r="CYY119" s="573"/>
      <c r="CYZ119" s="574"/>
      <c r="CZA119" s="575"/>
      <c r="CZB119" s="583"/>
      <c r="CZC119" s="590"/>
      <c r="CZD119" s="589"/>
      <c r="CZE119" s="585"/>
      <c r="CZF119" s="577"/>
      <c r="CZG119" s="304"/>
      <c r="CZH119" s="572"/>
      <c r="CZI119" s="573"/>
      <c r="CZJ119" s="574"/>
      <c r="CZK119" s="575"/>
      <c r="CZL119" s="583"/>
      <c r="CZM119" s="590"/>
      <c r="CZN119" s="589"/>
      <c r="CZO119" s="585"/>
      <c r="CZP119" s="577"/>
      <c r="CZQ119" s="304"/>
      <c r="CZR119" s="572"/>
      <c r="CZS119" s="573"/>
      <c r="CZT119" s="574"/>
      <c r="CZU119" s="575"/>
      <c r="CZV119" s="583"/>
      <c r="CZW119" s="590"/>
      <c r="CZX119" s="589"/>
      <c r="CZY119" s="585"/>
      <c r="CZZ119" s="577"/>
      <c r="DAA119" s="304"/>
      <c r="DAB119" s="572"/>
      <c r="DAC119" s="573"/>
      <c r="DAD119" s="574"/>
      <c r="DAE119" s="575"/>
      <c r="DAF119" s="583"/>
      <c r="DAG119" s="590"/>
      <c r="DAH119" s="589"/>
      <c r="DAI119" s="585"/>
      <c r="DAJ119" s="577"/>
      <c r="DAK119" s="304"/>
      <c r="DAL119" s="572"/>
      <c r="DAM119" s="573"/>
      <c r="DAN119" s="574"/>
      <c r="DAO119" s="575"/>
      <c r="DAP119" s="583"/>
      <c r="DAQ119" s="590"/>
      <c r="DAR119" s="589"/>
      <c r="DAS119" s="585"/>
      <c r="DAT119" s="577"/>
      <c r="DAU119" s="304"/>
      <c r="DAV119" s="572"/>
      <c r="DAW119" s="573"/>
      <c r="DAX119" s="574"/>
      <c r="DAY119" s="575"/>
      <c r="DAZ119" s="583"/>
      <c r="DBA119" s="590"/>
      <c r="DBB119" s="589"/>
      <c r="DBC119" s="585"/>
      <c r="DBD119" s="577"/>
      <c r="DBE119" s="304"/>
      <c r="DBF119" s="572"/>
      <c r="DBG119" s="573"/>
      <c r="DBH119" s="574"/>
      <c r="DBI119" s="575"/>
      <c r="DBJ119" s="583"/>
      <c r="DBK119" s="590"/>
      <c r="DBL119" s="589"/>
      <c r="DBM119" s="585"/>
      <c r="DBN119" s="577"/>
      <c r="DBO119" s="304"/>
      <c r="DBP119" s="572"/>
      <c r="DBQ119" s="573"/>
      <c r="DBR119" s="574"/>
      <c r="DBS119" s="575"/>
      <c r="DBT119" s="583"/>
      <c r="DBU119" s="590"/>
      <c r="DBV119" s="589"/>
      <c r="DBW119" s="585"/>
      <c r="DBX119" s="577"/>
      <c r="DBY119" s="304"/>
      <c r="DBZ119" s="572"/>
      <c r="DCA119" s="573"/>
      <c r="DCB119" s="574"/>
      <c r="DCC119" s="575"/>
      <c r="DCD119" s="583"/>
      <c r="DCE119" s="590"/>
      <c r="DCF119" s="589"/>
      <c r="DCG119" s="585"/>
      <c r="DCH119" s="577"/>
      <c r="DCI119" s="304"/>
      <c r="DCJ119" s="572"/>
      <c r="DCK119" s="573"/>
      <c r="DCL119" s="574"/>
      <c r="DCM119" s="575"/>
      <c r="DCN119" s="583"/>
      <c r="DCO119" s="590"/>
      <c r="DCP119" s="589"/>
      <c r="DCQ119" s="585"/>
      <c r="DCR119" s="577"/>
      <c r="DCS119" s="304"/>
      <c r="DCT119" s="572"/>
      <c r="DCU119" s="573"/>
      <c r="DCV119" s="574"/>
      <c r="DCW119" s="575"/>
      <c r="DCX119" s="583"/>
      <c r="DCY119" s="590"/>
      <c r="DCZ119" s="589"/>
      <c r="DDA119" s="585"/>
      <c r="DDB119" s="577"/>
      <c r="DDC119" s="304"/>
      <c r="DDD119" s="572"/>
      <c r="DDE119" s="573"/>
      <c r="DDF119" s="574"/>
      <c r="DDG119" s="575"/>
      <c r="DDH119" s="583"/>
      <c r="DDI119" s="590"/>
      <c r="DDJ119" s="589"/>
      <c r="DDK119" s="585"/>
      <c r="DDL119" s="577"/>
      <c r="DDM119" s="304"/>
      <c r="DDN119" s="572"/>
      <c r="DDO119" s="573"/>
      <c r="DDP119" s="574"/>
      <c r="DDQ119" s="575"/>
      <c r="DDR119" s="583"/>
      <c r="DDS119" s="590"/>
      <c r="DDT119" s="589"/>
      <c r="DDU119" s="585"/>
      <c r="DDV119" s="577"/>
      <c r="DDW119" s="304"/>
      <c r="DDX119" s="572"/>
      <c r="DDY119" s="573"/>
      <c r="DDZ119" s="574"/>
      <c r="DEA119" s="575"/>
      <c r="DEB119" s="583"/>
      <c r="DEC119" s="590"/>
      <c r="DED119" s="589"/>
      <c r="DEE119" s="585"/>
      <c r="DEF119" s="577"/>
      <c r="DEG119" s="304"/>
      <c r="DEH119" s="572"/>
      <c r="DEI119" s="573"/>
      <c r="DEJ119" s="574"/>
      <c r="DEK119" s="575"/>
      <c r="DEL119" s="583"/>
      <c r="DEM119" s="590"/>
      <c r="DEN119" s="589"/>
      <c r="DEO119" s="585"/>
      <c r="DEP119" s="577"/>
      <c r="DEQ119" s="304"/>
      <c r="DER119" s="572"/>
      <c r="DES119" s="573"/>
      <c r="DET119" s="574"/>
      <c r="DEU119" s="575"/>
      <c r="DEV119" s="583"/>
      <c r="DEW119" s="590"/>
      <c r="DEX119" s="589"/>
      <c r="DEY119" s="585"/>
      <c r="DEZ119" s="577"/>
      <c r="DFA119" s="304"/>
      <c r="DFB119" s="572"/>
      <c r="DFC119" s="573"/>
      <c r="DFD119" s="574"/>
      <c r="DFE119" s="575"/>
      <c r="DFF119" s="583"/>
      <c r="DFG119" s="590"/>
      <c r="DFH119" s="589"/>
      <c r="DFI119" s="585"/>
      <c r="DFJ119" s="577"/>
      <c r="DFK119" s="304"/>
      <c r="DFL119" s="572"/>
      <c r="DFM119" s="573"/>
      <c r="DFN119" s="574"/>
      <c r="DFO119" s="575"/>
      <c r="DFP119" s="583"/>
      <c r="DFQ119" s="590"/>
      <c r="DFR119" s="589"/>
      <c r="DFS119" s="585"/>
      <c r="DFT119" s="577"/>
      <c r="DFU119" s="304"/>
      <c r="DFV119" s="572"/>
      <c r="DFW119" s="573"/>
      <c r="DFX119" s="574"/>
      <c r="DFY119" s="575"/>
      <c r="DFZ119" s="583"/>
      <c r="DGA119" s="590"/>
      <c r="DGB119" s="589"/>
      <c r="DGC119" s="585"/>
      <c r="DGD119" s="577"/>
      <c r="DGE119" s="304"/>
      <c r="DGF119" s="572"/>
      <c r="DGG119" s="573"/>
      <c r="DGH119" s="574"/>
      <c r="DGI119" s="575"/>
      <c r="DGJ119" s="583"/>
      <c r="DGK119" s="590"/>
      <c r="DGL119" s="589"/>
      <c r="DGM119" s="585"/>
      <c r="DGN119" s="577"/>
      <c r="DGO119" s="304"/>
      <c r="DGP119" s="572"/>
      <c r="DGQ119" s="573"/>
      <c r="DGR119" s="574"/>
      <c r="DGS119" s="575"/>
      <c r="DGT119" s="583"/>
      <c r="DGU119" s="590"/>
      <c r="DGV119" s="589"/>
      <c r="DGW119" s="585"/>
      <c r="DGX119" s="577"/>
      <c r="DGY119" s="304"/>
      <c r="DGZ119" s="572"/>
      <c r="DHA119" s="573"/>
      <c r="DHB119" s="574"/>
      <c r="DHC119" s="575"/>
      <c r="DHD119" s="583"/>
      <c r="DHE119" s="590"/>
      <c r="DHF119" s="589"/>
      <c r="DHG119" s="585"/>
      <c r="DHH119" s="577"/>
      <c r="DHI119" s="304"/>
      <c r="DHJ119" s="572"/>
      <c r="DHK119" s="573"/>
      <c r="DHL119" s="574"/>
      <c r="DHM119" s="575"/>
      <c r="DHN119" s="583"/>
      <c r="DHO119" s="590"/>
      <c r="DHP119" s="589"/>
      <c r="DHQ119" s="585"/>
      <c r="DHR119" s="577"/>
      <c r="DHS119" s="304"/>
      <c r="DHT119" s="572"/>
      <c r="DHU119" s="573"/>
      <c r="DHV119" s="574"/>
      <c r="DHW119" s="575"/>
      <c r="DHX119" s="583"/>
      <c r="DHY119" s="590"/>
      <c r="DHZ119" s="589"/>
      <c r="DIA119" s="585"/>
      <c r="DIB119" s="577"/>
      <c r="DIC119" s="304"/>
      <c r="DID119" s="572"/>
      <c r="DIE119" s="573"/>
      <c r="DIF119" s="574"/>
      <c r="DIG119" s="575"/>
      <c r="DIH119" s="583"/>
      <c r="DII119" s="590"/>
      <c r="DIJ119" s="589"/>
      <c r="DIK119" s="585"/>
      <c r="DIL119" s="577"/>
      <c r="DIM119" s="304"/>
      <c r="DIN119" s="572"/>
      <c r="DIO119" s="573"/>
      <c r="DIP119" s="574"/>
      <c r="DIQ119" s="575"/>
      <c r="DIR119" s="583"/>
      <c r="DIS119" s="590"/>
      <c r="DIT119" s="589"/>
      <c r="DIU119" s="585"/>
      <c r="DIV119" s="577"/>
      <c r="DIW119" s="304"/>
      <c r="DIX119" s="572"/>
      <c r="DIY119" s="573"/>
      <c r="DIZ119" s="574"/>
      <c r="DJA119" s="575"/>
      <c r="DJB119" s="583"/>
      <c r="DJC119" s="590"/>
      <c r="DJD119" s="589"/>
      <c r="DJE119" s="585"/>
      <c r="DJF119" s="577"/>
      <c r="DJG119" s="304"/>
      <c r="DJH119" s="572"/>
      <c r="DJI119" s="573"/>
      <c r="DJJ119" s="574"/>
      <c r="DJK119" s="575"/>
      <c r="DJL119" s="583"/>
      <c r="DJM119" s="590"/>
      <c r="DJN119" s="589"/>
      <c r="DJO119" s="585"/>
      <c r="DJP119" s="577"/>
      <c r="DJQ119" s="304"/>
      <c r="DJR119" s="572"/>
      <c r="DJS119" s="573"/>
      <c r="DJT119" s="574"/>
      <c r="DJU119" s="575"/>
      <c r="DJV119" s="583"/>
      <c r="DJW119" s="590"/>
      <c r="DJX119" s="589"/>
      <c r="DJY119" s="585"/>
      <c r="DJZ119" s="577"/>
      <c r="DKA119" s="304"/>
      <c r="DKB119" s="572"/>
      <c r="DKC119" s="573"/>
      <c r="DKD119" s="574"/>
      <c r="DKE119" s="575"/>
      <c r="DKF119" s="583"/>
      <c r="DKG119" s="590"/>
      <c r="DKH119" s="589"/>
      <c r="DKI119" s="585"/>
      <c r="DKJ119" s="577"/>
      <c r="DKK119" s="304"/>
      <c r="DKL119" s="572"/>
      <c r="DKM119" s="573"/>
      <c r="DKN119" s="574"/>
      <c r="DKO119" s="575"/>
      <c r="DKP119" s="583"/>
      <c r="DKQ119" s="590"/>
      <c r="DKR119" s="589"/>
      <c r="DKS119" s="585"/>
      <c r="DKT119" s="577"/>
      <c r="DKU119" s="304"/>
      <c r="DKV119" s="572"/>
      <c r="DKW119" s="573"/>
      <c r="DKX119" s="574"/>
      <c r="DKY119" s="575"/>
      <c r="DKZ119" s="583"/>
      <c r="DLA119" s="590"/>
      <c r="DLB119" s="589"/>
      <c r="DLC119" s="585"/>
      <c r="DLD119" s="577"/>
      <c r="DLE119" s="304"/>
      <c r="DLF119" s="572"/>
      <c r="DLG119" s="573"/>
      <c r="DLH119" s="574"/>
      <c r="DLI119" s="575"/>
      <c r="DLJ119" s="583"/>
      <c r="DLK119" s="590"/>
      <c r="DLL119" s="589"/>
      <c r="DLM119" s="585"/>
      <c r="DLN119" s="577"/>
      <c r="DLO119" s="304"/>
      <c r="DLP119" s="572"/>
      <c r="DLQ119" s="573"/>
      <c r="DLR119" s="574"/>
      <c r="DLS119" s="575"/>
      <c r="DLT119" s="583"/>
      <c r="DLU119" s="590"/>
      <c r="DLV119" s="589"/>
      <c r="DLW119" s="585"/>
      <c r="DLX119" s="577"/>
      <c r="DLY119" s="304"/>
      <c r="DLZ119" s="572"/>
      <c r="DMA119" s="573"/>
      <c r="DMB119" s="574"/>
      <c r="DMC119" s="575"/>
      <c r="DMD119" s="583"/>
      <c r="DME119" s="590"/>
      <c r="DMF119" s="589"/>
      <c r="DMG119" s="585"/>
      <c r="DMH119" s="577"/>
      <c r="DMI119" s="304"/>
      <c r="DMJ119" s="572"/>
      <c r="DMK119" s="573"/>
      <c r="DML119" s="574"/>
      <c r="DMM119" s="575"/>
      <c r="DMN119" s="583"/>
      <c r="DMO119" s="590"/>
      <c r="DMP119" s="589"/>
      <c r="DMQ119" s="585"/>
      <c r="DMR119" s="577"/>
      <c r="DMS119" s="304"/>
      <c r="DMT119" s="572"/>
      <c r="DMU119" s="573"/>
      <c r="DMV119" s="574"/>
      <c r="DMW119" s="575"/>
      <c r="DMX119" s="583"/>
      <c r="DMY119" s="590"/>
      <c r="DMZ119" s="589"/>
      <c r="DNA119" s="585"/>
      <c r="DNB119" s="577"/>
      <c r="DNC119" s="304"/>
      <c r="DND119" s="572"/>
      <c r="DNE119" s="573"/>
      <c r="DNF119" s="574"/>
      <c r="DNG119" s="575"/>
      <c r="DNH119" s="583"/>
      <c r="DNI119" s="590"/>
      <c r="DNJ119" s="589"/>
      <c r="DNK119" s="585"/>
      <c r="DNL119" s="577"/>
      <c r="DNM119" s="304"/>
      <c r="DNN119" s="572"/>
      <c r="DNO119" s="573"/>
      <c r="DNP119" s="574"/>
      <c r="DNQ119" s="575"/>
      <c r="DNR119" s="583"/>
      <c r="DNS119" s="590"/>
      <c r="DNT119" s="589"/>
      <c r="DNU119" s="585"/>
      <c r="DNV119" s="577"/>
      <c r="DNW119" s="304"/>
      <c r="DNX119" s="572"/>
      <c r="DNY119" s="573"/>
      <c r="DNZ119" s="574"/>
      <c r="DOA119" s="575"/>
      <c r="DOB119" s="583"/>
      <c r="DOC119" s="590"/>
      <c r="DOD119" s="589"/>
      <c r="DOE119" s="585"/>
      <c r="DOF119" s="577"/>
      <c r="DOG119" s="304"/>
      <c r="DOH119" s="572"/>
      <c r="DOI119" s="573"/>
      <c r="DOJ119" s="574"/>
      <c r="DOK119" s="575"/>
      <c r="DOL119" s="583"/>
      <c r="DOM119" s="590"/>
      <c r="DON119" s="589"/>
      <c r="DOO119" s="585"/>
      <c r="DOP119" s="577"/>
      <c r="DOQ119" s="304"/>
      <c r="DOR119" s="572"/>
      <c r="DOS119" s="573"/>
      <c r="DOT119" s="574"/>
      <c r="DOU119" s="575"/>
      <c r="DOV119" s="583"/>
      <c r="DOW119" s="590"/>
      <c r="DOX119" s="589"/>
      <c r="DOY119" s="585"/>
      <c r="DOZ119" s="577"/>
      <c r="DPA119" s="304"/>
      <c r="DPB119" s="572"/>
      <c r="DPC119" s="573"/>
      <c r="DPD119" s="574"/>
      <c r="DPE119" s="575"/>
      <c r="DPF119" s="583"/>
      <c r="DPG119" s="590"/>
      <c r="DPH119" s="589"/>
      <c r="DPI119" s="585"/>
      <c r="DPJ119" s="577"/>
      <c r="DPK119" s="304"/>
      <c r="DPL119" s="572"/>
      <c r="DPM119" s="573"/>
      <c r="DPN119" s="574"/>
      <c r="DPO119" s="575"/>
      <c r="DPP119" s="583"/>
      <c r="DPQ119" s="590"/>
      <c r="DPR119" s="589"/>
      <c r="DPS119" s="585"/>
      <c r="DPT119" s="577"/>
      <c r="DPU119" s="304"/>
      <c r="DPV119" s="572"/>
      <c r="DPW119" s="573"/>
      <c r="DPX119" s="574"/>
      <c r="DPY119" s="575"/>
      <c r="DPZ119" s="583"/>
      <c r="DQA119" s="590"/>
      <c r="DQB119" s="589"/>
      <c r="DQC119" s="585"/>
      <c r="DQD119" s="577"/>
      <c r="DQE119" s="304"/>
      <c r="DQF119" s="572"/>
      <c r="DQG119" s="573"/>
      <c r="DQH119" s="574"/>
      <c r="DQI119" s="575"/>
      <c r="DQJ119" s="583"/>
      <c r="DQK119" s="590"/>
      <c r="DQL119" s="589"/>
      <c r="DQM119" s="585"/>
      <c r="DQN119" s="577"/>
      <c r="DQO119" s="304"/>
      <c r="DQP119" s="572"/>
      <c r="DQQ119" s="573"/>
      <c r="DQR119" s="574"/>
      <c r="DQS119" s="575"/>
      <c r="DQT119" s="583"/>
      <c r="DQU119" s="590"/>
      <c r="DQV119" s="589"/>
      <c r="DQW119" s="585"/>
      <c r="DQX119" s="577"/>
      <c r="DQY119" s="304"/>
      <c r="DQZ119" s="572"/>
      <c r="DRA119" s="573"/>
      <c r="DRB119" s="574"/>
      <c r="DRC119" s="575"/>
      <c r="DRD119" s="583"/>
      <c r="DRE119" s="590"/>
      <c r="DRF119" s="589"/>
      <c r="DRG119" s="585"/>
      <c r="DRH119" s="577"/>
      <c r="DRI119" s="304"/>
      <c r="DRJ119" s="572"/>
      <c r="DRK119" s="573"/>
      <c r="DRL119" s="574"/>
      <c r="DRM119" s="575"/>
      <c r="DRN119" s="583"/>
      <c r="DRO119" s="590"/>
      <c r="DRP119" s="589"/>
      <c r="DRQ119" s="585"/>
      <c r="DRR119" s="577"/>
      <c r="DRS119" s="304"/>
      <c r="DRT119" s="572"/>
      <c r="DRU119" s="573"/>
      <c r="DRV119" s="574"/>
      <c r="DRW119" s="575"/>
      <c r="DRX119" s="583"/>
      <c r="DRY119" s="590"/>
      <c r="DRZ119" s="589"/>
      <c r="DSA119" s="585"/>
      <c r="DSB119" s="577"/>
      <c r="DSC119" s="304"/>
      <c r="DSD119" s="572"/>
      <c r="DSE119" s="573"/>
      <c r="DSF119" s="574"/>
      <c r="DSG119" s="575"/>
      <c r="DSH119" s="583"/>
      <c r="DSI119" s="590"/>
      <c r="DSJ119" s="589"/>
      <c r="DSK119" s="585"/>
      <c r="DSL119" s="577"/>
      <c r="DSM119" s="304"/>
      <c r="DSN119" s="572"/>
      <c r="DSO119" s="573"/>
      <c r="DSP119" s="574"/>
      <c r="DSQ119" s="575"/>
      <c r="DSR119" s="583"/>
      <c r="DSS119" s="590"/>
      <c r="DST119" s="589"/>
      <c r="DSU119" s="585"/>
      <c r="DSV119" s="577"/>
      <c r="DSW119" s="304"/>
      <c r="DSX119" s="572"/>
      <c r="DSY119" s="573"/>
      <c r="DSZ119" s="574"/>
      <c r="DTA119" s="575"/>
      <c r="DTB119" s="583"/>
      <c r="DTC119" s="590"/>
      <c r="DTD119" s="589"/>
      <c r="DTE119" s="585"/>
      <c r="DTF119" s="577"/>
      <c r="DTG119" s="304"/>
      <c r="DTH119" s="572"/>
      <c r="DTI119" s="573"/>
      <c r="DTJ119" s="574"/>
      <c r="DTK119" s="575"/>
      <c r="DTL119" s="583"/>
      <c r="DTM119" s="590"/>
      <c r="DTN119" s="589"/>
      <c r="DTO119" s="585"/>
      <c r="DTP119" s="577"/>
      <c r="DTQ119" s="304"/>
      <c r="DTR119" s="572"/>
      <c r="DTS119" s="573"/>
      <c r="DTT119" s="574"/>
      <c r="DTU119" s="575"/>
      <c r="DTV119" s="583"/>
      <c r="DTW119" s="590"/>
      <c r="DTX119" s="589"/>
      <c r="DTY119" s="585"/>
      <c r="DTZ119" s="577"/>
      <c r="DUA119" s="304"/>
      <c r="DUB119" s="572"/>
      <c r="DUC119" s="573"/>
      <c r="DUD119" s="574"/>
      <c r="DUE119" s="575"/>
      <c r="DUF119" s="583"/>
      <c r="DUG119" s="590"/>
      <c r="DUH119" s="589"/>
      <c r="DUI119" s="585"/>
      <c r="DUJ119" s="577"/>
      <c r="DUK119" s="304"/>
      <c r="DUL119" s="572"/>
      <c r="DUM119" s="573"/>
      <c r="DUN119" s="574"/>
      <c r="DUO119" s="575"/>
      <c r="DUP119" s="583"/>
      <c r="DUQ119" s="590"/>
      <c r="DUR119" s="589"/>
      <c r="DUS119" s="585"/>
      <c r="DUT119" s="577"/>
      <c r="DUU119" s="304"/>
      <c r="DUV119" s="572"/>
      <c r="DUW119" s="573"/>
      <c r="DUX119" s="574"/>
      <c r="DUY119" s="575"/>
      <c r="DUZ119" s="583"/>
      <c r="DVA119" s="590"/>
      <c r="DVB119" s="589"/>
      <c r="DVC119" s="585"/>
      <c r="DVD119" s="577"/>
      <c r="DVE119" s="304"/>
      <c r="DVF119" s="572"/>
      <c r="DVG119" s="573"/>
      <c r="DVH119" s="574"/>
      <c r="DVI119" s="575"/>
      <c r="DVJ119" s="583"/>
      <c r="DVK119" s="590"/>
      <c r="DVL119" s="589"/>
      <c r="DVM119" s="585"/>
      <c r="DVN119" s="577"/>
      <c r="DVO119" s="304"/>
      <c r="DVP119" s="572"/>
      <c r="DVQ119" s="573"/>
      <c r="DVR119" s="574"/>
      <c r="DVS119" s="575"/>
      <c r="DVT119" s="583"/>
      <c r="DVU119" s="590"/>
      <c r="DVV119" s="589"/>
      <c r="DVW119" s="585"/>
      <c r="DVX119" s="577"/>
      <c r="DVY119" s="304"/>
      <c r="DVZ119" s="572"/>
      <c r="DWA119" s="573"/>
      <c r="DWB119" s="574"/>
      <c r="DWC119" s="575"/>
      <c r="DWD119" s="583"/>
      <c r="DWE119" s="590"/>
      <c r="DWF119" s="589"/>
      <c r="DWG119" s="585"/>
      <c r="DWH119" s="577"/>
      <c r="DWI119" s="304"/>
      <c r="DWJ119" s="572"/>
      <c r="DWK119" s="573"/>
      <c r="DWL119" s="574"/>
      <c r="DWM119" s="575"/>
      <c r="DWN119" s="583"/>
      <c r="DWO119" s="590"/>
      <c r="DWP119" s="589"/>
      <c r="DWQ119" s="585"/>
      <c r="DWR119" s="577"/>
      <c r="DWS119" s="304"/>
      <c r="DWT119" s="572"/>
      <c r="DWU119" s="573"/>
      <c r="DWV119" s="574"/>
      <c r="DWW119" s="575"/>
      <c r="DWX119" s="583"/>
      <c r="DWY119" s="590"/>
      <c r="DWZ119" s="589"/>
      <c r="DXA119" s="585"/>
      <c r="DXB119" s="577"/>
      <c r="DXC119" s="304"/>
      <c r="DXD119" s="572"/>
      <c r="DXE119" s="573"/>
      <c r="DXF119" s="574"/>
      <c r="DXG119" s="575"/>
      <c r="DXH119" s="583"/>
      <c r="DXI119" s="590"/>
      <c r="DXJ119" s="589"/>
      <c r="DXK119" s="585"/>
      <c r="DXL119" s="577"/>
      <c r="DXM119" s="304"/>
      <c r="DXN119" s="572"/>
      <c r="DXO119" s="573"/>
      <c r="DXP119" s="574"/>
      <c r="DXQ119" s="575"/>
      <c r="DXR119" s="583"/>
      <c r="DXS119" s="590"/>
      <c r="DXT119" s="589"/>
      <c r="DXU119" s="585"/>
      <c r="DXV119" s="577"/>
      <c r="DXW119" s="304"/>
      <c r="DXX119" s="572"/>
      <c r="DXY119" s="573"/>
      <c r="DXZ119" s="574"/>
      <c r="DYA119" s="575"/>
      <c r="DYB119" s="583"/>
      <c r="DYC119" s="590"/>
      <c r="DYD119" s="589"/>
      <c r="DYE119" s="585"/>
      <c r="DYF119" s="577"/>
      <c r="DYG119" s="304"/>
      <c r="DYH119" s="572"/>
      <c r="DYI119" s="573"/>
      <c r="DYJ119" s="574"/>
      <c r="DYK119" s="575"/>
      <c r="DYL119" s="583"/>
      <c r="DYM119" s="590"/>
      <c r="DYN119" s="589"/>
      <c r="DYO119" s="585"/>
      <c r="DYP119" s="577"/>
      <c r="DYQ119" s="304"/>
      <c r="DYR119" s="572"/>
      <c r="DYS119" s="573"/>
      <c r="DYT119" s="574"/>
      <c r="DYU119" s="575"/>
      <c r="DYV119" s="583"/>
      <c r="DYW119" s="590"/>
      <c r="DYX119" s="589"/>
      <c r="DYY119" s="585"/>
      <c r="DYZ119" s="577"/>
      <c r="DZA119" s="304"/>
      <c r="DZB119" s="572"/>
      <c r="DZC119" s="573"/>
      <c r="DZD119" s="574"/>
      <c r="DZE119" s="575"/>
      <c r="DZF119" s="583"/>
      <c r="DZG119" s="590"/>
      <c r="DZH119" s="589"/>
      <c r="DZI119" s="585"/>
      <c r="DZJ119" s="577"/>
      <c r="DZK119" s="304"/>
      <c r="DZL119" s="572"/>
      <c r="DZM119" s="573"/>
      <c r="DZN119" s="574"/>
      <c r="DZO119" s="575"/>
      <c r="DZP119" s="583"/>
      <c r="DZQ119" s="590"/>
      <c r="DZR119" s="589"/>
      <c r="DZS119" s="585"/>
      <c r="DZT119" s="577"/>
      <c r="DZU119" s="304"/>
      <c r="DZV119" s="572"/>
      <c r="DZW119" s="573"/>
      <c r="DZX119" s="574"/>
      <c r="DZY119" s="575"/>
      <c r="DZZ119" s="583"/>
      <c r="EAA119" s="590"/>
      <c r="EAB119" s="589"/>
      <c r="EAC119" s="585"/>
      <c r="EAD119" s="577"/>
      <c r="EAE119" s="304"/>
      <c r="EAF119" s="572"/>
      <c r="EAG119" s="573"/>
      <c r="EAH119" s="574"/>
      <c r="EAI119" s="575"/>
      <c r="EAJ119" s="583"/>
      <c r="EAK119" s="590"/>
      <c r="EAL119" s="589"/>
      <c r="EAM119" s="585"/>
      <c r="EAN119" s="577"/>
      <c r="EAO119" s="304"/>
      <c r="EAP119" s="572"/>
      <c r="EAQ119" s="573"/>
      <c r="EAR119" s="574"/>
      <c r="EAS119" s="575"/>
      <c r="EAT119" s="583"/>
      <c r="EAU119" s="590"/>
      <c r="EAV119" s="589"/>
      <c r="EAW119" s="585"/>
      <c r="EAX119" s="577"/>
      <c r="EAY119" s="304"/>
      <c r="EAZ119" s="572"/>
      <c r="EBA119" s="573"/>
      <c r="EBB119" s="574"/>
      <c r="EBC119" s="575"/>
      <c r="EBD119" s="583"/>
      <c r="EBE119" s="590"/>
      <c r="EBF119" s="589"/>
      <c r="EBG119" s="585"/>
      <c r="EBH119" s="577"/>
      <c r="EBI119" s="304"/>
      <c r="EBJ119" s="572"/>
      <c r="EBK119" s="573"/>
      <c r="EBL119" s="574"/>
      <c r="EBM119" s="575"/>
      <c r="EBN119" s="583"/>
      <c r="EBO119" s="590"/>
      <c r="EBP119" s="589"/>
      <c r="EBQ119" s="585"/>
      <c r="EBR119" s="577"/>
      <c r="EBS119" s="304"/>
      <c r="EBT119" s="572"/>
      <c r="EBU119" s="573"/>
      <c r="EBV119" s="574"/>
      <c r="EBW119" s="575"/>
      <c r="EBX119" s="583"/>
      <c r="EBY119" s="590"/>
      <c r="EBZ119" s="589"/>
      <c r="ECA119" s="585"/>
      <c r="ECB119" s="577"/>
      <c r="ECC119" s="304"/>
      <c r="ECD119" s="572"/>
      <c r="ECE119" s="573"/>
      <c r="ECF119" s="574"/>
      <c r="ECG119" s="575"/>
      <c r="ECH119" s="583"/>
      <c r="ECI119" s="590"/>
      <c r="ECJ119" s="589"/>
      <c r="ECK119" s="585"/>
      <c r="ECL119" s="577"/>
      <c r="ECM119" s="304"/>
      <c r="ECN119" s="572"/>
      <c r="ECO119" s="573"/>
      <c r="ECP119" s="574"/>
      <c r="ECQ119" s="575"/>
      <c r="ECR119" s="583"/>
      <c r="ECS119" s="590"/>
      <c r="ECT119" s="589"/>
      <c r="ECU119" s="585"/>
      <c r="ECV119" s="577"/>
      <c r="ECW119" s="304"/>
      <c r="ECX119" s="572"/>
      <c r="ECY119" s="573"/>
      <c r="ECZ119" s="574"/>
      <c r="EDA119" s="575"/>
      <c r="EDB119" s="583"/>
      <c r="EDC119" s="590"/>
      <c r="EDD119" s="589"/>
      <c r="EDE119" s="585"/>
      <c r="EDF119" s="577"/>
      <c r="EDG119" s="304"/>
      <c r="EDH119" s="572"/>
      <c r="EDI119" s="573"/>
      <c r="EDJ119" s="574"/>
      <c r="EDK119" s="575"/>
      <c r="EDL119" s="583"/>
      <c r="EDM119" s="590"/>
      <c r="EDN119" s="589"/>
      <c r="EDO119" s="585"/>
      <c r="EDP119" s="577"/>
      <c r="EDQ119" s="304"/>
      <c r="EDR119" s="572"/>
      <c r="EDS119" s="573"/>
      <c r="EDT119" s="574"/>
      <c r="EDU119" s="575"/>
      <c r="EDV119" s="583"/>
      <c r="EDW119" s="590"/>
      <c r="EDX119" s="589"/>
      <c r="EDY119" s="585"/>
      <c r="EDZ119" s="577"/>
      <c r="EEA119" s="304"/>
      <c r="EEB119" s="572"/>
      <c r="EEC119" s="573"/>
      <c r="EED119" s="574"/>
      <c r="EEE119" s="575"/>
      <c r="EEF119" s="583"/>
      <c r="EEG119" s="590"/>
      <c r="EEH119" s="589"/>
      <c r="EEI119" s="585"/>
      <c r="EEJ119" s="577"/>
      <c r="EEK119" s="304"/>
      <c r="EEL119" s="572"/>
      <c r="EEM119" s="573"/>
      <c r="EEN119" s="574"/>
      <c r="EEO119" s="575"/>
      <c r="EEP119" s="583"/>
      <c r="EEQ119" s="590"/>
      <c r="EER119" s="589"/>
      <c r="EES119" s="585"/>
      <c r="EET119" s="577"/>
      <c r="EEU119" s="304"/>
      <c r="EEV119" s="572"/>
      <c r="EEW119" s="573"/>
      <c r="EEX119" s="574"/>
      <c r="EEY119" s="575"/>
      <c r="EEZ119" s="583"/>
      <c r="EFA119" s="590"/>
      <c r="EFB119" s="589"/>
      <c r="EFC119" s="585"/>
      <c r="EFD119" s="577"/>
      <c r="EFE119" s="304"/>
      <c r="EFF119" s="572"/>
      <c r="EFG119" s="573"/>
      <c r="EFH119" s="574"/>
      <c r="EFI119" s="575"/>
      <c r="EFJ119" s="583"/>
      <c r="EFK119" s="590"/>
      <c r="EFL119" s="589"/>
      <c r="EFM119" s="585"/>
      <c r="EFN119" s="577"/>
      <c r="EFO119" s="304"/>
      <c r="EFP119" s="572"/>
      <c r="EFQ119" s="573"/>
      <c r="EFR119" s="574"/>
      <c r="EFS119" s="575"/>
      <c r="EFT119" s="583"/>
      <c r="EFU119" s="590"/>
      <c r="EFV119" s="589"/>
      <c r="EFW119" s="585"/>
      <c r="EFX119" s="577"/>
      <c r="EFY119" s="304"/>
      <c r="EFZ119" s="572"/>
      <c r="EGA119" s="573"/>
      <c r="EGB119" s="574"/>
      <c r="EGC119" s="575"/>
      <c r="EGD119" s="583"/>
      <c r="EGE119" s="590"/>
      <c r="EGF119" s="589"/>
      <c r="EGG119" s="585"/>
      <c r="EGH119" s="577"/>
      <c r="EGI119" s="304"/>
      <c r="EGJ119" s="572"/>
      <c r="EGK119" s="573"/>
      <c r="EGL119" s="574"/>
      <c r="EGM119" s="575"/>
      <c r="EGN119" s="583"/>
      <c r="EGO119" s="590"/>
      <c r="EGP119" s="589"/>
      <c r="EGQ119" s="585"/>
      <c r="EGR119" s="577"/>
      <c r="EGS119" s="304"/>
      <c r="EGT119" s="572"/>
      <c r="EGU119" s="573"/>
      <c r="EGV119" s="574"/>
      <c r="EGW119" s="575"/>
      <c r="EGX119" s="583"/>
      <c r="EGY119" s="590"/>
      <c r="EGZ119" s="589"/>
      <c r="EHA119" s="585"/>
      <c r="EHB119" s="577"/>
      <c r="EHC119" s="304"/>
      <c r="EHD119" s="572"/>
      <c r="EHE119" s="573"/>
      <c r="EHF119" s="574"/>
      <c r="EHG119" s="575"/>
      <c r="EHH119" s="583"/>
      <c r="EHI119" s="590"/>
      <c r="EHJ119" s="589"/>
      <c r="EHK119" s="585"/>
      <c r="EHL119" s="577"/>
      <c r="EHM119" s="304"/>
      <c r="EHN119" s="572"/>
      <c r="EHO119" s="573"/>
      <c r="EHP119" s="574"/>
      <c r="EHQ119" s="575"/>
      <c r="EHR119" s="583"/>
      <c r="EHS119" s="590"/>
      <c r="EHT119" s="589"/>
      <c r="EHU119" s="585"/>
      <c r="EHV119" s="577"/>
      <c r="EHW119" s="304"/>
      <c r="EHX119" s="572"/>
      <c r="EHY119" s="573"/>
      <c r="EHZ119" s="574"/>
      <c r="EIA119" s="575"/>
      <c r="EIB119" s="583"/>
      <c r="EIC119" s="590"/>
      <c r="EID119" s="589"/>
      <c r="EIE119" s="585"/>
      <c r="EIF119" s="577"/>
      <c r="EIG119" s="304"/>
      <c r="EIH119" s="572"/>
      <c r="EII119" s="573"/>
      <c r="EIJ119" s="574"/>
      <c r="EIK119" s="575"/>
      <c r="EIL119" s="583"/>
      <c r="EIM119" s="590"/>
      <c r="EIN119" s="589"/>
      <c r="EIO119" s="585"/>
      <c r="EIP119" s="577"/>
      <c r="EIQ119" s="304"/>
      <c r="EIR119" s="572"/>
      <c r="EIS119" s="573"/>
      <c r="EIT119" s="574"/>
      <c r="EIU119" s="575"/>
      <c r="EIV119" s="583"/>
      <c r="EIW119" s="590"/>
      <c r="EIX119" s="589"/>
      <c r="EIY119" s="585"/>
      <c r="EIZ119" s="577"/>
      <c r="EJA119" s="304"/>
      <c r="EJB119" s="572"/>
      <c r="EJC119" s="573"/>
      <c r="EJD119" s="574"/>
      <c r="EJE119" s="575"/>
      <c r="EJF119" s="583"/>
      <c r="EJG119" s="590"/>
      <c r="EJH119" s="589"/>
      <c r="EJI119" s="585"/>
      <c r="EJJ119" s="577"/>
      <c r="EJK119" s="304"/>
      <c r="EJL119" s="572"/>
      <c r="EJM119" s="573"/>
      <c r="EJN119" s="574"/>
      <c r="EJO119" s="575"/>
      <c r="EJP119" s="583"/>
      <c r="EJQ119" s="590"/>
      <c r="EJR119" s="589"/>
      <c r="EJS119" s="585"/>
      <c r="EJT119" s="577"/>
      <c r="EJU119" s="304"/>
      <c r="EJV119" s="572"/>
      <c r="EJW119" s="573"/>
      <c r="EJX119" s="574"/>
      <c r="EJY119" s="575"/>
      <c r="EJZ119" s="583"/>
      <c r="EKA119" s="590"/>
      <c r="EKB119" s="589"/>
      <c r="EKC119" s="585"/>
      <c r="EKD119" s="577"/>
      <c r="EKE119" s="304"/>
      <c r="EKF119" s="572"/>
      <c r="EKG119" s="573"/>
      <c r="EKH119" s="574"/>
      <c r="EKI119" s="575"/>
      <c r="EKJ119" s="583"/>
      <c r="EKK119" s="590"/>
      <c r="EKL119" s="589"/>
      <c r="EKM119" s="585"/>
      <c r="EKN119" s="577"/>
      <c r="EKO119" s="304"/>
      <c r="EKP119" s="572"/>
      <c r="EKQ119" s="573"/>
      <c r="EKR119" s="574"/>
      <c r="EKS119" s="575"/>
      <c r="EKT119" s="583"/>
      <c r="EKU119" s="590"/>
      <c r="EKV119" s="589"/>
      <c r="EKW119" s="585"/>
      <c r="EKX119" s="577"/>
      <c r="EKY119" s="304"/>
      <c r="EKZ119" s="572"/>
      <c r="ELA119" s="573"/>
      <c r="ELB119" s="574"/>
      <c r="ELC119" s="575"/>
      <c r="ELD119" s="583"/>
      <c r="ELE119" s="590"/>
      <c r="ELF119" s="589"/>
      <c r="ELG119" s="585"/>
      <c r="ELH119" s="577"/>
      <c r="ELI119" s="304"/>
      <c r="ELJ119" s="572"/>
      <c r="ELK119" s="573"/>
      <c r="ELL119" s="574"/>
      <c r="ELM119" s="575"/>
      <c r="ELN119" s="583"/>
      <c r="ELO119" s="590"/>
      <c r="ELP119" s="589"/>
      <c r="ELQ119" s="585"/>
      <c r="ELR119" s="577"/>
      <c r="ELS119" s="304"/>
      <c r="ELT119" s="572"/>
      <c r="ELU119" s="573"/>
      <c r="ELV119" s="574"/>
      <c r="ELW119" s="575"/>
      <c r="ELX119" s="583"/>
      <c r="ELY119" s="590"/>
      <c r="ELZ119" s="589"/>
      <c r="EMA119" s="585"/>
      <c r="EMB119" s="577"/>
      <c r="EMC119" s="304"/>
      <c r="EMD119" s="572"/>
      <c r="EME119" s="573"/>
      <c r="EMF119" s="574"/>
      <c r="EMG119" s="575"/>
      <c r="EMH119" s="583"/>
      <c r="EMI119" s="590"/>
      <c r="EMJ119" s="589"/>
      <c r="EMK119" s="585"/>
      <c r="EML119" s="577"/>
      <c r="EMM119" s="304"/>
      <c r="EMN119" s="572"/>
      <c r="EMO119" s="573"/>
      <c r="EMP119" s="574"/>
      <c r="EMQ119" s="575"/>
      <c r="EMR119" s="583"/>
      <c r="EMS119" s="590"/>
      <c r="EMT119" s="589"/>
      <c r="EMU119" s="585"/>
      <c r="EMV119" s="577"/>
      <c r="EMW119" s="304"/>
      <c r="EMX119" s="572"/>
      <c r="EMY119" s="573"/>
      <c r="EMZ119" s="574"/>
      <c r="ENA119" s="575"/>
      <c r="ENB119" s="583"/>
      <c r="ENC119" s="590"/>
      <c r="END119" s="589"/>
      <c r="ENE119" s="585"/>
      <c r="ENF119" s="577"/>
      <c r="ENG119" s="304"/>
      <c r="ENH119" s="572"/>
      <c r="ENI119" s="573"/>
      <c r="ENJ119" s="574"/>
      <c r="ENK119" s="575"/>
      <c r="ENL119" s="583"/>
      <c r="ENM119" s="590"/>
      <c r="ENN119" s="589"/>
      <c r="ENO119" s="585"/>
      <c r="ENP119" s="577"/>
      <c r="ENQ119" s="304"/>
      <c r="ENR119" s="572"/>
      <c r="ENS119" s="573"/>
      <c r="ENT119" s="574"/>
      <c r="ENU119" s="575"/>
      <c r="ENV119" s="583"/>
      <c r="ENW119" s="590"/>
      <c r="ENX119" s="589"/>
      <c r="ENY119" s="585"/>
      <c r="ENZ119" s="577"/>
      <c r="EOA119" s="304"/>
      <c r="EOB119" s="572"/>
      <c r="EOC119" s="573"/>
      <c r="EOD119" s="574"/>
      <c r="EOE119" s="575"/>
      <c r="EOF119" s="583"/>
      <c r="EOG119" s="590"/>
      <c r="EOH119" s="589"/>
      <c r="EOI119" s="585"/>
      <c r="EOJ119" s="577"/>
      <c r="EOK119" s="304"/>
      <c r="EOL119" s="572"/>
      <c r="EOM119" s="573"/>
      <c r="EON119" s="574"/>
      <c r="EOO119" s="575"/>
      <c r="EOP119" s="583"/>
      <c r="EOQ119" s="590"/>
      <c r="EOR119" s="589"/>
      <c r="EOS119" s="585"/>
      <c r="EOT119" s="577"/>
      <c r="EOU119" s="304"/>
      <c r="EOV119" s="572"/>
      <c r="EOW119" s="573"/>
      <c r="EOX119" s="574"/>
      <c r="EOY119" s="575"/>
      <c r="EOZ119" s="583"/>
      <c r="EPA119" s="590"/>
      <c r="EPB119" s="589"/>
      <c r="EPC119" s="585"/>
      <c r="EPD119" s="577"/>
      <c r="EPE119" s="304"/>
      <c r="EPF119" s="572"/>
      <c r="EPG119" s="573"/>
      <c r="EPH119" s="574"/>
      <c r="EPI119" s="575"/>
      <c r="EPJ119" s="583"/>
      <c r="EPK119" s="590"/>
      <c r="EPL119" s="589"/>
      <c r="EPM119" s="585"/>
      <c r="EPN119" s="577"/>
      <c r="EPO119" s="304"/>
      <c r="EPP119" s="572"/>
      <c r="EPQ119" s="573"/>
      <c r="EPR119" s="574"/>
      <c r="EPS119" s="575"/>
      <c r="EPT119" s="583"/>
      <c r="EPU119" s="590"/>
      <c r="EPV119" s="589"/>
      <c r="EPW119" s="585"/>
      <c r="EPX119" s="577"/>
      <c r="EPY119" s="304"/>
      <c r="EPZ119" s="572"/>
      <c r="EQA119" s="573"/>
      <c r="EQB119" s="574"/>
      <c r="EQC119" s="575"/>
      <c r="EQD119" s="583"/>
      <c r="EQE119" s="590"/>
      <c r="EQF119" s="589"/>
      <c r="EQG119" s="585"/>
      <c r="EQH119" s="577"/>
      <c r="EQI119" s="304"/>
      <c r="EQJ119" s="572"/>
      <c r="EQK119" s="573"/>
      <c r="EQL119" s="574"/>
      <c r="EQM119" s="575"/>
      <c r="EQN119" s="583"/>
      <c r="EQO119" s="590"/>
      <c r="EQP119" s="589"/>
      <c r="EQQ119" s="585"/>
      <c r="EQR119" s="577"/>
      <c r="EQS119" s="304"/>
      <c r="EQT119" s="572"/>
      <c r="EQU119" s="573"/>
      <c r="EQV119" s="574"/>
      <c r="EQW119" s="575"/>
      <c r="EQX119" s="583"/>
      <c r="EQY119" s="590"/>
      <c r="EQZ119" s="589"/>
      <c r="ERA119" s="585"/>
      <c r="ERB119" s="577"/>
      <c r="ERC119" s="304"/>
      <c r="ERD119" s="572"/>
      <c r="ERE119" s="573"/>
      <c r="ERF119" s="574"/>
      <c r="ERG119" s="575"/>
      <c r="ERH119" s="583"/>
      <c r="ERI119" s="590"/>
      <c r="ERJ119" s="589"/>
      <c r="ERK119" s="585"/>
      <c r="ERL119" s="577"/>
      <c r="ERM119" s="304"/>
      <c r="ERN119" s="572"/>
      <c r="ERO119" s="573"/>
      <c r="ERP119" s="574"/>
      <c r="ERQ119" s="575"/>
      <c r="ERR119" s="583"/>
      <c r="ERS119" s="590"/>
      <c r="ERT119" s="589"/>
      <c r="ERU119" s="585"/>
      <c r="ERV119" s="577"/>
      <c r="ERW119" s="304"/>
      <c r="ERX119" s="572"/>
      <c r="ERY119" s="573"/>
      <c r="ERZ119" s="574"/>
      <c r="ESA119" s="575"/>
      <c r="ESB119" s="583"/>
      <c r="ESC119" s="590"/>
      <c r="ESD119" s="589"/>
      <c r="ESE119" s="585"/>
      <c r="ESF119" s="577"/>
      <c r="ESG119" s="304"/>
      <c r="ESH119" s="572"/>
      <c r="ESI119" s="573"/>
      <c r="ESJ119" s="574"/>
      <c r="ESK119" s="575"/>
      <c r="ESL119" s="583"/>
      <c r="ESM119" s="590"/>
      <c r="ESN119" s="589"/>
      <c r="ESO119" s="585"/>
      <c r="ESP119" s="577"/>
      <c r="ESQ119" s="304"/>
      <c r="ESR119" s="572"/>
      <c r="ESS119" s="573"/>
      <c r="EST119" s="574"/>
      <c r="ESU119" s="575"/>
      <c r="ESV119" s="583"/>
      <c r="ESW119" s="590"/>
      <c r="ESX119" s="589"/>
      <c r="ESY119" s="585"/>
      <c r="ESZ119" s="577"/>
      <c r="ETA119" s="304"/>
      <c r="ETB119" s="572"/>
      <c r="ETC119" s="573"/>
      <c r="ETD119" s="574"/>
      <c r="ETE119" s="575"/>
      <c r="ETF119" s="583"/>
      <c r="ETG119" s="590"/>
      <c r="ETH119" s="589"/>
      <c r="ETI119" s="585"/>
      <c r="ETJ119" s="577"/>
      <c r="ETK119" s="304"/>
      <c r="ETL119" s="572"/>
      <c r="ETM119" s="573"/>
      <c r="ETN119" s="574"/>
      <c r="ETO119" s="575"/>
      <c r="ETP119" s="583"/>
      <c r="ETQ119" s="590"/>
      <c r="ETR119" s="589"/>
      <c r="ETS119" s="585"/>
      <c r="ETT119" s="577"/>
      <c r="ETU119" s="304"/>
      <c r="ETV119" s="572"/>
      <c r="ETW119" s="573"/>
      <c r="ETX119" s="574"/>
      <c r="ETY119" s="575"/>
      <c r="ETZ119" s="583"/>
      <c r="EUA119" s="590"/>
      <c r="EUB119" s="589"/>
      <c r="EUC119" s="585"/>
      <c r="EUD119" s="577"/>
      <c r="EUE119" s="304"/>
      <c r="EUF119" s="572"/>
      <c r="EUG119" s="573"/>
      <c r="EUH119" s="574"/>
      <c r="EUI119" s="575"/>
      <c r="EUJ119" s="583"/>
      <c r="EUK119" s="590"/>
      <c r="EUL119" s="589"/>
      <c r="EUM119" s="585"/>
      <c r="EUN119" s="577"/>
      <c r="EUO119" s="304"/>
      <c r="EUP119" s="572"/>
      <c r="EUQ119" s="573"/>
      <c r="EUR119" s="574"/>
      <c r="EUS119" s="575"/>
      <c r="EUT119" s="583"/>
      <c r="EUU119" s="590"/>
      <c r="EUV119" s="589"/>
      <c r="EUW119" s="585"/>
      <c r="EUX119" s="577"/>
      <c r="EUY119" s="304"/>
      <c r="EUZ119" s="572"/>
      <c r="EVA119" s="573"/>
      <c r="EVB119" s="574"/>
      <c r="EVC119" s="575"/>
      <c r="EVD119" s="583"/>
      <c r="EVE119" s="590"/>
      <c r="EVF119" s="589"/>
      <c r="EVG119" s="585"/>
      <c r="EVH119" s="577"/>
      <c r="EVI119" s="304"/>
      <c r="EVJ119" s="572"/>
      <c r="EVK119" s="573"/>
      <c r="EVL119" s="574"/>
      <c r="EVM119" s="575"/>
      <c r="EVN119" s="583"/>
      <c r="EVO119" s="590"/>
      <c r="EVP119" s="589"/>
      <c r="EVQ119" s="585"/>
      <c r="EVR119" s="577"/>
      <c r="EVS119" s="304"/>
      <c r="EVT119" s="572"/>
      <c r="EVU119" s="573"/>
      <c r="EVV119" s="574"/>
      <c r="EVW119" s="575"/>
      <c r="EVX119" s="583"/>
      <c r="EVY119" s="590"/>
      <c r="EVZ119" s="589"/>
      <c r="EWA119" s="585"/>
      <c r="EWB119" s="577"/>
      <c r="EWC119" s="304"/>
      <c r="EWD119" s="572"/>
      <c r="EWE119" s="573"/>
      <c r="EWF119" s="574"/>
      <c r="EWG119" s="575"/>
      <c r="EWH119" s="583"/>
      <c r="EWI119" s="590"/>
      <c r="EWJ119" s="589"/>
      <c r="EWK119" s="585"/>
      <c r="EWL119" s="577"/>
      <c r="EWM119" s="304"/>
      <c r="EWN119" s="572"/>
      <c r="EWO119" s="573"/>
      <c r="EWP119" s="574"/>
      <c r="EWQ119" s="575"/>
      <c r="EWR119" s="583"/>
      <c r="EWS119" s="590"/>
      <c r="EWT119" s="589"/>
      <c r="EWU119" s="585"/>
      <c r="EWV119" s="577"/>
      <c r="EWW119" s="304"/>
      <c r="EWX119" s="572"/>
      <c r="EWY119" s="573"/>
      <c r="EWZ119" s="574"/>
      <c r="EXA119" s="575"/>
      <c r="EXB119" s="583"/>
      <c r="EXC119" s="590"/>
      <c r="EXD119" s="589"/>
      <c r="EXE119" s="585"/>
      <c r="EXF119" s="577"/>
      <c r="EXG119" s="304"/>
      <c r="EXH119" s="572"/>
      <c r="EXI119" s="573"/>
      <c r="EXJ119" s="574"/>
      <c r="EXK119" s="575"/>
      <c r="EXL119" s="583"/>
      <c r="EXM119" s="590"/>
      <c r="EXN119" s="589"/>
      <c r="EXO119" s="585"/>
      <c r="EXP119" s="577"/>
      <c r="EXQ119" s="304"/>
      <c r="EXR119" s="572"/>
      <c r="EXS119" s="573"/>
      <c r="EXT119" s="574"/>
      <c r="EXU119" s="575"/>
      <c r="EXV119" s="583"/>
      <c r="EXW119" s="590"/>
      <c r="EXX119" s="589"/>
      <c r="EXY119" s="585"/>
      <c r="EXZ119" s="577"/>
      <c r="EYA119" s="304"/>
      <c r="EYB119" s="572"/>
      <c r="EYC119" s="573"/>
      <c r="EYD119" s="574"/>
      <c r="EYE119" s="575"/>
      <c r="EYF119" s="583"/>
      <c r="EYG119" s="590"/>
      <c r="EYH119" s="589"/>
      <c r="EYI119" s="585"/>
      <c r="EYJ119" s="577"/>
      <c r="EYK119" s="304"/>
      <c r="EYL119" s="572"/>
      <c r="EYM119" s="573"/>
      <c r="EYN119" s="574"/>
      <c r="EYO119" s="575"/>
      <c r="EYP119" s="583"/>
      <c r="EYQ119" s="590"/>
      <c r="EYR119" s="589"/>
      <c r="EYS119" s="585"/>
      <c r="EYT119" s="577"/>
      <c r="EYU119" s="304"/>
      <c r="EYV119" s="572"/>
      <c r="EYW119" s="573"/>
      <c r="EYX119" s="574"/>
      <c r="EYY119" s="575"/>
      <c r="EYZ119" s="583"/>
      <c r="EZA119" s="590"/>
      <c r="EZB119" s="589"/>
      <c r="EZC119" s="585"/>
      <c r="EZD119" s="577"/>
      <c r="EZE119" s="304"/>
      <c r="EZF119" s="572"/>
      <c r="EZG119" s="573"/>
      <c r="EZH119" s="574"/>
      <c r="EZI119" s="575"/>
      <c r="EZJ119" s="583"/>
      <c r="EZK119" s="590"/>
      <c r="EZL119" s="589"/>
      <c r="EZM119" s="585"/>
      <c r="EZN119" s="577"/>
      <c r="EZO119" s="304"/>
      <c r="EZP119" s="572"/>
      <c r="EZQ119" s="573"/>
      <c r="EZR119" s="574"/>
      <c r="EZS119" s="575"/>
      <c r="EZT119" s="583"/>
      <c r="EZU119" s="590"/>
      <c r="EZV119" s="589"/>
      <c r="EZW119" s="585"/>
      <c r="EZX119" s="577"/>
      <c r="EZY119" s="304"/>
      <c r="EZZ119" s="572"/>
      <c r="FAA119" s="573"/>
      <c r="FAB119" s="574"/>
      <c r="FAC119" s="575"/>
      <c r="FAD119" s="583"/>
      <c r="FAE119" s="590"/>
      <c r="FAF119" s="589"/>
      <c r="FAG119" s="585"/>
      <c r="FAH119" s="577"/>
      <c r="FAI119" s="304"/>
      <c r="FAJ119" s="572"/>
      <c r="FAK119" s="573"/>
      <c r="FAL119" s="574"/>
      <c r="FAM119" s="575"/>
      <c r="FAN119" s="583"/>
      <c r="FAO119" s="590"/>
      <c r="FAP119" s="589"/>
      <c r="FAQ119" s="585"/>
      <c r="FAR119" s="577"/>
      <c r="FAS119" s="304"/>
      <c r="FAT119" s="572"/>
      <c r="FAU119" s="573"/>
      <c r="FAV119" s="574"/>
      <c r="FAW119" s="575"/>
      <c r="FAX119" s="583"/>
      <c r="FAY119" s="590"/>
      <c r="FAZ119" s="589"/>
      <c r="FBA119" s="585"/>
      <c r="FBB119" s="577"/>
      <c r="FBC119" s="304"/>
      <c r="FBD119" s="572"/>
      <c r="FBE119" s="573"/>
      <c r="FBF119" s="574"/>
      <c r="FBG119" s="575"/>
      <c r="FBH119" s="583"/>
      <c r="FBI119" s="590"/>
      <c r="FBJ119" s="589"/>
      <c r="FBK119" s="585"/>
      <c r="FBL119" s="577"/>
      <c r="FBM119" s="304"/>
      <c r="FBN119" s="572"/>
      <c r="FBO119" s="573"/>
      <c r="FBP119" s="574"/>
      <c r="FBQ119" s="575"/>
      <c r="FBR119" s="583"/>
      <c r="FBS119" s="590"/>
      <c r="FBT119" s="589"/>
      <c r="FBU119" s="585"/>
      <c r="FBV119" s="577"/>
      <c r="FBW119" s="304"/>
      <c r="FBX119" s="572"/>
      <c r="FBY119" s="573"/>
      <c r="FBZ119" s="574"/>
      <c r="FCA119" s="575"/>
      <c r="FCB119" s="583"/>
      <c r="FCC119" s="590"/>
      <c r="FCD119" s="589"/>
      <c r="FCE119" s="585"/>
      <c r="FCF119" s="577"/>
      <c r="FCG119" s="304"/>
      <c r="FCH119" s="572"/>
      <c r="FCI119" s="573"/>
      <c r="FCJ119" s="574"/>
      <c r="FCK119" s="575"/>
      <c r="FCL119" s="583"/>
      <c r="FCM119" s="590"/>
      <c r="FCN119" s="589"/>
      <c r="FCO119" s="585"/>
      <c r="FCP119" s="577"/>
      <c r="FCQ119" s="304"/>
      <c r="FCR119" s="572"/>
      <c r="FCS119" s="573"/>
      <c r="FCT119" s="574"/>
      <c r="FCU119" s="575"/>
      <c r="FCV119" s="583"/>
      <c r="FCW119" s="590"/>
      <c r="FCX119" s="589"/>
      <c r="FCY119" s="585"/>
      <c r="FCZ119" s="577"/>
      <c r="FDA119" s="304"/>
      <c r="FDB119" s="572"/>
      <c r="FDC119" s="573"/>
      <c r="FDD119" s="574"/>
      <c r="FDE119" s="575"/>
      <c r="FDF119" s="583"/>
      <c r="FDG119" s="590"/>
      <c r="FDH119" s="589"/>
      <c r="FDI119" s="585"/>
      <c r="FDJ119" s="577"/>
      <c r="FDK119" s="304"/>
      <c r="FDL119" s="572"/>
      <c r="FDM119" s="573"/>
      <c r="FDN119" s="574"/>
      <c r="FDO119" s="575"/>
      <c r="FDP119" s="583"/>
      <c r="FDQ119" s="590"/>
      <c r="FDR119" s="589"/>
      <c r="FDS119" s="585"/>
      <c r="FDT119" s="577"/>
      <c r="FDU119" s="304"/>
      <c r="FDV119" s="572"/>
      <c r="FDW119" s="573"/>
      <c r="FDX119" s="574"/>
      <c r="FDY119" s="575"/>
      <c r="FDZ119" s="583"/>
      <c r="FEA119" s="590"/>
      <c r="FEB119" s="589"/>
      <c r="FEC119" s="585"/>
      <c r="FED119" s="577"/>
      <c r="FEE119" s="304"/>
      <c r="FEF119" s="572"/>
      <c r="FEG119" s="573"/>
      <c r="FEH119" s="574"/>
      <c r="FEI119" s="575"/>
      <c r="FEJ119" s="583"/>
      <c r="FEK119" s="590"/>
      <c r="FEL119" s="589"/>
      <c r="FEM119" s="585"/>
      <c r="FEN119" s="577"/>
      <c r="FEO119" s="304"/>
      <c r="FEP119" s="572"/>
      <c r="FEQ119" s="573"/>
      <c r="FER119" s="574"/>
      <c r="FES119" s="575"/>
      <c r="FET119" s="583"/>
      <c r="FEU119" s="590"/>
      <c r="FEV119" s="589"/>
      <c r="FEW119" s="585"/>
      <c r="FEX119" s="577"/>
      <c r="FEY119" s="304"/>
      <c r="FEZ119" s="572"/>
      <c r="FFA119" s="573"/>
      <c r="FFB119" s="574"/>
      <c r="FFC119" s="575"/>
      <c r="FFD119" s="583"/>
      <c r="FFE119" s="590"/>
      <c r="FFF119" s="589"/>
      <c r="FFG119" s="585"/>
      <c r="FFH119" s="577"/>
      <c r="FFI119" s="304"/>
      <c r="FFJ119" s="572"/>
      <c r="FFK119" s="573"/>
      <c r="FFL119" s="574"/>
      <c r="FFM119" s="575"/>
      <c r="FFN119" s="583"/>
      <c r="FFO119" s="590"/>
      <c r="FFP119" s="589"/>
      <c r="FFQ119" s="585"/>
      <c r="FFR119" s="577"/>
      <c r="FFS119" s="304"/>
      <c r="FFT119" s="572"/>
      <c r="FFU119" s="573"/>
      <c r="FFV119" s="574"/>
      <c r="FFW119" s="575"/>
      <c r="FFX119" s="583"/>
      <c r="FFY119" s="590"/>
      <c r="FFZ119" s="589"/>
      <c r="FGA119" s="585"/>
      <c r="FGB119" s="577"/>
      <c r="FGC119" s="304"/>
      <c r="FGD119" s="572"/>
      <c r="FGE119" s="573"/>
      <c r="FGF119" s="574"/>
      <c r="FGG119" s="575"/>
      <c r="FGH119" s="583"/>
      <c r="FGI119" s="590"/>
      <c r="FGJ119" s="589"/>
      <c r="FGK119" s="585"/>
      <c r="FGL119" s="577"/>
      <c r="FGM119" s="304"/>
      <c r="FGN119" s="572"/>
      <c r="FGO119" s="573"/>
      <c r="FGP119" s="574"/>
      <c r="FGQ119" s="575"/>
      <c r="FGR119" s="583"/>
      <c r="FGS119" s="590"/>
      <c r="FGT119" s="589"/>
      <c r="FGU119" s="585"/>
      <c r="FGV119" s="577"/>
      <c r="FGW119" s="304"/>
      <c r="FGX119" s="572"/>
      <c r="FGY119" s="573"/>
      <c r="FGZ119" s="574"/>
      <c r="FHA119" s="575"/>
      <c r="FHB119" s="583"/>
      <c r="FHC119" s="590"/>
      <c r="FHD119" s="589"/>
      <c r="FHE119" s="585"/>
      <c r="FHF119" s="577"/>
      <c r="FHG119" s="304"/>
      <c r="FHH119" s="572"/>
      <c r="FHI119" s="573"/>
      <c r="FHJ119" s="574"/>
      <c r="FHK119" s="575"/>
      <c r="FHL119" s="583"/>
      <c r="FHM119" s="590"/>
      <c r="FHN119" s="589"/>
      <c r="FHO119" s="585"/>
      <c r="FHP119" s="577"/>
      <c r="FHQ119" s="304"/>
      <c r="FHR119" s="572"/>
      <c r="FHS119" s="573"/>
      <c r="FHT119" s="574"/>
      <c r="FHU119" s="575"/>
      <c r="FHV119" s="583"/>
      <c r="FHW119" s="590"/>
      <c r="FHX119" s="589"/>
      <c r="FHY119" s="585"/>
      <c r="FHZ119" s="577"/>
      <c r="FIA119" s="304"/>
      <c r="FIB119" s="572"/>
      <c r="FIC119" s="573"/>
      <c r="FID119" s="574"/>
      <c r="FIE119" s="575"/>
      <c r="FIF119" s="583"/>
      <c r="FIG119" s="590"/>
      <c r="FIH119" s="589"/>
      <c r="FII119" s="585"/>
      <c r="FIJ119" s="577"/>
      <c r="FIK119" s="304"/>
      <c r="FIL119" s="572"/>
      <c r="FIM119" s="573"/>
      <c r="FIN119" s="574"/>
      <c r="FIO119" s="575"/>
      <c r="FIP119" s="583"/>
      <c r="FIQ119" s="590"/>
      <c r="FIR119" s="589"/>
      <c r="FIS119" s="585"/>
      <c r="FIT119" s="577"/>
      <c r="FIU119" s="304"/>
      <c r="FIV119" s="572"/>
      <c r="FIW119" s="573"/>
      <c r="FIX119" s="574"/>
      <c r="FIY119" s="575"/>
      <c r="FIZ119" s="583"/>
      <c r="FJA119" s="590"/>
      <c r="FJB119" s="589"/>
      <c r="FJC119" s="585"/>
      <c r="FJD119" s="577"/>
      <c r="FJE119" s="304"/>
      <c r="FJF119" s="572"/>
      <c r="FJG119" s="573"/>
      <c r="FJH119" s="574"/>
      <c r="FJI119" s="575"/>
      <c r="FJJ119" s="583"/>
      <c r="FJK119" s="590"/>
      <c r="FJL119" s="589"/>
      <c r="FJM119" s="585"/>
      <c r="FJN119" s="577"/>
      <c r="FJO119" s="304"/>
      <c r="FJP119" s="572"/>
      <c r="FJQ119" s="573"/>
      <c r="FJR119" s="574"/>
      <c r="FJS119" s="575"/>
      <c r="FJT119" s="583"/>
      <c r="FJU119" s="590"/>
      <c r="FJV119" s="589"/>
      <c r="FJW119" s="585"/>
      <c r="FJX119" s="577"/>
      <c r="FJY119" s="304"/>
      <c r="FJZ119" s="572"/>
      <c r="FKA119" s="573"/>
      <c r="FKB119" s="574"/>
      <c r="FKC119" s="575"/>
      <c r="FKD119" s="583"/>
      <c r="FKE119" s="590"/>
      <c r="FKF119" s="589"/>
      <c r="FKG119" s="585"/>
      <c r="FKH119" s="577"/>
      <c r="FKI119" s="304"/>
      <c r="FKJ119" s="572"/>
      <c r="FKK119" s="573"/>
      <c r="FKL119" s="574"/>
      <c r="FKM119" s="575"/>
      <c r="FKN119" s="583"/>
      <c r="FKO119" s="590"/>
      <c r="FKP119" s="589"/>
      <c r="FKQ119" s="585"/>
      <c r="FKR119" s="577"/>
      <c r="FKS119" s="304"/>
      <c r="FKT119" s="572"/>
      <c r="FKU119" s="573"/>
      <c r="FKV119" s="574"/>
      <c r="FKW119" s="575"/>
      <c r="FKX119" s="583"/>
      <c r="FKY119" s="590"/>
      <c r="FKZ119" s="589"/>
      <c r="FLA119" s="585"/>
      <c r="FLB119" s="577"/>
      <c r="FLC119" s="304"/>
      <c r="FLD119" s="572"/>
      <c r="FLE119" s="573"/>
      <c r="FLF119" s="574"/>
      <c r="FLG119" s="575"/>
      <c r="FLH119" s="583"/>
      <c r="FLI119" s="590"/>
      <c r="FLJ119" s="589"/>
      <c r="FLK119" s="585"/>
      <c r="FLL119" s="577"/>
      <c r="FLM119" s="304"/>
      <c r="FLN119" s="572"/>
      <c r="FLO119" s="573"/>
      <c r="FLP119" s="574"/>
      <c r="FLQ119" s="575"/>
      <c r="FLR119" s="583"/>
      <c r="FLS119" s="590"/>
      <c r="FLT119" s="589"/>
      <c r="FLU119" s="585"/>
      <c r="FLV119" s="577"/>
      <c r="FLW119" s="304"/>
      <c r="FLX119" s="572"/>
      <c r="FLY119" s="573"/>
      <c r="FLZ119" s="574"/>
      <c r="FMA119" s="575"/>
      <c r="FMB119" s="583"/>
      <c r="FMC119" s="590"/>
      <c r="FMD119" s="589"/>
      <c r="FME119" s="585"/>
      <c r="FMF119" s="577"/>
      <c r="FMG119" s="304"/>
      <c r="FMH119" s="572"/>
      <c r="FMI119" s="573"/>
      <c r="FMJ119" s="574"/>
      <c r="FMK119" s="575"/>
      <c r="FML119" s="583"/>
      <c r="FMM119" s="590"/>
      <c r="FMN119" s="589"/>
      <c r="FMO119" s="585"/>
      <c r="FMP119" s="577"/>
      <c r="FMQ119" s="304"/>
      <c r="FMR119" s="572"/>
      <c r="FMS119" s="573"/>
      <c r="FMT119" s="574"/>
      <c r="FMU119" s="575"/>
      <c r="FMV119" s="583"/>
      <c r="FMW119" s="590"/>
      <c r="FMX119" s="589"/>
      <c r="FMY119" s="585"/>
      <c r="FMZ119" s="577"/>
      <c r="FNA119" s="304"/>
      <c r="FNB119" s="572"/>
      <c r="FNC119" s="573"/>
      <c r="FND119" s="574"/>
      <c r="FNE119" s="575"/>
      <c r="FNF119" s="583"/>
      <c r="FNG119" s="590"/>
      <c r="FNH119" s="589"/>
      <c r="FNI119" s="585"/>
      <c r="FNJ119" s="577"/>
      <c r="FNK119" s="304"/>
      <c r="FNL119" s="572"/>
      <c r="FNM119" s="573"/>
      <c r="FNN119" s="574"/>
      <c r="FNO119" s="575"/>
      <c r="FNP119" s="583"/>
      <c r="FNQ119" s="590"/>
      <c r="FNR119" s="589"/>
      <c r="FNS119" s="585"/>
      <c r="FNT119" s="577"/>
      <c r="FNU119" s="304"/>
      <c r="FNV119" s="572"/>
      <c r="FNW119" s="573"/>
      <c r="FNX119" s="574"/>
      <c r="FNY119" s="575"/>
      <c r="FNZ119" s="583"/>
      <c r="FOA119" s="590"/>
      <c r="FOB119" s="589"/>
      <c r="FOC119" s="585"/>
      <c r="FOD119" s="577"/>
      <c r="FOE119" s="304"/>
      <c r="FOF119" s="572"/>
      <c r="FOG119" s="573"/>
      <c r="FOH119" s="574"/>
      <c r="FOI119" s="575"/>
      <c r="FOJ119" s="583"/>
      <c r="FOK119" s="590"/>
      <c r="FOL119" s="589"/>
      <c r="FOM119" s="585"/>
      <c r="FON119" s="577"/>
      <c r="FOO119" s="304"/>
      <c r="FOP119" s="572"/>
      <c r="FOQ119" s="573"/>
      <c r="FOR119" s="574"/>
      <c r="FOS119" s="575"/>
      <c r="FOT119" s="583"/>
      <c r="FOU119" s="590"/>
      <c r="FOV119" s="589"/>
      <c r="FOW119" s="585"/>
      <c r="FOX119" s="577"/>
      <c r="FOY119" s="304"/>
      <c r="FOZ119" s="572"/>
      <c r="FPA119" s="573"/>
      <c r="FPB119" s="574"/>
      <c r="FPC119" s="575"/>
      <c r="FPD119" s="583"/>
      <c r="FPE119" s="590"/>
      <c r="FPF119" s="589"/>
      <c r="FPG119" s="585"/>
      <c r="FPH119" s="577"/>
      <c r="FPI119" s="304"/>
      <c r="FPJ119" s="572"/>
      <c r="FPK119" s="573"/>
      <c r="FPL119" s="574"/>
      <c r="FPM119" s="575"/>
      <c r="FPN119" s="583"/>
      <c r="FPO119" s="590"/>
      <c r="FPP119" s="589"/>
      <c r="FPQ119" s="585"/>
      <c r="FPR119" s="577"/>
      <c r="FPS119" s="304"/>
      <c r="FPT119" s="572"/>
      <c r="FPU119" s="573"/>
      <c r="FPV119" s="574"/>
      <c r="FPW119" s="575"/>
      <c r="FPX119" s="583"/>
      <c r="FPY119" s="590"/>
      <c r="FPZ119" s="589"/>
      <c r="FQA119" s="585"/>
      <c r="FQB119" s="577"/>
      <c r="FQC119" s="304"/>
      <c r="FQD119" s="572"/>
      <c r="FQE119" s="573"/>
      <c r="FQF119" s="574"/>
      <c r="FQG119" s="575"/>
      <c r="FQH119" s="583"/>
      <c r="FQI119" s="590"/>
      <c r="FQJ119" s="589"/>
      <c r="FQK119" s="585"/>
      <c r="FQL119" s="577"/>
      <c r="FQM119" s="304"/>
      <c r="FQN119" s="572"/>
      <c r="FQO119" s="573"/>
      <c r="FQP119" s="574"/>
      <c r="FQQ119" s="575"/>
      <c r="FQR119" s="583"/>
      <c r="FQS119" s="590"/>
      <c r="FQT119" s="589"/>
      <c r="FQU119" s="585"/>
      <c r="FQV119" s="577"/>
      <c r="FQW119" s="304"/>
      <c r="FQX119" s="572"/>
      <c r="FQY119" s="573"/>
      <c r="FQZ119" s="574"/>
      <c r="FRA119" s="575"/>
      <c r="FRB119" s="583"/>
      <c r="FRC119" s="590"/>
      <c r="FRD119" s="589"/>
      <c r="FRE119" s="585"/>
      <c r="FRF119" s="577"/>
      <c r="FRG119" s="304"/>
      <c r="FRH119" s="572"/>
      <c r="FRI119" s="573"/>
      <c r="FRJ119" s="574"/>
      <c r="FRK119" s="575"/>
      <c r="FRL119" s="583"/>
      <c r="FRM119" s="590"/>
      <c r="FRN119" s="589"/>
      <c r="FRO119" s="585"/>
      <c r="FRP119" s="577"/>
      <c r="FRQ119" s="304"/>
      <c r="FRR119" s="572"/>
      <c r="FRS119" s="573"/>
      <c r="FRT119" s="574"/>
      <c r="FRU119" s="575"/>
      <c r="FRV119" s="583"/>
      <c r="FRW119" s="590"/>
      <c r="FRX119" s="589"/>
      <c r="FRY119" s="585"/>
      <c r="FRZ119" s="577"/>
      <c r="FSA119" s="304"/>
      <c r="FSB119" s="572"/>
      <c r="FSC119" s="573"/>
      <c r="FSD119" s="574"/>
      <c r="FSE119" s="575"/>
      <c r="FSF119" s="583"/>
      <c r="FSG119" s="590"/>
      <c r="FSH119" s="589"/>
      <c r="FSI119" s="585"/>
      <c r="FSJ119" s="577"/>
      <c r="FSK119" s="304"/>
      <c r="FSL119" s="572"/>
      <c r="FSM119" s="573"/>
      <c r="FSN119" s="574"/>
      <c r="FSO119" s="575"/>
      <c r="FSP119" s="583"/>
      <c r="FSQ119" s="590"/>
      <c r="FSR119" s="589"/>
      <c r="FSS119" s="585"/>
      <c r="FST119" s="577"/>
      <c r="FSU119" s="304"/>
      <c r="FSV119" s="572"/>
      <c r="FSW119" s="573"/>
      <c r="FSX119" s="574"/>
      <c r="FSY119" s="575"/>
      <c r="FSZ119" s="583"/>
      <c r="FTA119" s="590"/>
      <c r="FTB119" s="589"/>
      <c r="FTC119" s="585"/>
      <c r="FTD119" s="577"/>
      <c r="FTE119" s="304"/>
      <c r="FTF119" s="572"/>
      <c r="FTG119" s="573"/>
      <c r="FTH119" s="574"/>
      <c r="FTI119" s="575"/>
      <c r="FTJ119" s="583"/>
      <c r="FTK119" s="590"/>
      <c r="FTL119" s="589"/>
      <c r="FTM119" s="585"/>
      <c r="FTN119" s="577"/>
      <c r="FTO119" s="304"/>
      <c r="FTP119" s="572"/>
      <c r="FTQ119" s="573"/>
      <c r="FTR119" s="574"/>
      <c r="FTS119" s="575"/>
      <c r="FTT119" s="583"/>
      <c r="FTU119" s="590"/>
      <c r="FTV119" s="589"/>
      <c r="FTW119" s="585"/>
      <c r="FTX119" s="577"/>
      <c r="FTY119" s="304"/>
      <c r="FTZ119" s="572"/>
      <c r="FUA119" s="573"/>
      <c r="FUB119" s="574"/>
      <c r="FUC119" s="575"/>
      <c r="FUD119" s="583"/>
      <c r="FUE119" s="590"/>
      <c r="FUF119" s="589"/>
      <c r="FUG119" s="585"/>
      <c r="FUH119" s="577"/>
      <c r="FUI119" s="304"/>
      <c r="FUJ119" s="572"/>
      <c r="FUK119" s="573"/>
      <c r="FUL119" s="574"/>
      <c r="FUM119" s="575"/>
      <c r="FUN119" s="583"/>
      <c r="FUO119" s="590"/>
      <c r="FUP119" s="589"/>
      <c r="FUQ119" s="585"/>
      <c r="FUR119" s="577"/>
      <c r="FUS119" s="304"/>
      <c r="FUT119" s="572"/>
      <c r="FUU119" s="573"/>
      <c r="FUV119" s="574"/>
      <c r="FUW119" s="575"/>
      <c r="FUX119" s="583"/>
      <c r="FUY119" s="590"/>
      <c r="FUZ119" s="589"/>
      <c r="FVA119" s="585"/>
      <c r="FVB119" s="577"/>
      <c r="FVC119" s="304"/>
      <c r="FVD119" s="572"/>
      <c r="FVE119" s="573"/>
      <c r="FVF119" s="574"/>
      <c r="FVG119" s="575"/>
      <c r="FVH119" s="583"/>
      <c r="FVI119" s="590"/>
      <c r="FVJ119" s="589"/>
      <c r="FVK119" s="585"/>
      <c r="FVL119" s="577"/>
      <c r="FVM119" s="304"/>
      <c r="FVN119" s="572"/>
      <c r="FVO119" s="573"/>
      <c r="FVP119" s="574"/>
      <c r="FVQ119" s="575"/>
      <c r="FVR119" s="583"/>
      <c r="FVS119" s="590"/>
      <c r="FVT119" s="589"/>
      <c r="FVU119" s="585"/>
      <c r="FVV119" s="577"/>
      <c r="FVW119" s="304"/>
      <c r="FVX119" s="572"/>
      <c r="FVY119" s="573"/>
      <c r="FVZ119" s="574"/>
      <c r="FWA119" s="575"/>
      <c r="FWB119" s="583"/>
      <c r="FWC119" s="590"/>
      <c r="FWD119" s="589"/>
      <c r="FWE119" s="585"/>
      <c r="FWF119" s="577"/>
      <c r="FWG119" s="304"/>
      <c r="FWH119" s="572"/>
      <c r="FWI119" s="573"/>
      <c r="FWJ119" s="574"/>
      <c r="FWK119" s="575"/>
      <c r="FWL119" s="583"/>
      <c r="FWM119" s="590"/>
      <c r="FWN119" s="589"/>
      <c r="FWO119" s="585"/>
      <c r="FWP119" s="577"/>
      <c r="FWQ119" s="304"/>
      <c r="FWR119" s="572"/>
      <c r="FWS119" s="573"/>
      <c r="FWT119" s="574"/>
      <c r="FWU119" s="575"/>
      <c r="FWV119" s="583"/>
      <c r="FWW119" s="590"/>
      <c r="FWX119" s="589"/>
      <c r="FWY119" s="585"/>
      <c r="FWZ119" s="577"/>
      <c r="FXA119" s="304"/>
      <c r="FXB119" s="572"/>
      <c r="FXC119" s="573"/>
      <c r="FXD119" s="574"/>
      <c r="FXE119" s="575"/>
      <c r="FXF119" s="583"/>
      <c r="FXG119" s="590"/>
      <c r="FXH119" s="589"/>
      <c r="FXI119" s="585"/>
      <c r="FXJ119" s="577"/>
      <c r="FXK119" s="304"/>
      <c r="FXL119" s="572"/>
      <c r="FXM119" s="573"/>
      <c r="FXN119" s="574"/>
      <c r="FXO119" s="575"/>
      <c r="FXP119" s="583"/>
      <c r="FXQ119" s="590"/>
      <c r="FXR119" s="589"/>
      <c r="FXS119" s="585"/>
      <c r="FXT119" s="577"/>
      <c r="FXU119" s="304"/>
      <c r="FXV119" s="572"/>
      <c r="FXW119" s="573"/>
      <c r="FXX119" s="574"/>
      <c r="FXY119" s="575"/>
      <c r="FXZ119" s="583"/>
      <c r="FYA119" s="590"/>
      <c r="FYB119" s="589"/>
      <c r="FYC119" s="585"/>
      <c r="FYD119" s="577"/>
      <c r="FYE119" s="304"/>
      <c r="FYF119" s="572"/>
      <c r="FYG119" s="573"/>
      <c r="FYH119" s="574"/>
      <c r="FYI119" s="575"/>
      <c r="FYJ119" s="583"/>
      <c r="FYK119" s="590"/>
      <c r="FYL119" s="589"/>
      <c r="FYM119" s="585"/>
      <c r="FYN119" s="577"/>
      <c r="FYO119" s="304"/>
      <c r="FYP119" s="572"/>
      <c r="FYQ119" s="573"/>
      <c r="FYR119" s="574"/>
      <c r="FYS119" s="575"/>
      <c r="FYT119" s="583"/>
      <c r="FYU119" s="590"/>
      <c r="FYV119" s="589"/>
      <c r="FYW119" s="585"/>
      <c r="FYX119" s="577"/>
      <c r="FYY119" s="304"/>
      <c r="FYZ119" s="572"/>
      <c r="FZA119" s="573"/>
      <c r="FZB119" s="574"/>
      <c r="FZC119" s="575"/>
      <c r="FZD119" s="583"/>
      <c r="FZE119" s="590"/>
      <c r="FZF119" s="589"/>
      <c r="FZG119" s="585"/>
      <c r="FZH119" s="577"/>
      <c r="FZI119" s="304"/>
      <c r="FZJ119" s="572"/>
      <c r="FZK119" s="573"/>
      <c r="FZL119" s="574"/>
      <c r="FZM119" s="575"/>
      <c r="FZN119" s="583"/>
      <c r="FZO119" s="590"/>
      <c r="FZP119" s="589"/>
      <c r="FZQ119" s="585"/>
      <c r="FZR119" s="577"/>
      <c r="FZS119" s="304"/>
      <c r="FZT119" s="572"/>
      <c r="FZU119" s="573"/>
      <c r="FZV119" s="574"/>
      <c r="FZW119" s="575"/>
      <c r="FZX119" s="583"/>
      <c r="FZY119" s="590"/>
      <c r="FZZ119" s="589"/>
      <c r="GAA119" s="585"/>
      <c r="GAB119" s="577"/>
      <c r="GAC119" s="304"/>
      <c r="GAD119" s="572"/>
      <c r="GAE119" s="573"/>
      <c r="GAF119" s="574"/>
      <c r="GAG119" s="575"/>
      <c r="GAH119" s="583"/>
      <c r="GAI119" s="590"/>
      <c r="GAJ119" s="589"/>
      <c r="GAK119" s="585"/>
      <c r="GAL119" s="577"/>
      <c r="GAM119" s="304"/>
      <c r="GAN119" s="572"/>
      <c r="GAO119" s="573"/>
      <c r="GAP119" s="574"/>
      <c r="GAQ119" s="575"/>
      <c r="GAR119" s="583"/>
      <c r="GAS119" s="590"/>
      <c r="GAT119" s="589"/>
      <c r="GAU119" s="585"/>
      <c r="GAV119" s="577"/>
      <c r="GAW119" s="304"/>
      <c r="GAX119" s="572"/>
      <c r="GAY119" s="573"/>
      <c r="GAZ119" s="574"/>
      <c r="GBA119" s="575"/>
      <c r="GBB119" s="583"/>
      <c r="GBC119" s="590"/>
      <c r="GBD119" s="589"/>
      <c r="GBE119" s="585"/>
      <c r="GBF119" s="577"/>
      <c r="GBG119" s="304"/>
      <c r="GBH119" s="572"/>
      <c r="GBI119" s="573"/>
      <c r="GBJ119" s="574"/>
      <c r="GBK119" s="575"/>
      <c r="GBL119" s="583"/>
      <c r="GBM119" s="590"/>
      <c r="GBN119" s="589"/>
      <c r="GBO119" s="585"/>
      <c r="GBP119" s="577"/>
      <c r="GBQ119" s="304"/>
      <c r="GBR119" s="572"/>
      <c r="GBS119" s="573"/>
      <c r="GBT119" s="574"/>
      <c r="GBU119" s="575"/>
      <c r="GBV119" s="583"/>
      <c r="GBW119" s="590"/>
      <c r="GBX119" s="589"/>
      <c r="GBY119" s="585"/>
      <c r="GBZ119" s="577"/>
      <c r="GCA119" s="304"/>
      <c r="GCB119" s="572"/>
      <c r="GCC119" s="573"/>
      <c r="GCD119" s="574"/>
      <c r="GCE119" s="575"/>
      <c r="GCF119" s="583"/>
      <c r="GCG119" s="590"/>
      <c r="GCH119" s="589"/>
      <c r="GCI119" s="585"/>
      <c r="GCJ119" s="577"/>
      <c r="GCK119" s="304"/>
      <c r="GCL119" s="572"/>
      <c r="GCM119" s="573"/>
      <c r="GCN119" s="574"/>
      <c r="GCO119" s="575"/>
      <c r="GCP119" s="583"/>
      <c r="GCQ119" s="590"/>
      <c r="GCR119" s="589"/>
      <c r="GCS119" s="585"/>
      <c r="GCT119" s="577"/>
      <c r="GCU119" s="304"/>
      <c r="GCV119" s="572"/>
      <c r="GCW119" s="573"/>
      <c r="GCX119" s="574"/>
      <c r="GCY119" s="575"/>
      <c r="GCZ119" s="583"/>
      <c r="GDA119" s="590"/>
      <c r="GDB119" s="589"/>
      <c r="GDC119" s="585"/>
      <c r="GDD119" s="577"/>
      <c r="GDE119" s="304"/>
      <c r="GDF119" s="572"/>
      <c r="GDG119" s="573"/>
      <c r="GDH119" s="574"/>
      <c r="GDI119" s="575"/>
      <c r="GDJ119" s="583"/>
      <c r="GDK119" s="590"/>
      <c r="GDL119" s="589"/>
      <c r="GDM119" s="585"/>
      <c r="GDN119" s="577"/>
      <c r="GDO119" s="304"/>
      <c r="GDP119" s="572"/>
      <c r="GDQ119" s="573"/>
      <c r="GDR119" s="574"/>
      <c r="GDS119" s="575"/>
      <c r="GDT119" s="583"/>
      <c r="GDU119" s="590"/>
      <c r="GDV119" s="589"/>
      <c r="GDW119" s="585"/>
      <c r="GDX119" s="577"/>
      <c r="GDY119" s="304"/>
      <c r="GDZ119" s="572"/>
      <c r="GEA119" s="573"/>
      <c r="GEB119" s="574"/>
      <c r="GEC119" s="575"/>
      <c r="GED119" s="583"/>
      <c r="GEE119" s="590"/>
      <c r="GEF119" s="589"/>
      <c r="GEG119" s="585"/>
      <c r="GEH119" s="577"/>
      <c r="GEI119" s="304"/>
      <c r="GEJ119" s="572"/>
      <c r="GEK119" s="573"/>
      <c r="GEL119" s="574"/>
      <c r="GEM119" s="575"/>
      <c r="GEN119" s="583"/>
      <c r="GEO119" s="590"/>
      <c r="GEP119" s="589"/>
      <c r="GEQ119" s="585"/>
      <c r="GER119" s="577"/>
      <c r="GES119" s="304"/>
      <c r="GET119" s="572"/>
      <c r="GEU119" s="573"/>
      <c r="GEV119" s="574"/>
      <c r="GEW119" s="575"/>
      <c r="GEX119" s="583"/>
      <c r="GEY119" s="590"/>
      <c r="GEZ119" s="589"/>
      <c r="GFA119" s="585"/>
      <c r="GFB119" s="577"/>
      <c r="GFC119" s="304"/>
      <c r="GFD119" s="572"/>
      <c r="GFE119" s="573"/>
      <c r="GFF119" s="574"/>
      <c r="GFG119" s="575"/>
      <c r="GFH119" s="583"/>
      <c r="GFI119" s="590"/>
      <c r="GFJ119" s="589"/>
      <c r="GFK119" s="585"/>
      <c r="GFL119" s="577"/>
      <c r="GFM119" s="304"/>
      <c r="GFN119" s="572"/>
      <c r="GFO119" s="573"/>
      <c r="GFP119" s="574"/>
      <c r="GFQ119" s="575"/>
      <c r="GFR119" s="583"/>
      <c r="GFS119" s="590"/>
      <c r="GFT119" s="589"/>
      <c r="GFU119" s="585"/>
      <c r="GFV119" s="577"/>
      <c r="GFW119" s="304"/>
      <c r="GFX119" s="572"/>
      <c r="GFY119" s="573"/>
      <c r="GFZ119" s="574"/>
      <c r="GGA119" s="575"/>
      <c r="GGB119" s="583"/>
      <c r="GGC119" s="590"/>
      <c r="GGD119" s="589"/>
      <c r="GGE119" s="585"/>
      <c r="GGF119" s="577"/>
      <c r="GGG119" s="304"/>
      <c r="GGH119" s="572"/>
      <c r="GGI119" s="573"/>
      <c r="GGJ119" s="574"/>
      <c r="GGK119" s="575"/>
      <c r="GGL119" s="583"/>
      <c r="GGM119" s="590"/>
      <c r="GGN119" s="589"/>
      <c r="GGO119" s="585"/>
      <c r="GGP119" s="577"/>
      <c r="GGQ119" s="304"/>
      <c r="GGR119" s="572"/>
      <c r="GGS119" s="573"/>
      <c r="GGT119" s="574"/>
      <c r="GGU119" s="575"/>
      <c r="GGV119" s="583"/>
      <c r="GGW119" s="590"/>
      <c r="GGX119" s="589"/>
      <c r="GGY119" s="585"/>
      <c r="GGZ119" s="577"/>
      <c r="GHA119" s="304"/>
      <c r="GHB119" s="572"/>
      <c r="GHC119" s="573"/>
      <c r="GHD119" s="574"/>
      <c r="GHE119" s="575"/>
      <c r="GHF119" s="583"/>
      <c r="GHG119" s="590"/>
      <c r="GHH119" s="589"/>
      <c r="GHI119" s="585"/>
      <c r="GHJ119" s="577"/>
      <c r="GHK119" s="304"/>
      <c r="GHL119" s="572"/>
      <c r="GHM119" s="573"/>
      <c r="GHN119" s="574"/>
      <c r="GHO119" s="575"/>
      <c r="GHP119" s="583"/>
      <c r="GHQ119" s="590"/>
      <c r="GHR119" s="589"/>
      <c r="GHS119" s="585"/>
      <c r="GHT119" s="577"/>
      <c r="GHU119" s="304"/>
      <c r="GHV119" s="572"/>
      <c r="GHW119" s="573"/>
      <c r="GHX119" s="574"/>
      <c r="GHY119" s="575"/>
      <c r="GHZ119" s="583"/>
      <c r="GIA119" s="590"/>
      <c r="GIB119" s="589"/>
      <c r="GIC119" s="585"/>
      <c r="GID119" s="577"/>
      <c r="GIE119" s="304"/>
      <c r="GIF119" s="572"/>
      <c r="GIG119" s="573"/>
      <c r="GIH119" s="574"/>
      <c r="GII119" s="575"/>
      <c r="GIJ119" s="583"/>
      <c r="GIK119" s="590"/>
      <c r="GIL119" s="589"/>
      <c r="GIM119" s="585"/>
      <c r="GIN119" s="577"/>
      <c r="GIO119" s="304"/>
      <c r="GIP119" s="572"/>
      <c r="GIQ119" s="573"/>
      <c r="GIR119" s="574"/>
      <c r="GIS119" s="575"/>
      <c r="GIT119" s="583"/>
      <c r="GIU119" s="590"/>
      <c r="GIV119" s="589"/>
      <c r="GIW119" s="585"/>
      <c r="GIX119" s="577"/>
      <c r="GIY119" s="304"/>
      <c r="GIZ119" s="572"/>
      <c r="GJA119" s="573"/>
      <c r="GJB119" s="574"/>
      <c r="GJC119" s="575"/>
      <c r="GJD119" s="583"/>
      <c r="GJE119" s="590"/>
      <c r="GJF119" s="589"/>
      <c r="GJG119" s="585"/>
      <c r="GJH119" s="577"/>
      <c r="GJI119" s="304"/>
      <c r="GJJ119" s="572"/>
      <c r="GJK119" s="573"/>
      <c r="GJL119" s="574"/>
      <c r="GJM119" s="575"/>
      <c r="GJN119" s="583"/>
      <c r="GJO119" s="590"/>
      <c r="GJP119" s="589"/>
      <c r="GJQ119" s="585"/>
      <c r="GJR119" s="577"/>
      <c r="GJS119" s="304"/>
      <c r="GJT119" s="572"/>
      <c r="GJU119" s="573"/>
      <c r="GJV119" s="574"/>
      <c r="GJW119" s="575"/>
      <c r="GJX119" s="583"/>
      <c r="GJY119" s="590"/>
      <c r="GJZ119" s="589"/>
      <c r="GKA119" s="585"/>
      <c r="GKB119" s="577"/>
      <c r="GKC119" s="304"/>
      <c r="GKD119" s="572"/>
      <c r="GKE119" s="573"/>
      <c r="GKF119" s="574"/>
      <c r="GKG119" s="575"/>
      <c r="GKH119" s="583"/>
      <c r="GKI119" s="590"/>
      <c r="GKJ119" s="589"/>
      <c r="GKK119" s="585"/>
      <c r="GKL119" s="577"/>
      <c r="GKM119" s="304"/>
      <c r="GKN119" s="572"/>
      <c r="GKO119" s="573"/>
      <c r="GKP119" s="574"/>
      <c r="GKQ119" s="575"/>
      <c r="GKR119" s="583"/>
      <c r="GKS119" s="590"/>
      <c r="GKT119" s="589"/>
      <c r="GKU119" s="585"/>
      <c r="GKV119" s="577"/>
      <c r="GKW119" s="304"/>
      <c r="GKX119" s="572"/>
      <c r="GKY119" s="573"/>
      <c r="GKZ119" s="574"/>
      <c r="GLA119" s="575"/>
      <c r="GLB119" s="583"/>
      <c r="GLC119" s="590"/>
      <c r="GLD119" s="589"/>
      <c r="GLE119" s="585"/>
      <c r="GLF119" s="577"/>
      <c r="GLG119" s="304"/>
      <c r="GLH119" s="572"/>
      <c r="GLI119" s="573"/>
      <c r="GLJ119" s="574"/>
      <c r="GLK119" s="575"/>
      <c r="GLL119" s="583"/>
      <c r="GLM119" s="590"/>
      <c r="GLN119" s="589"/>
      <c r="GLO119" s="585"/>
      <c r="GLP119" s="577"/>
      <c r="GLQ119" s="304"/>
      <c r="GLR119" s="572"/>
      <c r="GLS119" s="573"/>
      <c r="GLT119" s="574"/>
      <c r="GLU119" s="575"/>
      <c r="GLV119" s="583"/>
      <c r="GLW119" s="590"/>
      <c r="GLX119" s="589"/>
      <c r="GLY119" s="585"/>
      <c r="GLZ119" s="577"/>
      <c r="GMA119" s="304"/>
      <c r="GMB119" s="572"/>
      <c r="GMC119" s="573"/>
      <c r="GMD119" s="574"/>
      <c r="GME119" s="575"/>
      <c r="GMF119" s="583"/>
      <c r="GMG119" s="590"/>
      <c r="GMH119" s="589"/>
      <c r="GMI119" s="585"/>
      <c r="GMJ119" s="577"/>
      <c r="GMK119" s="304"/>
      <c r="GML119" s="572"/>
      <c r="GMM119" s="573"/>
      <c r="GMN119" s="574"/>
      <c r="GMO119" s="575"/>
      <c r="GMP119" s="583"/>
      <c r="GMQ119" s="590"/>
      <c r="GMR119" s="589"/>
      <c r="GMS119" s="585"/>
      <c r="GMT119" s="577"/>
      <c r="GMU119" s="304"/>
      <c r="GMV119" s="572"/>
      <c r="GMW119" s="573"/>
      <c r="GMX119" s="574"/>
      <c r="GMY119" s="575"/>
      <c r="GMZ119" s="583"/>
      <c r="GNA119" s="590"/>
      <c r="GNB119" s="589"/>
      <c r="GNC119" s="585"/>
      <c r="GND119" s="577"/>
      <c r="GNE119" s="304"/>
      <c r="GNF119" s="572"/>
      <c r="GNG119" s="573"/>
      <c r="GNH119" s="574"/>
      <c r="GNI119" s="575"/>
      <c r="GNJ119" s="583"/>
      <c r="GNK119" s="590"/>
      <c r="GNL119" s="589"/>
      <c r="GNM119" s="585"/>
      <c r="GNN119" s="577"/>
      <c r="GNO119" s="304"/>
      <c r="GNP119" s="572"/>
      <c r="GNQ119" s="573"/>
      <c r="GNR119" s="574"/>
      <c r="GNS119" s="575"/>
      <c r="GNT119" s="583"/>
      <c r="GNU119" s="590"/>
      <c r="GNV119" s="589"/>
      <c r="GNW119" s="585"/>
      <c r="GNX119" s="577"/>
      <c r="GNY119" s="304"/>
      <c r="GNZ119" s="572"/>
      <c r="GOA119" s="573"/>
      <c r="GOB119" s="574"/>
      <c r="GOC119" s="575"/>
      <c r="GOD119" s="583"/>
      <c r="GOE119" s="590"/>
      <c r="GOF119" s="589"/>
      <c r="GOG119" s="585"/>
      <c r="GOH119" s="577"/>
      <c r="GOI119" s="304"/>
      <c r="GOJ119" s="572"/>
      <c r="GOK119" s="573"/>
      <c r="GOL119" s="574"/>
      <c r="GOM119" s="575"/>
      <c r="GON119" s="583"/>
      <c r="GOO119" s="590"/>
      <c r="GOP119" s="589"/>
      <c r="GOQ119" s="585"/>
      <c r="GOR119" s="577"/>
      <c r="GOS119" s="304"/>
      <c r="GOT119" s="572"/>
      <c r="GOU119" s="573"/>
      <c r="GOV119" s="574"/>
      <c r="GOW119" s="575"/>
      <c r="GOX119" s="583"/>
      <c r="GOY119" s="590"/>
      <c r="GOZ119" s="589"/>
      <c r="GPA119" s="585"/>
      <c r="GPB119" s="577"/>
      <c r="GPC119" s="304"/>
      <c r="GPD119" s="572"/>
      <c r="GPE119" s="573"/>
      <c r="GPF119" s="574"/>
      <c r="GPG119" s="575"/>
      <c r="GPH119" s="583"/>
      <c r="GPI119" s="590"/>
      <c r="GPJ119" s="589"/>
      <c r="GPK119" s="585"/>
      <c r="GPL119" s="577"/>
      <c r="GPM119" s="304"/>
      <c r="GPN119" s="572"/>
      <c r="GPO119" s="573"/>
      <c r="GPP119" s="574"/>
      <c r="GPQ119" s="575"/>
      <c r="GPR119" s="583"/>
      <c r="GPS119" s="590"/>
      <c r="GPT119" s="589"/>
      <c r="GPU119" s="585"/>
      <c r="GPV119" s="577"/>
      <c r="GPW119" s="304"/>
      <c r="GPX119" s="572"/>
      <c r="GPY119" s="573"/>
      <c r="GPZ119" s="574"/>
      <c r="GQA119" s="575"/>
      <c r="GQB119" s="583"/>
      <c r="GQC119" s="590"/>
      <c r="GQD119" s="589"/>
      <c r="GQE119" s="585"/>
      <c r="GQF119" s="577"/>
      <c r="GQG119" s="304"/>
      <c r="GQH119" s="572"/>
      <c r="GQI119" s="573"/>
      <c r="GQJ119" s="574"/>
      <c r="GQK119" s="575"/>
      <c r="GQL119" s="583"/>
      <c r="GQM119" s="590"/>
      <c r="GQN119" s="589"/>
      <c r="GQO119" s="585"/>
      <c r="GQP119" s="577"/>
      <c r="GQQ119" s="304"/>
      <c r="GQR119" s="572"/>
      <c r="GQS119" s="573"/>
      <c r="GQT119" s="574"/>
      <c r="GQU119" s="575"/>
      <c r="GQV119" s="583"/>
      <c r="GQW119" s="590"/>
      <c r="GQX119" s="589"/>
      <c r="GQY119" s="585"/>
      <c r="GQZ119" s="577"/>
      <c r="GRA119" s="304"/>
      <c r="GRB119" s="572"/>
      <c r="GRC119" s="573"/>
      <c r="GRD119" s="574"/>
      <c r="GRE119" s="575"/>
      <c r="GRF119" s="583"/>
      <c r="GRG119" s="590"/>
      <c r="GRH119" s="589"/>
      <c r="GRI119" s="585"/>
      <c r="GRJ119" s="577"/>
      <c r="GRK119" s="304"/>
      <c r="GRL119" s="572"/>
      <c r="GRM119" s="573"/>
      <c r="GRN119" s="574"/>
      <c r="GRO119" s="575"/>
      <c r="GRP119" s="583"/>
      <c r="GRQ119" s="590"/>
      <c r="GRR119" s="589"/>
      <c r="GRS119" s="585"/>
      <c r="GRT119" s="577"/>
      <c r="GRU119" s="304"/>
      <c r="GRV119" s="572"/>
      <c r="GRW119" s="573"/>
      <c r="GRX119" s="574"/>
      <c r="GRY119" s="575"/>
      <c r="GRZ119" s="583"/>
      <c r="GSA119" s="590"/>
      <c r="GSB119" s="589"/>
      <c r="GSC119" s="585"/>
      <c r="GSD119" s="577"/>
      <c r="GSE119" s="304"/>
      <c r="GSF119" s="572"/>
      <c r="GSG119" s="573"/>
      <c r="GSH119" s="574"/>
      <c r="GSI119" s="575"/>
      <c r="GSJ119" s="583"/>
      <c r="GSK119" s="590"/>
      <c r="GSL119" s="589"/>
      <c r="GSM119" s="585"/>
      <c r="GSN119" s="577"/>
      <c r="GSO119" s="304"/>
      <c r="GSP119" s="572"/>
      <c r="GSQ119" s="573"/>
      <c r="GSR119" s="574"/>
      <c r="GSS119" s="575"/>
      <c r="GST119" s="583"/>
      <c r="GSU119" s="590"/>
      <c r="GSV119" s="589"/>
      <c r="GSW119" s="585"/>
      <c r="GSX119" s="577"/>
      <c r="GSY119" s="304"/>
      <c r="GSZ119" s="572"/>
      <c r="GTA119" s="573"/>
      <c r="GTB119" s="574"/>
      <c r="GTC119" s="575"/>
      <c r="GTD119" s="583"/>
      <c r="GTE119" s="590"/>
      <c r="GTF119" s="589"/>
      <c r="GTG119" s="585"/>
      <c r="GTH119" s="577"/>
      <c r="GTI119" s="304"/>
      <c r="GTJ119" s="572"/>
      <c r="GTK119" s="573"/>
      <c r="GTL119" s="574"/>
      <c r="GTM119" s="575"/>
      <c r="GTN119" s="583"/>
      <c r="GTO119" s="590"/>
      <c r="GTP119" s="589"/>
      <c r="GTQ119" s="585"/>
      <c r="GTR119" s="577"/>
      <c r="GTS119" s="304"/>
      <c r="GTT119" s="572"/>
      <c r="GTU119" s="573"/>
      <c r="GTV119" s="574"/>
      <c r="GTW119" s="575"/>
      <c r="GTX119" s="583"/>
      <c r="GTY119" s="590"/>
      <c r="GTZ119" s="589"/>
      <c r="GUA119" s="585"/>
      <c r="GUB119" s="577"/>
      <c r="GUC119" s="304"/>
      <c r="GUD119" s="572"/>
      <c r="GUE119" s="573"/>
      <c r="GUF119" s="574"/>
      <c r="GUG119" s="575"/>
      <c r="GUH119" s="583"/>
      <c r="GUI119" s="590"/>
      <c r="GUJ119" s="589"/>
      <c r="GUK119" s="585"/>
      <c r="GUL119" s="577"/>
      <c r="GUM119" s="304"/>
      <c r="GUN119" s="572"/>
      <c r="GUO119" s="573"/>
      <c r="GUP119" s="574"/>
      <c r="GUQ119" s="575"/>
      <c r="GUR119" s="583"/>
      <c r="GUS119" s="590"/>
      <c r="GUT119" s="589"/>
      <c r="GUU119" s="585"/>
      <c r="GUV119" s="577"/>
      <c r="GUW119" s="304"/>
      <c r="GUX119" s="572"/>
      <c r="GUY119" s="573"/>
      <c r="GUZ119" s="574"/>
      <c r="GVA119" s="575"/>
      <c r="GVB119" s="583"/>
      <c r="GVC119" s="590"/>
      <c r="GVD119" s="589"/>
      <c r="GVE119" s="585"/>
      <c r="GVF119" s="577"/>
      <c r="GVG119" s="304"/>
      <c r="GVH119" s="572"/>
      <c r="GVI119" s="573"/>
      <c r="GVJ119" s="574"/>
      <c r="GVK119" s="575"/>
      <c r="GVL119" s="583"/>
      <c r="GVM119" s="590"/>
      <c r="GVN119" s="589"/>
      <c r="GVO119" s="585"/>
      <c r="GVP119" s="577"/>
      <c r="GVQ119" s="304"/>
      <c r="GVR119" s="572"/>
      <c r="GVS119" s="573"/>
      <c r="GVT119" s="574"/>
      <c r="GVU119" s="575"/>
      <c r="GVV119" s="583"/>
      <c r="GVW119" s="590"/>
      <c r="GVX119" s="589"/>
      <c r="GVY119" s="585"/>
      <c r="GVZ119" s="577"/>
      <c r="GWA119" s="304"/>
      <c r="GWB119" s="572"/>
      <c r="GWC119" s="573"/>
      <c r="GWD119" s="574"/>
      <c r="GWE119" s="575"/>
      <c r="GWF119" s="583"/>
      <c r="GWG119" s="590"/>
      <c r="GWH119" s="589"/>
      <c r="GWI119" s="585"/>
      <c r="GWJ119" s="577"/>
      <c r="GWK119" s="304"/>
      <c r="GWL119" s="572"/>
      <c r="GWM119" s="573"/>
      <c r="GWN119" s="574"/>
      <c r="GWO119" s="575"/>
      <c r="GWP119" s="583"/>
      <c r="GWQ119" s="590"/>
      <c r="GWR119" s="589"/>
      <c r="GWS119" s="585"/>
      <c r="GWT119" s="577"/>
      <c r="GWU119" s="304"/>
      <c r="GWV119" s="572"/>
      <c r="GWW119" s="573"/>
      <c r="GWX119" s="574"/>
      <c r="GWY119" s="575"/>
      <c r="GWZ119" s="583"/>
      <c r="GXA119" s="590"/>
      <c r="GXB119" s="589"/>
      <c r="GXC119" s="585"/>
      <c r="GXD119" s="577"/>
      <c r="GXE119" s="304"/>
      <c r="GXF119" s="572"/>
      <c r="GXG119" s="573"/>
      <c r="GXH119" s="574"/>
      <c r="GXI119" s="575"/>
      <c r="GXJ119" s="583"/>
      <c r="GXK119" s="590"/>
      <c r="GXL119" s="589"/>
      <c r="GXM119" s="585"/>
      <c r="GXN119" s="577"/>
      <c r="GXO119" s="304"/>
      <c r="GXP119" s="572"/>
      <c r="GXQ119" s="573"/>
      <c r="GXR119" s="574"/>
      <c r="GXS119" s="575"/>
      <c r="GXT119" s="583"/>
      <c r="GXU119" s="590"/>
      <c r="GXV119" s="589"/>
      <c r="GXW119" s="585"/>
      <c r="GXX119" s="577"/>
      <c r="GXY119" s="304"/>
      <c r="GXZ119" s="572"/>
      <c r="GYA119" s="573"/>
      <c r="GYB119" s="574"/>
      <c r="GYC119" s="575"/>
      <c r="GYD119" s="583"/>
      <c r="GYE119" s="590"/>
      <c r="GYF119" s="589"/>
      <c r="GYG119" s="585"/>
      <c r="GYH119" s="577"/>
      <c r="GYI119" s="304"/>
      <c r="GYJ119" s="572"/>
      <c r="GYK119" s="573"/>
      <c r="GYL119" s="574"/>
      <c r="GYM119" s="575"/>
      <c r="GYN119" s="583"/>
      <c r="GYO119" s="590"/>
      <c r="GYP119" s="589"/>
      <c r="GYQ119" s="585"/>
      <c r="GYR119" s="577"/>
      <c r="GYS119" s="304"/>
      <c r="GYT119" s="572"/>
      <c r="GYU119" s="573"/>
      <c r="GYV119" s="574"/>
      <c r="GYW119" s="575"/>
      <c r="GYX119" s="583"/>
      <c r="GYY119" s="590"/>
      <c r="GYZ119" s="589"/>
      <c r="GZA119" s="585"/>
      <c r="GZB119" s="577"/>
      <c r="GZC119" s="304"/>
      <c r="GZD119" s="572"/>
      <c r="GZE119" s="573"/>
      <c r="GZF119" s="574"/>
      <c r="GZG119" s="575"/>
      <c r="GZH119" s="583"/>
      <c r="GZI119" s="590"/>
      <c r="GZJ119" s="589"/>
      <c r="GZK119" s="585"/>
      <c r="GZL119" s="577"/>
      <c r="GZM119" s="304"/>
      <c r="GZN119" s="572"/>
      <c r="GZO119" s="573"/>
      <c r="GZP119" s="574"/>
      <c r="GZQ119" s="575"/>
      <c r="GZR119" s="583"/>
      <c r="GZS119" s="590"/>
      <c r="GZT119" s="589"/>
      <c r="GZU119" s="585"/>
      <c r="GZV119" s="577"/>
      <c r="GZW119" s="304"/>
      <c r="GZX119" s="572"/>
      <c r="GZY119" s="573"/>
      <c r="GZZ119" s="574"/>
      <c r="HAA119" s="575"/>
      <c r="HAB119" s="583"/>
      <c r="HAC119" s="590"/>
      <c r="HAD119" s="589"/>
      <c r="HAE119" s="585"/>
      <c r="HAF119" s="577"/>
      <c r="HAG119" s="304"/>
      <c r="HAH119" s="572"/>
      <c r="HAI119" s="573"/>
      <c r="HAJ119" s="574"/>
      <c r="HAK119" s="575"/>
      <c r="HAL119" s="583"/>
      <c r="HAM119" s="590"/>
      <c r="HAN119" s="589"/>
      <c r="HAO119" s="585"/>
      <c r="HAP119" s="577"/>
      <c r="HAQ119" s="304"/>
      <c r="HAR119" s="572"/>
      <c r="HAS119" s="573"/>
      <c r="HAT119" s="574"/>
      <c r="HAU119" s="575"/>
      <c r="HAV119" s="583"/>
      <c r="HAW119" s="590"/>
      <c r="HAX119" s="589"/>
      <c r="HAY119" s="585"/>
      <c r="HAZ119" s="577"/>
      <c r="HBA119" s="304"/>
      <c r="HBB119" s="572"/>
      <c r="HBC119" s="573"/>
      <c r="HBD119" s="574"/>
      <c r="HBE119" s="575"/>
      <c r="HBF119" s="583"/>
      <c r="HBG119" s="590"/>
      <c r="HBH119" s="589"/>
      <c r="HBI119" s="585"/>
      <c r="HBJ119" s="577"/>
      <c r="HBK119" s="304"/>
      <c r="HBL119" s="572"/>
      <c r="HBM119" s="573"/>
      <c r="HBN119" s="574"/>
      <c r="HBO119" s="575"/>
      <c r="HBP119" s="583"/>
      <c r="HBQ119" s="590"/>
      <c r="HBR119" s="589"/>
      <c r="HBS119" s="585"/>
      <c r="HBT119" s="577"/>
      <c r="HBU119" s="304"/>
      <c r="HBV119" s="572"/>
      <c r="HBW119" s="573"/>
      <c r="HBX119" s="574"/>
      <c r="HBY119" s="575"/>
      <c r="HBZ119" s="583"/>
      <c r="HCA119" s="590"/>
      <c r="HCB119" s="589"/>
      <c r="HCC119" s="585"/>
      <c r="HCD119" s="577"/>
      <c r="HCE119" s="304"/>
      <c r="HCF119" s="572"/>
      <c r="HCG119" s="573"/>
      <c r="HCH119" s="574"/>
      <c r="HCI119" s="575"/>
      <c r="HCJ119" s="583"/>
      <c r="HCK119" s="590"/>
      <c r="HCL119" s="589"/>
      <c r="HCM119" s="585"/>
      <c r="HCN119" s="577"/>
      <c r="HCO119" s="304"/>
      <c r="HCP119" s="572"/>
      <c r="HCQ119" s="573"/>
      <c r="HCR119" s="574"/>
      <c r="HCS119" s="575"/>
      <c r="HCT119" s="583"/>
      <c r="HCU119" s="590"/>
      <c r="HCV119" s="589"/>
      <c r="HCW119" s="585"/>
      <c r="HCX119" s="577"/>
      <c r="HCY119" s="304"/>
      <c r="HCZ119" s="572"/>
      <c r="HDA119" s="573"/>
      <c r="HDB119" s="574"/>
      <c r="HDC119" s="575"/>
      <c r="HDD119" s="583"/>
      <c r="HDE119" s="590"/>
      <c r="HDF119" s="589"/>
      <c r="HDG119" s="585"/>
      <c r="HDH119" s="577"/>
      <c r="HDI119" s="304"/>
      <c r="HDJ119" s="572"/>
      <c r="HDK119" s="573"/>
      <c r="HDL119" s="574"/>
      <c r="HDM119" s="575"/>
      <c r="HDN119" s="583"/>
      <c r="HDO119" s="590"/>
      <c r="HDP119" s="589"/>
      <c r="HDQ119" s="585"/>
      <c r="HDR119" s="577"/>
      <c r="HDS119" s="304"/>
      <c r="HDT119" s="572"/>
      <c r="HDU119" s="573"/>
      <c r="HDV119" s="574"/>
      <c r="HDW119" s="575"/>
      <c r="HDX119" s="583"/>
      <c r="HDY119" s="590"/>
      <c r="HDZ119" s="589"/>
      <c r="HEA119" s="585"/>
      <c r="HEB119" s="577"/>
      <c r="HEC119" s="304"/>
      <c r="HED119" s="572"/>
      <c r="HEE119" s="573"/>
      <c r="HEF119" s="574"/>
      <c r="HEG119" s="575"/>
      <c r="HEH119" s="583"/>
      <c r="HEI119" s="590"/>
      <c r="HEJ119" s="589"/>
      <c r="HEK119" s="585"/>
      <c r="HEL119" s="577"/>
      <c r="HEM119" s="304"/>
      <c r="HEN119" s="572"/>
      <c r="HEO119" s="573"/>
      <c r="HEP119" s="574"/>
      <c r="HEQ119" s="575"/>
      <c r="HER119" s="583"/>
      <c r="HES119" s="590"/>
      <c r="HET119" s="589"/>
      <c r="HEU119" s="585"/>
      <c r="HEV119" s="577"/>
      <c r="HEW119" s="304"/>
      <c r="HEX119" s="572"/>
      <c r="HEY119" s="573"/>
      <c r="HEZ119" s="574"/>
      <c r="HFA119" s="575"/>
      <c r="HFB119" s="583"/>
      <c r="HFC119" s="590"/>
      <c r="HFD119" s="589"/>
      <c r="HFE119" s="585"/>
      <c r="HFF119" s="577"/>
      <c r="HFG119" s="304"/>
      <c r="HFH119" s="572"/>
      <c r="HFI119" s="573"/>
      <c r="HFJ119" s="574"/>
      <c r="HFK119" s="575"/>
      <c r="HFL119" s="583"/>
      <c r="HFM119" s="590"/>
      <c r="HFN119" s="589"/>
      <c r="HFO119" s="585"/>
      <c r="HFP119" s="577"/>
      <c r="HFQ119" s="304"/>
      <c r="HFR119" s="572"/>
      <c r="HFS119" s="573"/>
      <c r="HFT119" s="574"/>
      <c r="HFU119" s="575"/>
      <c r="HFV119" s="583"/>
      <c r="HFW119" s="590"/>
      <c r="HFX119" s="589"/>
      <c r="HFY119" s="585"/>
      <c r="HFZ119" s="577"/>
      <c r="HGA119" s="304"/>
      <c r="HGB119" s="572"/>
      <c r="HGC119" s="573"/>
      <c r="HGD119" s="574"/>
      <c r="HGE119" s="575"/>
      <c r="HGF119" s="583"/>
      <c r="HGG119" s="590"/>
      <c r="HGH119" s="589"/>
      <c r="HGI119" s="585"/>
      <c r="HGJ119" s="577"/>
      <c r="HGK119" s="304"/>
      <c r="HGL119" s="572"/>
      <c r="HGM119" s="573"/>
      <c r="HGN119" s="574"/>
      <c r="HGO119" s="575"/>
      <c r="HGP119" s="583"/>
      <c r="HGQ119" s="590"/>
      <c r="HGR119" s="589"/>
      <c r="HGS119" s="585"/>
      <c r="HGT119" s="577"/>
      <c r="HGU119" s="304"/>
      <c r="HGV119" s="572"/>
      <c r="HGW119" s="573"/>
      <c r="HGX119" s="574"/>
      <c r="HGY119" s="575"/>
      <c r="HGZ119" s="583"/>
      <c r="HHA119" s="590"/>
      <c r="HHB119" s="589"/>
      <c r="HHC119" s="585"/>
      <c r="HHD119" s="577"/>
      <c r="HHE119" s="304"/>
      <c r="HHF119" s="572"/>
      <c r="HHG119" s="573"/>
      <c r="HHH119" s="574"/>
      <c r="HHI119" s="575"/>
      <c r="HHJ119" s="583"/>
      <c r="HHK119" s="590"/>
      <c r="HHL119" s="589"/>
      <c r="HHM119" s="585"/>
      <c r="HHN119" s="577"/>
      <c r="HHO119" s="304"/>
      <c r="HHP119" s="572"/>
      <c r="HHQ119" s="573"/>
      <c r="HHR119" s="574"/>
      <c r="HHS119" s="575"/>
      <c r="HHT119" s="583"/>
      <c r="HHU119" s="590"/>
      <c r="HHV119" s="589"/>
      <c r="HHW119" s="585"/>
      <c r="HHX119" s="577"/>
      <c r="HHY119" s="304"/>
      <c r="HHZ119" s="572"/>
      <c r="HIA119" s="573"/>
      <c r="HIB119" s="574"/>
      <c r="HIC119" s="575"/>
      <c r="HID119" s="583"/>
      <c r="HIE119" s="590"/>
      <c r="HIF119" s="589"/>
      <c r="HIG119" s="585"/>
      <c r="HIH119" s="577"/>
      <c r="HII119" s="304"/>
      <c r="HIJ119" s="572"/>
      <c r="HIK119" s="573"/>
      <c r="HIL119" s="574"/>
      <c r="HIM119" s="575"/>
      <c r="HIN119" s="583"/>
      <c r="HIO119" s="590"/>
      <c r="HIP119" s="589"/>
      <c r="HIQ119" s="585"/>
      <c r="HIR119" s="577"/>
      <c r="HIS119" s="304"/>
      <c r="HIT119" s="572"/>
      <c r="HIU119" s="573"/>
      <c r="HIV119" s="574"/>
      <c r="HIW119" s="575"/>
      <c r="HIX119" s="583"/>
      <c r="HIY119" s="590"/>
      <c r="HIZ119" s="589"/>
      <c r="HJA119" s="585"/>
      <c r="HJB119" s="577"/>
      <c r="HJC119" s="304"/>
      <c r="HJD119" s="572"/>
      <c r="HJE119" s="573"/>
      <c r="HJF119" s="574"/>
      <c r="HJG119" s="575"/>
      <c r="HJH119" s="583"/>
      <c r="HJI119" s="590"/>
      <c r="HJJ119" s="589"/>
      <c r="HJK119" s="585"/>
      <c r="HJL119" s="577"/>
      <c r="HJM119" s="304"/>
      <c r="HJN119" s="572"/>
      <c r="HJO119" s="573"/>
      <c r="HJP119" s="574"/>
      <c r="HJQ119" s="575"/>
      <c r="HJR119" s="583"/>
      <c r="HJS119" s="590"/>
      <c r="HJT119" s="589"/>
      <c r="HJU119" s="585"/>
      <c r="HJV119" s="577"/>
      <c r="HJW119" s="304"/>
      <c r="HJX119" s="572"/>
      <c r="HJY119" s="573"/>
      <c r="HJZ119" s="574"/>
      <c r="HKA119" s="575"/>
      <c r="HKB119" s="583"/>
      <c r="HKC119" s="590"/>
      <c r="HKD119" s="589"/>
      <c r="HKE119" s="585"/>
      <c r="HKF119" s="577"/>
      <c r="HKG119" s="304"/>
      <c r="HKH119" s="572"/>
      <c r="HKI119" s="573"/>
      <c r="HKJ119" s="574"/>
      <c r="HKK119" s="575"/>
      <c r="HKL119" s="583"/>
      <c r="HKM119" s="590"/>
      <c r="HKN119" s="589"/>
      <c r="HKO119" s="585"/>
      <c r="HKP119" s="577"/>
      <c r="HKQ119" s="304"/>
      <c r="HKR119" s="572"/>
      <c r="HKS119" s="573"/>
      <c r="HKT119" s="574"/>
      <c r="HKU119" s="575"/>
      <c r="HKV119" s="583"/>
      <c r="HKW119" s="590"/>
      <c r="HKX119" s="589"/>
      <c r="HKY119" s="585"/>
      <c r="HKZ119" s="577"/>
      <c r="HLA119" s="304"/>
      <c r="HLB119" s="572"/>
      <c r="HLC119" s="573"/>
      <c r="HLD119" s="574"/>
      <c r="HLE119" s="575"/>
      <c r="HLF119" s="583"/>
      <c r="HLG119" s="590"/>
      <c r="HLH119" s="589"/>
      <c r="HLI119" s="585"/>
      <c r="HLJ119" s="577"/>
      <c r="HLK119" s="304"/>
      <c r="HLL119" s="572"/>
      <c r="HLM119" s="573"/>
      <c r="HLN119" s="574"/>
      <c r="HLO119" s="575"/>
      <c r="HLP119" s="583"/>
      <c r="HLQ119" s="590"/>
      <c r="HLR119" s="589"/>
      <c r="HLS119" s="585"/>
      <c r="HLT119" s="577"/>
      <c r="HLU119" s="304"/>
      <c r="HLV119" s="572"/>
      <c r="HLW119" s="573"/>
      <c r="HLX119" s="574"/>
      <c r="HLY119" s="575"/>
      <c r="HLZ119" s="583"/>
      <c r="HMA119" s="590"/>
      <c r="HMB119" s="589"/>
      <c r="HMC119" s="585"/>
      <c r="HMD119" s="577"/>
      <c r="HME119" s="304"/>
      <c r="HMF119" s="572"/>
      <c r="HMG119" s="573"/>
      <c r="HMH119" s="574"/>
      <c r="HMI119" s="575"/>
      <c r="HMJ119" s="583"/>
      <c r="HMK119" s="590"/>
      <c r="HML119" s="589"/>
      <c r="HMM119" s="585"/>
      <c r="HMN119" s="577"/>
      <c r="HMO119" s="304"/>
      <c r="HMP119" s="572"/>
      <c r="HMQ119" s="573"/>
      <c r="HMR119" s="574"/>
      <c r="HMS119" s="575"/>
      <c r="HMT119" s="583"/>
      <c r="HMU119" s="590"/>
      <c r="HMV119" s="589"/>
      <c r="HMW119" s="585"/>
      <c r="HMX119" s="577"/>
      <c r="HMY119" s="304"/>
      <c r="HMZ119" s="572"/>
      <c r="HNA119" s="573"/>
      <c r="HNB119" s="574"/>
      <c r="HNC119" s="575"/>
      <c r="HND119" s="583"/>
      <c r="HNE119" s="590"/>
      <c r="HNF119" s="589"/>
      <c r="HNG119" s="585"/>
      <c r="HNH119" s="577"/>
      <c r="HNI119" s="304"/>
      <c r="HNJ119" s="572"/>
      <c r="HNK119" s="573"/>
      <c r="HNL119" s="574"/>
      <c r="HNM119" s="575"/>
      <c r="HNN119" s="583"/>
      <c r="HNO119" s="590"/>
      <c r="HNP119" s="589"/>
      <c r="HNQ119" s="585"/>
      <c r="HNR119" s="577"/>
      <c r="HNS119" s="304"/>
      <c r="HNT119" s="572"/>
      <c r="HNU119" s="573"/>
      <c r="HNV119" s="574"/>
      <c r="HNW119" s="575"/>
      <c r="HNX119" s="583"/>
      <c r="HNY119" s="590"/>
      <c r="HNZ119" s="589"/>
      <c r="HOA119" s="585"/>
      <c r="HOB119" s="577"/>
      <c r="HOC119" s="304"/>
      <c r="HOD119" s="572"/>
      <c r="HOE119" s="573"/>
      <c r="HOF119" s="574"/>
      <c r="HOG119" s="575"/>
      <c r="HOH119" s="583"/>
      <c r="HOI119" s="590"/>
      <c r="HOJ119" s="589"/>
      <c r="HOK119" s="585"/>
      <c r="HOL119" s="577"/>
      <c r="HOM119" s="304"/>
      <c r="HON119" s="572"/>
      <c r="HOO119" s="573"/>
      <c r="HOP119" s="574"/>
      <c r="HOQ119" s="575"/>
      <c r="HOR119" s="583"/>
      <c r="HOS119" s="590"/>
      <c r="HOT119" s="589"/>
      <c r="HOU119" s="585"/>
      <c r="HOV119" s="577"/>
      <c r="HOW119" s="304"/>
      <c r="HOX119" s="572"/>
      <c r="HOY119" s="573"/>
      <c r="HOZ119" s="574"/>
      <c r="HPA119" s="575"/>
      <c r="HPB119" s="583"/>
      <c r="HPC119" s="590"/>
      <c r="HPD119" s="589"/>
      <c r="HPE119" s="585"/>
      <c r="HPF119" s="577"/>
      <c r="HPG119" s="304"/>
      <c r="HPH119" s="572"/>
      <c r="HPI119" s="573"/>
      <c r="HPJ119" s="574"/>
      <c r="HPK119" s="575"/>
      <c r="HPL119" s="583"/>
      <c r="HPM119" s="590"/>
      <c r="HPN119" s="589"/>
      <c r="HPO119" s="585"/>
      <c r="HPP119" s="577"/>
      <c r="HPQ119" s="304"/>
      <c r="HPR119" s="572"/>
      <c r="HPS119" s="573"/>
      <c r="HPT119" s="574"/>
      <c r="HPU119" s="575"/>
      <c r="HPV119" s="583"/>
      <c r="HPW119" s="590"/>
      <c r="HPX119" s="589"/>
      <c r="HPY119" s="585"/>
      <c r="HPZ119" s="577"/>
      <c r="HQA119" s="304"/>
      <c r="HQB119" s="572"/>
      <c r="HQC119" s="573"/>
      <c r="HQD119" s="574"/>
      <c r="HQE119" s="575"/>
      <c r="HQF119" s="583"/>
      <c r="HQG119" s="590"/>
      <c r="HQH119" s="589"/>
      <c r="HQI119" s="585"/>
      <c r="HQJ119" s="577"/>
      <c r="HQK119" s="304"/>
      <c r="HQL119" s="572"/>
      <c r="HQM119" s="573"/>
      <c r="HQN119" s="574"/>
      <c r="HQO119" s="575"/>
      <c r="HQP119" s="583"/>
      <c r="HQQ119" s="590"/>
      <c r="HQR119" s="589"/>
      <c r="HQS119" s="585"/>
      <c r="HQT119" s="577"/>
      <c r="HQU119" s="304"/>
      <c r="HQV119" s="572"/>
      <c r="HQW119" s="573"/>
      <c r="HQX119" s="574"/>
      <c r="HQY119" s="575"/>
      <c r="HQZ119" s="583"/>
      <c r="HRA119" s="590"/>
      <c r="HRB119" s="589"/>
      <c r="HRC119" s="585"/>
      <c r="HRD119" s="577"/>
      <c r="HRE119" s="304"/>
      <c r="HRF119" s="572"/>
      <c r="HRG119" s="573"/>
      <c r="HRH119" s="574"/>
      <c r="HRI119" s="575"/>
      <c r="HRJ119" s="583"/>
      <c r="HRK119" s="590"/>
      <c r="HRL119" s="589"/>
      <c r="HRM119" s="585"/>
      <c r="HRN119" s="577"/>
      <c r="HRO119" s="304"/>
      <c r="HRP119" s="572"/>
      <c r="HRQ119" s="573"/>
      <c r="HRR119" s="574"/>
      <c r="HRS119" s="575"/>
      <c r="HRT119" s="583"/>
      <c r="HRU119" s="590"/>
      <c r="HRV119" s="589"/>
      <c r="HRW119" s="585"/>
      <c r="HRX119" s="577"/>
      <c r="HRY119" s="304"/>
      <c r="HRZ119" s="572"/>
      <c r="HSA119" s="573"/>
      <c r="HSB119" s="574"/>
      <c r="HSC119" s="575"/>
      <c r="HSD119" s="583"/>
      <c r="HSE119" s="590"/>
      <c r="HSF119" s="589"/>
      <c r="HSG119" s="585"/>
      <c r="HSH119" s="577"/>
      <c r="HSI119" s="304"/>
      <c r="HSJ119" s="572"/>
      <c r="HSK119" s="573"/>
      <c r="HSL119" s="574"/>
      <c r="HSM119" s="575"/>
      <c r="HSN119" s="583"/>
      <c r="HSO119" s="590"/>
      <c r="HSP119" s="589"/>
      <c r="HSQ119" s="585"/>
      <c r="HSR119" s="577"/>
      <c r="HSS119" s="304"/>
      <c r="HST119" s="572"/>
      <c r="HSU119" s="573"/>
      <c r="HSV119" s="574"/>
      <c r="HSW119" s="575"/>
      <c r="HSX119" s="583"/>
      <c r="HSY119" s="590"/>
      <c r="HSZ119" s="589"/>
      <c r="HTA119" s="585"/>
      <c r="HTB119" s="577"/>
      <c r="HTC119" s="304"/>
      <c r="HTD119" s="572"/>
      <c r="HTE119" s="573"/>
      <c r="HTF119" s="574"/>
      <c r="HTG119" s="575"/>
      <c r="HTH119" s="583"/>
      <c r="HTI119" s="590"/>
      <c r="HTJ119" s="589"/>
      <c r="HTK119" s="585"/>
      <c r="HTL119" s="577"/>
      <c r="HTM119" s="304"/>
      <c r="HTN119" s="572"/>
      <c r="HTO119" s="573"/>
      <c r="HTP119" s="574"/>
      <c r="HTQ119" s="575"/>
      <c r="HTR119" s="583"/>
      <c r="HTS119" s="590"/>
      <c r="HTT119" s="589"/>
      <c r="HTU119" s="585"/>
      <c r="HTV119" s="577"/>
      <c r="HTW119" s="304"/>
      <c r="HTX119" s="572"/>
      <c r="HTY119" s="573"/>
      <c r="HTZ119" s="574"/>
      <c r="HUA119" s="575"/>
      <c r="HUB119" s="583"/>
      <c r="HUC119" s="590"/>
      <c r="HUD119" s="589"/>
      <c r="HUE119" s="585"/>
      <c r="HUF119" s="577"/>
      <c r="HUG119" s="304"/>
      <c r="HUH119" s="572"/>
      <c r="HUI119" s="573"/>
      <c r="HUJ119" s="574"/>
      <c r="HUK119" s="575"/>
      <c r="HUL119" s="583"/>
      <c r="HUM119" s="590"/>
      <c r="HUN119" s="589"/>
      <c r="HUO119" s="585"/>
      <c r="HUP119" s="577"/>
      <c r="HUQ119" s="304"/>
      <c r="HUR119" s="572"/>
      <c r="HUS119" s="573"/>
      <c r="HUT119" s="574"/>
      <c r="HUU119" s="575"/>
      <c r="HUV119" s="583"/>
      <c r="HUW119" s="590"/>
      <c r="HUX119" s="589"/>
      <c r="HUY119" s="585"/>
      <c r="HUZ119" s="577"/>
      <c r="HVA119" s="304"/>
      <c r="HVB119" s="572"/>
      <c r="HVC119" s="573"/>
      <c r="HVD119" s="574"/>
      <c r="HVE119" s="575"/>
      <c r="HVF119" s="583"/>
      <c r="HVG119" s="590"/>
      <c r="HVH119" s="589"/>
      <c r="HVI119" s="585"/>
      <c r="HVJ119" s="577"/>
      <c r="HVK119" s="304"/>
      <c r="HVL119" s="572"/>
      <c r="HVM119" s="573"/>
      <c r="HVN119" s="574"/>
      <c r="HVO119" s="575"/>
      <c r="HVP119" s="583"/>
      <c r="HVQ119" s="590"/>
      <c r="HVR119" s="589"/>
      <c r="HVS119" s="585"/>
      <c r="HVT119" s="577"/>
      <c r="HVU119" s="304"/>
      <c r="HVV119" s="572"/>
      <c r="HVW119" s="573"/>
      <c r="HVX119" s="574"/>
      <c r="HVY119" s="575"/>
      <c r="HVZ119" s="583"/>
      <c r="HWA119" s="590"/>
      <c r="HWB119" s="589"/>
      <c r="HWC119" s="585"/>
      <c r="HWD119" s="577"/>
      <c r="HWE119" s="304"/>
      <c r="HWF119" s="572"/>
      <c r="HWG119" s="573"/>
      <c r="HWH119" s="574"/>
      <c r="HWI119" s="575"/>
      <c r="HWJ119" s="583"/>
      <c r="HWK119" s="590"/>
      <c r="HWL119" s="589"/>
      <c r="HWM119" s="585"/>
      <c r="HWN119" s="577"/>
      <c r="HWO119" s="304"/>
      <c r="HWP119" s="572"/>
      <c r="HWQ119" s="573"/>
      <c r="HWR119" s="574"/>
      <c r="HWS119" s="575"/>
      <c r="HWT119" s="583"/>
      <c r="HWU119" s="590"/>
      <c r="HWV119" s="589"/>
      <c r="HWW119" s="585"/>
      <c r="HWX119" s="577"/>
      <c r="HWY119" s="304"/>
      <c r="HWZ119" s="572"/>
      <c r="HXA119" s="573"/>
      <c r="HXB119" s="574"/>
      <c r="HXC119" s="575"/>
      <c r="HXD119" s="583"/>
      <c r="HXE119" s="590"/>
      <c r="HXF119" s="589"/>
      <c r="HXG119" s="585"/>
      <c r="HXH119" s="577"/>
      <c r="HXI119" s="304"/>
      <c r="HXJ119" s="572"/>
      <c r="HXK119" s="573"/>
      <c r="HXL119" s="574"/>
      <c r="HXM119" s="575"/>
      <c r="HXN119" s="583"/>
      <c r="HXO119" s="590"/>
      <c r="HXP119" s="589"/>
      <c r="HXQ119" s="585"/>
      <c r="HXR119" s="577"/>
      <c r="HXS119" s="304"/>
      <c r="HXT119" s="572"/>
      <c r="HXU119" s="573"/>
      <c r="HXV119" s="574"/>
      <c r="HXW119" s="575"/>
      <c r="HXX119" s="583"/>
      <c r="HXY119" s="590"/>
      <c r="HXZ119" s="589"/>
      <c r="HYA119" s="585"/>
      <c r="HYB119" s="577"/>
      <c r="HYC119" s="304"/>
      <c r="HYD119" s="572"/>
      <c r="HYE119" s="573"/>
      <c r="HYF119" s="574"/>
      <c r="HYG119" s="575"/>
      <c r="HYH119" s="583"/>
      <c r="HYI119" s="590"/>
      <c r="HYJ119" s="589"/>
      <c r="HYK119" s="585"/>
      <c r="HYL119" s="577"/>
      <c r="HYM119" s="304"/>
      <c r="HYN119" s="572"/>
      <c r="HYO119" s="573"/>
      <c r="HYP119" s="574"/>
      <c r="HYQ119" s="575"/>
      <c r="HYR119" s="583"/>
      <c r="HYS119" s="590"/>
      <c r="HYT119" s="589"/>
      <c r="HYU119" s="585"/>
      <c r="HYV119" s="577"/>
      <c r="HYW119" s="304"/>
      <c r="HYX119" s="572"/>
      <c r="HYY119" s="573"/>
      <c r="HYZ119" s="574"/>
      <c r="HZA119" s="575"/>
      <c r="HZB119" s="583"/>
      <c r="HZC119" s="590"/>
      <c r="HZD119" s="589"/>
      <c r="HZE119" s="585"/>
      <c r="HZF119" s="577"/>
      <c r="HZG119" s="304"/>
      <c r="HZH119" s="572"/>
      <c r="HZI119" s="573"/>
      <c r="HZJ119" s="574"/>
      <c r="HZK119" s="575"/>
      <c r="HZL119" s="583"/>
      <c r="HZM119" s="590"/>
      <c r="HZN119" s="589"/>
      <c r="HZO119" s="585"/>
      <c r="HZP119" s="577"/>
      <c r="HZQ119" s="304"/>
      <c r="HZR119" s="572"/>
      <c r="HZS119" s="573"/>
      <c r="HZT119" s="574"/>
      <c r="HZU119" s="575"/>
      <c r="HZV119" s="583"/>
      <c r="HZW119" s="590"/>
      <c r="HZX119" s="589"/>
      <c r="HZY119" s="585"/>
      <c r="HZZ119" s="577"/>
      <c r="IAA119" s="304"/>
      <c r="IAB119" s="572"/>
      <c r="IAC119" s="573"/>
      <c r="IAD119" s="574"/>
      <c r="IAE119" s="575"/>
      <c r="IAF119" s="583"/>
      <c r="IAG119" s="590"/>
      <c r="IAH119" s="589"/>
      <c r="IAI119" s="585"/>
      <c r="IAJ119" s="577"/>
      <c r="IAK119" s="304"/>
      <c r="IAL119" s="572"/>
      <c r="IAM119" s="573"/>
      <c r="IAN119" s="574"/>
      <c r="IAO119" s="575"/>
      <c r="IAP119" s="583"/>
      <c r="IAQ119" s="590"/>
      <c r="IAR119" s="589"/>
      <c r="IAS119" s="585"/>
      <c r="IAT119" s="577"/>
      <c r="IAU119" s="304"/>
      <c r="IAV119" s="572"/>
      <c r="IAW119" s="573"/>
      <c r="IAX119" s="574"/>
      <c r="IAY119" s="575"/>
      <c r="IAZ119" s="583"/>
      <c r="IBA119" s="590"/>
      <c r="IBB119" s="589"/>
      <c r="IBC119" s="585"/>
      <c r="IBD119" s="577"/>
      <c r="IBE119" s="304"/>
      <c r="IBF119" s="572"/>
      <c r="IBG119" s="573"/>
      <c r="IBH119" s="574"/>
      <c r="IBI119" s="575"/>
      <c r="IBJ119" s="583"/>
      <c r="IBK119" s="590"/>
      <c r="IBL119" s="589"/>
      <c r="IBM119" s="585"/>
      <c r="IBN119" s="577"/>
      <c r="IBO119" s="304"/>
      <c r="IBP119" s="572"/>
      <c r="IBQ119" s="573"/>
      <c r="IBR119" s="574"/>
      <c r="IBS119" s="575"/>
      <c r="IBT119" s="583"/>
      <c r="IBU119" s="590"/>
      <c r="IBV119" s="589"/>
      <c r="IBW119" s="585"/>
      <c r="IBX119" s="577"/>
      <c r="IBY119" s="304"/>
      <c r="IBZ119" s="572"/>
      <c r="ICA119" s="573"/>
      <c r="ICB119" s="574"/>
      <c r="ICC119" s="575"/>
      <c r="ICD119" s="583"/>
      <c r="ICE119" s="590"/>
      <c r="ICF119" s="589"/>
      <c r="ICG119" s="585"/>
      <c r="ICH119" s="577"/>
      <c r="ICI119" s="304"/>
      <c r="ICJ119" s="572"/>
      <c r="ICK119" s="573"/>
      <c r="ICL119" s="574"/>
      <c r="ICM119" s="575"/>
      <c r="ICN119" s="583"/>
      <c r="ICO119" s="590"/>
      <c r="ICP119" s="589"/>
      <c r="ICQ119" s="585"/>
      <c r="ICR119" s="577"/>
      <c r="ICS119" s="304"/>
      <c r="ICT119" s="572"/>
      <c r="ICU119" s="573"/>
      <c r="ICV119" s="574"/>
      <c r="ICW119" s="575"/>
      <c r="ICX119" s="583"/>
      <c r="ICY119" s="590"/>
      <c r="ICZ119" s="589"/>
      <c r="IDA119" s="585"/>
      <c r="IDB119" s="577"/>
      <c r="IDC119" s="304"/>
      <c r="IDD119" s="572"/>
      <c r="IDE119" s="573"/>
      <c r="IDF119" s="574"/>
      <c r="IDG119" s="575"/>
      <c r="IDH119" s="583"/>
      <c r="IDI119" s="590"/>
      <c r="IDJ119" s="589"/>
      <c r="IDK119" s="585"/>
      <c r="IDL119" s="577"/>
      <c r="IDM119" s="304"/>
      <c r="IDN119" s="572"/>
      <c r="IDO119" s="573"/>
      <c r="IDP119" s="574"/>
      <c r="IDQ119" s="575"/>
      <c r="IDR119" s="583"/>
      <c r="IDS119" s="590"/>
      <c r="IDT119" s="589"/>
      <c r="IDU119" s="585"/>
      <c r="IDV119" s="577"/>
      <c r="IDW119" s="304"/>
      <c r="IDX119" s="572"/>
      <c r="IDY119" s="573"/>
      <c r="IDZ119" s="574"/>
      <c r="IEA119" s="575"/>
      <c r="IEB119" s="583"/>
      <c r="IEC119" s="590"/>
      <c r="IED119" s="589"/>
      <c r="IEE119" s="585"/>
      <c r="IEF119" s="577"/>
      <c r="IEG119" s="304"/>
      <c r="IEH119" s="572"/>
      <c r="IEI119" s="573"/>
      <c r="IEJ119" s="574"/>
      <c r="IEK119" s="575"/>
      <c r="IEL119" s="583"/>
      <c r="IEM119" s="590"/>
      <c r="IEN119" s="589"/>
      <c r="IEO119" s="585"/>
      <c r="IEP119" s="577"/>
      <c r="IEQ119" s="304"/>
      <c r="IER119" s="572"/>
      <c r="IES119" s="573"/>
      <c r="IET119" s="574"/>
      <c r="IEU119" s="575"/>
      <c r="IEV119" s="583"/>
      <c r="IEW119" s="590"/>
      <c r="IEX119" s="589"/>
      <c r="IEY119" s="585"/>
      <c r="IEZ119" s="577"/>
      <c r="IFA119" s="304"/>
      <c r="IFB119" s="572"/>
      <c r="IFC119" s="573"/>
      <c r="IFD119" s="574"/>
      <c r="IFE119" s="575"/>
      <c r="IFF119" s="583"/>
      <c r="IFG119" s="590"/>
      <c r="IFH119" s="589"/>
      <c r="IFI119" s="585"/>
      <c r="IFJ119" s="577"/>
      <c r="IFK119" s="304"/>
      <c r="IFL119" s="572"/>
      <c r="IFM119" s="573"/>
      <c r="IFN119" s="574"/>
      <c r="IFO119" s="575"/>
      <c r="IFP119" s="583"/>
      <c r="IFQ119" s="590"/>
      <c r="IFR119" s="589"/>
      <c r="IFS119" s="585"/>
      <c r="IFT119" s="577"/>
      <c r="IFU119" s="304"/>
      <c r="IFV119" s="572"/>
      <c r="IFW119" s="573"/>
      <c r="IFX119" s="574"/>
      <c r="IFY119" s="575"/>
      <c r="IFZ119" s="583"/>
      <c r="IGA119" s="590"/>
      <c r="IGB119" s="589"/>
      <c r="IGC119" s="585"/>
      <c r="IGD119" s="577"/>
      <c r="IGE119" s="304"/>
      <c r="IGF119" s="572"/>
      <c r="IGG119" s="573"/>
      <c r="IGH119" s="574"/>
      <c r="IGI119" s="575"/>
      <c r="IGJ119" s="583"/>
      <c r="IGK119" s="590"/>
      <c r="IGL119" s="589"/>
      <c r="IGM119" s="585"/>
      <c r="IGN119" s="577"/>
      <c r="IGO119" s="304"/>
      <c r="IGP119" s="572"/>
      <c r="IGQ119" s="573"/>
      <c r="IGR119" s="574"/>
      <c r="IGS119" s="575"/>
      <c r="IGT119" s="583"/>
      <c r="IGU119" s="590"/>
      <c r="IGV119" s="589"/>
      <c r="IGW119" s="585"/>
      <c r="IGX119" s="577"/>
      <c r="IGY119" s="304"/>
      <c r="IGZ119" s="572"/>
      <c r="IHA119" s="573"/>
      <c r="IHB119" s="574"/>
      <c r="IHC119" s="575"/>
      <c r="IHD119" s="583"/>
      <c r="IHE119" s="590"/>
      <c r="IHF119" s="589"/>
      <c r="IHG119" s="585"/>
      <c r="IHH119" s="577"/>
      <c r="IHI119" s="304"/>
      <c r="IHJ119" s="572"/>
      <c r="IHK119" s="573"/>
      <c r="IHL119" s="574"/>
      <c r="IHM119" s="575"/>
      <c r="IHN119" s="583"/>
      <c r="IHO119" s="590"/>
      <c r="IHP119" s="589"/>
      <c r="IHQ119" s="585"/>
      <c r="IHR119" s="577"/>
      <c r="IHS119" s="304"/>
      <c r="IHT119" s="572"/>
      <c r="IHU119" s="573"/>
      <c r="IHV119" s="574"/>
      <c r="IHW119" s="575"/>
      <c r="IHX119" s="583"/>
      <c r="IHY119" s="590"/>
      <c r="IHZ119" s="589"/>
      <c r="IIA119" s="585"/>
      <c r="IIB119" s="577"/>
      <c r="IIC119" s="304"/>
      <c r="IID119" s="572"/>
      <c r="IIE119" s="573"/>
      <c r="IIF119" s="574"/>
      <c r="IIG119" s="575"/>
      <c r="IIH119" s="583"/>
      <c r="III119" s="590"/>
      <c r="IIJ119" s="589"/>
      <c r="IIK119" s="585"/>
      <c r="IIL119" s="577"/>
      <c r="IIM119" s="304"/>
      <c r="IIN119" s="572"/>
      <c r="IIO119" s="573"/>
      <c r="IIP119" s="574"/>
      <c r="IIQ119" s="575"/>
      <c r="IIR119" s="583"/>
      <c r="IIS119" s="590"/>
      <c r="IIT119" s="589"/>
      <c r="IIU119" s="585"/>
      <c r="IIV119" s="577"/>
      <c r="IIW119" s="304"/>
      <c r="IIX119" s="572"/>
      <c r="IIY119" s="573"/>
      <c r="IIZ119" s="574"/>
      <c r="IJA119" s="575"/>
      <c r="IJB119" s="583"/>
      <c r="IJC119" s="590"/>
      <c r="IJD119" s="589"/>
      <c r="IJE119" s="585"/>
      <c r="IJF119" s="577"/>
      <c r="IJG119" s="304"/>
      <c r="IJH119" s="572"/>
      <c r="IJI119" s="573"/>
      <c r="IJJ119" s="574"/>
      <c r="IJK119" s="575"/>
      <c r="IJL119" s="583"/>
      <c r="IJM119" s="590"/>
      <c r="IJN119" s="589"/>
      <c r="IJO119" s="585"/>
      <c r="IJP119" s="577"/>
      <c r="IJQ119" s="304"/>
      <c r="IJR119" s="572"/>
      <c r="IJS119" s="573"/>
      <c r="IJT119" s="574"/>
      <c r="IJU119" s="575"/>
      <c r="IJV119" s="583"/>
      <c r="IJW119" s="590"/>
      <c r="IJX119" s="589"/>
      <c r="IJY119" s="585"/>
      <c r="IJZ119" s="577"/>
      <c r="IKA119" s="304"/>
      <c r="IKB119" s="572"/>
      <c r="IKC119" s="573"/>
      <c r="IKD119" s="574"/>
      <c r="IKE119" s="575"/>
      <c r="IKF119" s="583"/>
      <c r="IKG119" s="590"/>
      <c r="IKH119" s="589"/>
      <c r="IKI119" s="585"/>
      <c r="IKJ119" s="577"/>
      <c r="IKK119" s="304"/>
      <c r="IKL119" s="572"/>
      <c r="IKM119" s="573"/>
      <c r="IKN119" s="574"/>
      <c r="IKO119" s="575"/>
      <c r="IKP119" s="583"/>
      <c r="IKQ119" s="590"/>
      <c r="IKR119" s="589"/>
      <c r="IKS119" s="585"/>
      <c r="IKT119" s="577"/>
      <c r="IKU119" s="304"/>
      <c r="IKV119" s="572"/>
      <c r="IKW119" s="573"/>
      <c r="IKX119" s="574"/>
      <c r="IKY119" s="575"/>
      <c r="IKZ119" s="583"/>
      <c r="ILA119" s="590"/>
      <c r="ILB119" s="589"/>
      <c r="ILC119" s="585"/>
      <c r="ILD119" s="577"/>
      <c r="ILE119" s="304"/>
      <c r="ILF119" s="572"/>
      <c r="ILG119" s="573"/>
      <c r="ILH119" s="574"/>
      <c r="ILI119" s="575"/>
      <c r="ILJ119" s="583"/>
      <c r="ILK119" s="590"/>
      <c r="ILL119" s="589"/>
      <c r="ILM119" s="585"/>
      <c r="ILN119" s="577"/>
      <c r="ILO119" s="304"/>
      <c r="ILP119" s="572"/>
      <c r="ILQ119" s="573"/>
      <c r="ILR119" s="574"/>
      <c r="ILS119" s="575"/>
      <c r="ILT119" s="583"/>
      <c r="ILU119" s="590"/>
      <c r="ILV119" s="589"/>
      <c r="ILW119" s="585"/>
      <c r="ILX119" s="577"/>
      <c r="ILY119" s="304"/>
      <c r="ILZ119" s="572"/>
      <c r="IMA119" s="573"/>
      <c r="IMB119" s="574"/>
      <c r="IMC119" s="575"/>
      <c r="IMD119" s="583"/>
      <c r="IME119" s="590"/>
      <c r="IMF119" s="589"/>
      <c r="IMG119" s="585"/>
      <c r="IMH119" s="577"/>
      <c r="IMI119" s="304"/>
      <c r="IMJ119" s="572"/>
      <c r="IMK119" s="573"/>
      <c r="IML119" s="574"/>
      <c r="IMM119" s="575"/>
      <c r="IMN119" s="583"/>
      <c r="IMO119" s="590"/>
      <c r="IMP119" s="589"/>
      <c r="IMQ119" s="585"/>
      <c r="IMR119" s="577"/>
      <c r="IMS119" s="304"/>
      <c r="IMT119" s="572"/>
      <c r="IMU119" s="573"/>
      <c r="IMV119" s="574"/>
      <c r="IMW119" s="575"/>
      <c r="IMX119" s="583"/>
      <c r="IMY119" s="590"/>
      <c r="IMZ119" s="589"/>
      <c r="INA119" s="585"/>
      <c r="INB119" s="577"/>
      <c r="INC119" s="304"/>
      <c r="IND119" s="572"/>
      <c r="INE119" s="573"/>
      <c r="INF119" s="574"/>
      <c r="ING119" s="575"/>
      <c r="INH119" s="583"/>
      <c r="INI119" s="590"/>
      <c r="INJ119" s="589"/>
      <c r="INK119" s="585"/>
      <c r="INL119" s="577"/>
      <c r="INM119" s="304"/>
      <c r="INN119" s="572"/>
      <c r="INO119" s="573"/>
      <c r="INP119" s="574"/>
      <c r="INQ119" s="575"/>
      <c r="INR119" s="583"/>
      <c r="INS119" s="590"/>
      <c r="INT119" s="589"/>
      <c r="INU119" s="585"/>
      <c r="INV119" s="577"/>
      <c r="INW119" s="304"/>
      <c r="INX119" s="572"/>
      <c r="INY119" s="573"/>
      <c r="INZ119" s="574"/>
      <c r="IOA119" s="575"/>
      <c r="IOB119" s="583"/>
      <c r="IOC119" s="590"/>
      <c r="IOD119" s="589"/>
      <c r="IOE119" s="585"/>
      <c r="IOF119" s="577"/>
      <c r="IOG119" s="304"/>
      <c r="IOH119" s="572"/>
      <c r="IOI119" s="573"/>
      <c r="IOJ119" s="574"/>
      <c r="IOK119" s="575"/>
      <c r="IOL119" s="583"/>
      <c r="IOM119" s="590"/>
      <c r="ION119" s="589"/>
      <c r="IOO119" s="585"/>
      <c r="IOP119" s="577"/>
      <c r="IOQ119" s="304"/>
      <c r="IOR119" s="572"/>
      <c r="IOS119" s="573"/>
      <c r="IOT119" s="574"/>
      <c r="IOU119" s="575"/>
      <c r="IOV119" s="583"/>
      <c r="IOW119" s="590"/>
      <c r="IOX119" s="589"/>
      <c r="IOY119" s="585"/>
      <c r="IOZ119" s="577"/>
      <c r="IPA119" s="304"/>
      <c r="IPB119" s="572"/>
      <c r="IPC119" s="573"/>
      <c r="IPD119" s="574"/>
      <c r="IPE119" s="575"/>
      <c r="IPF119" s="583"/>
      <c r="IPG119" s="590"/>
      <c r="IPH119" s="589"/>
      <c r="IPI119" s="585"/>
      <c r="IPJ119" s="577"/>
      <c r="IPK119" s="304"/>
      <c r="IPL119" s="572"/>
      <c r="IPM119" s="573"/>
      <c r="IPN119" s="574"/>
      <c r="IPO119" s="575"/>
      <c r="IPP119" s="583"/>
      <c r="IPQ119" s="590"/>
      <c r="IPR119" s="589"/>
      <c r="IPS119" s="585"/>
      <c r="IPT119" s="577"/>
      <c r="IPU119" s="304"/>
      <c r="IPV119" s="572"/>
      <c r="IPW119" s="573"/>
      <c r="IPX119" s="574"/>
      <c r="IPY119" s="575"/>
      <c r="IPZ119" s="583"/>
      <c r="IQA119" s="590"/>
      <c r="IQB119" s="589"/>
      <c r="IQC119" s="585"/>
      <c r="IQD119" s="577"/>
      <c r="IQE119" s="304"/>
      <c r="IQF119" s="572"/>
      <c r="IQG119" s="573"/>
      <c r="IQH119" s="574"/>
      <c r="IQI119" s="575"/>
      <c r="IQJ119" s="583"/>
      <c r="IQK119" s="590"/>
      <c r="IQL119" s="589"/>
      <c r="IQM119" s="585"/>
      <c r="IQN119" s="577"/>
      <c r="IQO119" s="304"/>
      <c r="IQP119" s="572"/>
      <c r="IQQ119" s="573"/>
      <c r="IQR119" s="574"/>
      <c r="IQS119" s="575"/>
      <c r="IQT119" s="583"/>
      <c r="IQU119" s="590"/>
      <c r="IQV119" s="589"/>
      <c r="IQW119" s="585"/>
      <c r="IQX119" s="577"/>
      <c r="IQY119" s="304"/>
      <c r="IQZ119" s="572"/>
      <c r="IRA119" s="573"/>
      <c r="IRB119" s="574"/>
      <c r="IRC119" s="575"/>
      <c r="IRD119" s="583"/>
      <c r="IRE119" s="590"/>
      <c r="IRF119" s="589"/>
      <c r="IRG119" s="585"/>
      <c r="IRH119" s="577"/>
      <c r="IRI119" s="304"/>
      <c r="IRJ119" s="572"/>
      <c r="IRK119" s="573"/>
      <c r="IRL119" s="574"/>
      <c r="IRM119" s="575"/>
      <c r="IRN119" s="583"/>
      <c r="IRO119" s="590"/>
      <c r="IRP119" s="589"/>
      <c r="IRQ119" s="585"/>
      <c r="IRR119" s="577"/>
      <c r="IRS119" s="304"/>
      <c r="IRT119" s="572"/>
      <c r="IRU119" s="573"/>
      <c r="IRV119" s="574"/>
      <c r="IRW119" s="575"/>
      <c r="IRX119" s="583"/>
      <c r="IRY119" s="590"/>
      <c r="IRZ119" s="589"/>
      <c r="ISA119" s="585"/>
      <c r="ISB119" s="577"/>
      <c r="ISC119" s="304"/>
      <c r="ISD119" s="572"/>
      <c r="ISE119" s="573"/>
      <c r="ISF119" s="574"/>
      <c r="ISG119" s="575"/>
      <c r="ISH119" s="583"/>
      <c r="ISI119" s="590"/>
      <c r="ISJ119" s="589"/>
      <c r="ISK119" s="585"/>
      <c r="ISL119" s="577"/>
      <c r="ISM119" s="304"/>
      <c r="ISN119" s="572"/>
      <c r="ISO119" s="573"/>
      <c r="ISP119" s="574"/>
      <c r="ISQ119" s="575"/>
      <c r="ISR119" s="583"/>
      <c r="ISS119" s="590"/>
      <c r="IST119" s="589"/>
      <c r="ISU119" s="585"/>
      <c r="ISV119" s="577"/>
      <c r="ISW119" s="304"/>
      <c r="ISX119" s="572"/>
      <c r="ISY119" s="573"/>
      <c r="ISZ119" s="574"/>
      <c r="ITA119" s="575"/>
      <c r="ITB119" s="583"/>
      <c r="ITC119" s="590"/>
      <c r="ITD119" s="589"/>
      <c r="ITE119" s="585"/>
      <c r="ITF119" s="577"/>
      <c r="ITG119" s="304"/>
      <c r="ITH119" s="572"/>
      <c r="ITI119" s="573"/>
      <c r="ITJ119" s="574"/>
      <c r="ITK119" s="575"/>
      <c r="ITL119" s="583"/>
      <c r="ITM119" s="590"/>
      <c r="ITN119" s="589"/>
      <c r="ITO119" s="585"/>
      <c r="ITP119" s="577"/>
      <c r="ITQ119" s="304"/>
      <c r="ITR119" s="572"/>
      <c r="ITS119" s="573"/>
      <c r="ITT119" s="574"/>
      <c r="ITU119" s="575"/>
      <c r="ITV119" s="583"/>
      <c r="ITW119" s="590"/>
      <c r="ITX119" s="589"/>
      <c r="ITY119" s="585"/>
      <c r="ITZ119" s="577"/>
      <c r="IUA119" s="304"/>
      <c r="IUB119" s="572"/>
      <c r="IUC119" s="573"/>
      <c r="IUD119" s="574"/>
      <c r="IUE119" s="575"/>
      <c r="IUF119" s="583"/>
      <c r="IUG119" s="590"/>
      <c r="IUH119" s="589"/>
      <c r="IUI119" s="585"/>
      <c r="IUJ119" s="577"/>
      <c r="IUK119" s="304"/>
      <c r="IUL119" s="572"/>
      <c r="IUM119" s="573"/>
      <c r="IUN119" s="574"/>
      <c r="IUO119" s="575"/>
      <c r="IUP119" s="583"/>
      <c r="IUQ119" s="590"/>
      <c r="IUR119" s="589"/>
      <c r="IUS119" s="585"/>
      <c r="IUT119" s="577"/>
      <c r="IUU119" s="304"/>
      <c r="IUV119" s="572"/>
      <c r="IUW119" s="573"/>
      <c r="IUX119" s="574"/>
      <c r="IUY119" s="575"/>
      <c r="IUZ119" s="583"/>
      <c r="IVA119" s="590"/>
      <c r="IVB119" s="589"/>
      <c r="IVC119" s="585"/>
      <c r="IVD119" s="577"/>
      <c r="IVE119" s="304"/>
      <c r="IVF119" s="572"/>
      <c r="IVG119" s="573"/>
      <c r="IVH119" s="574"/>
      <c r="IVI119" s="575"/>
      <c r="IVJ119" s="583"/>
      <c r="IVK119" s="590"/>
      <c r="IVL119" s="589"/>
      <c r="IVM119" s="585"/>
      <c r="IVN119" s="577"/>
      <c r="IVO119" s="304"/>
      <c r="IVP119" s="572"/>
      <c r="IVQ119" s="573"/>
      <c r="IVR119" s="574"/>
      <c r="IVS119" s="575"/>
      <c r="IVT119" s="583"/>
      <c r="IVU119" s="590"/>
      <c r="IVV119" s="589"/>
      <c r="IVW119" s="585"/>
      <c r="IVX119" s="577"/>
      <c r="IVY119" s="304"/>
      <c r="IVZ119" s="572"/>
      <c r="IWA119" s="573"/>
      <c r="IWB119" s="574"/>
      <c r="IWC119" s="575"/>
      <c r="IWD119" s="583"/>
      <c r="IWE119" s="590"/>
      <c r="IWF119" s="589"/>
      <c r="IWG119" s="585"/>
      <c r="IWH119" s="577"/>
      <c r="IWI119" s="304"/>
      <c r="IWJ119" s="572"/>
      <c r="IWK119" s="573"/>
      <c r="IWL119" s="574"/>
      <c r="IWM119" s="575"/>
      <c r="IWN119" s="583"/>
      <c r="IWO119" s="590"/>
      <c r="IWP119" s="589"/>
      <c r="IWQ119" s="585"/>
      <c r="IWR119" s="577"/>
      <c r="IWS119" s="304"/>
      <c r="IWT119" s="572"/>
      <c r="IWU119" s="573"/>
      <c r="IWV119" s="574"/>
      <c r="IWW119" s="575"/>
      <c r="IWX119" s="583"/>
      <c r="IWY119" s="590"/>
      <c r="IWZ119" s="589"/>
      <c r="IXA119" s="585"/>
      <c r="IXB119" s="577"/>
      <c r="IXC119" s="304"/>
      <c r="IXD119" s="572"/>
      <c r="IXE119" s="573"/>
      <c r="IXF119" s="574"/>
      <c r="IXG119" s="575"/>
      <c r="IXH119" s="583"/>
      <c r="IXI119" s="590"/>
      <c r="IXJ119" s="589"/>
      <c r="IXK119" s="585"/>
      <c r="IXL119" s="577"/>
      <c r="IXM119" s="304"/>
      <c r="IXN119" s="572"/>
      <c r="IXO119" s="573"/>
      <c r="IXP119" s="574"/>
      <c r="IXQ119" s="575"/>
      <c r="IXR119" s="583"/>
      <c r="IXS119" s="590"/>
      <c r="IXT119" s="589"/>
      <c r="IXU119" s="585"/>
      <c r="IXV119" s="577"/>
      <c r="IXW119" s="304"/>
      <c r="IXX119" s="572"/>
      <c r="IXY119" s="573"/>
      <c r="IXZ119" s="574"/>
      <c r="IYA119" s="575"/>
      <c r="IYB119" s="583"/>
      <c r="IYC119" s="590"/>
      <c r="IYD119" s="589"/>
      <c r="IYE119" s="585"/>
      <c r="IYF119" s="577"/>
      <c r="IYG119" s="304"/>
      <c r="IYH119" s="572"/>
      <c r="IYI119" s="573"/>
      <c r="IYJ119" s="574"/>
      <c r="IYK119" s="575"/>
      <c r="IYL119" s="583"/>
      <c r="IYM119" s="590"/>
      <c r="IYN119" s="589"/>
      <c r="IYO119" s="585"/>
      <c r="IYP119" s="577"/>
      <c r="IYQ119" s="304"/>
      <c r="IYR119" s="572"/>
      <c r="IYS119" s="573"/>
      <c r="IYT119" s="574"/>
      <c r="IYU119" s="575"/>
      <c r="IYV119" s="583"/>
      <c r="IYW119" s="590"/>
      <c r="IYX119" s="589"/>
      <c r="IYY119" s="585"/>
      <c r="IYZ119" s="577"/>
      <c r="IZA119" s="304"/>
      <c r="IZB119" s="572"/>
      <c r="IZC119" s="573"/>
      <c r="IZD119" s="574"/>
      <c r="IZE119" s="575"/>
      <c r="IZF119" s="583"/>
      <c r="IZG119" s="590"/>
      <c r="IZH119" s="589"/>
      <c r="IZI119" s="585"/>
      <c r="IZJ119" s="577"/>
      <c r="IZK119" s="304"/>
      <c r="IZL119" s="572"/>
      <c r="IZM119" s="573"/>
      <c r="IZN119" s="574"/>
      <c r="IZO119" s="575"/>
      <c r="IZP119" s="583"/>
      <c r="IZQ119" s="590"/>
      <c r="IZR119" s="589"/>
      <c r="IZS119" s="585"/>
      <c r="IZT119" s="577"/>
      <c r="IZU119" s="304"/>
      <c r="IZV119" s="572"/>
      <c r="IZW119" s="573"/>
      <c r="IZX119" s="574"/>
      <c r="IZY119" s="575"/>
      <c r="IZZ119" s="583"/>
      <c r="JAA119" s="590"/>
      <c r="JAB119" s="589"/>
      <c r="JAC119" s="585"/>
      <c r="JAD119" s="577"/>
      <c r="JAE119" s="304"/>
      <c r="JAF119" s="572"/>
      <c r="JAG119" s="573"/>
      <c r="JAH119" s="574"/>
      <c r="JAI119" s="575"/>
      <c r="JAJ119" s="583"/>
      <c r="JAK119" s="590"/>
      <c r="JAL119" s="589"/>
      <c r="JAM119" s="585"/>
      <c r="JAN119" s="577"/>
      <c r="JAO119" s="304"/>
      <c r="JAP119" s="572"/>
      <c r="JAQ119" s="573"/>
      <c r="JAR119" s="574"/>
      <c r="JAS119" s="575"/>
      <c r="JAT119" s="583"/>
      <c r="JAU119" s="590"/>
      <c r="JAV119" s="589"/>
      <c r="JAW119" s="585"/>
      <c r="JAX119" s="577"/>
      <c r="JAY119" s="304"/>
      <c r="JAZ119" s="572"/>
      <c r="JBA119" s="573"/>
      <c r="JBB119" s="574"/>
      <c r="JBC119" s="575"/>
      <c r="JBD119" s="583"/>
      <c r="JBE119" s="590"/>
      <c r="JBF119" s="589"/>
      <c r="JBG119" s="585"/>
      <c r="JBH119" s="577"/>
      <c r="JBI119" s="304"/>
      <c r="JBJ119" s="572"/>
      <c r="JBK119" s="573"/>
      <c r="JBL119" s="574"/>
      <c r="JBM119" s="575"/>
      <c r="JBN119" s="583"/>
      <c r="JBO119" s="590"/>
      <c r="JBP119" s="589"/>
      <c r="JBQ119" s="585"/>
      <c r="JBR119" s="577"/>
      <c r="JBS119" s="304"/>
      <c r="JBT119" s="572"/>
      <c r="JBU119" s="573"/>
      <c r="JBV119" s="574"/>
      <c r="JBW119" s="575"/>
      <c r="JBX119" s="583"/>
      <c r="JBY119" s="590"/>
      <c r="JBZ119" s="589"/>
      <c r="JCA119" s="585"/>
      <c r="JCB119" s="577"/>
      <c r="JCC119" s="304"/>
      <c r="JCD119" s="572"/>
      <c r="JCE119" s="573"/>
      <c r="JCF119" s="574"/>
      <c r="JCG119" s="575"/>
      <c r="JCH119" s="583"/>
      <c r="JCI119" s="590"/>
      <c r="JCJ119" s="589"/>
      <c r="JCK119" s="585"/>
      <c r="JCL119" s="577"/>
      <c r="JCM119" s="304"/>
      <c r="JCN119" s="572"/>
      <c r="JCO119" s="573"/>
      <c r="JCP119" s="574"/>
      <c r="JCQ119" s="575"/>
      <c r="JCR119" s="583"/>
      <c r="JCS119" s="590"/>
      <c r="JCT119" s="589"/>
      <c r="JCU119" s="585"/>
      <c r="JCV119" s="577"/>
      <c r="JCW119" s="304"/>
      <c r="JCX119" s="572"/>
      <c r="JCY119" s="573"/>
      <c r="JCZ119" s="574"/>
      <c r="JDA119" s="575"/>
      <c r="JDB119" s="583"/>
      <c r="JDC119" s="590"/>
      <c r="JDD119" s="589"/>
      <c r="JDE119" s="585"/>
      <c r="JDF119" s="577"/>
      <c r="JDG119" s="304"/>
      <c r="JDH119" s="572"/>
      <c r="JDI119" s="573"/>
      <c r="JDJ119" s="574"/>
      <c r="JDK119" s="575"/>
      <c r="JDL119" s="583"/>
      <c r="JDM119" s="590"/>
      <c r="JDN119" s="589"/>
      <c r="JDO119" s="585"/>
      <c r="JDP119" s="577"/>
      <c r="JDQ119" s="304"/>
      <c r="JDR119" s="572"/>
      <c r="JDS119" s="573"/>
      <c r="JDT119" s="574"/>
      <c r="JDU119" s="575"/>
      <c r="JDV119" s="583"/>
      <c r="JDW119" s="590"/>
      <c r="JDX119" s="589"/>
      <c r="JDY119" s="585"/>
      <c r="JDZ119" s="577"/>
      <c r="JEA119" s="304"/>
      <c r="JEB119" s="572"/>
      <c r="JEC119" s="573"/>
      <c r="JED119" s="574"/>
      <c r="JEE119" s="575"/>
      <c r="JEF119" s="583"/>
      <c r="JEG119" s="590"/>
      <c r="JEH119" s="589"/>
      <c r="JEI119" s="585"/>
      <c r="JEJ119" s="577"/>
      <c r="JEK119" s="304"/>
      <c r="JEL119" s="572"/>
      <c r="JEM119" s="573"/>
      <c r="JEN119" s="574"/>
      <c r="JEO119" s="575"/>
      <c r="JEP119" s="583"/>
      <c r="JEQ119" s="590"/>
      <c r="JER119" s="589"/>
      <c r="JES119" s="585"/>
      <c r="JET119" s="577"/>
      <c r="JEU119" s="304"/>
      <c r="JEV119" s="572"/>
      <c r="JEW119" s="573"/>
      <c r="JEX119" s="574"/>
      <c r="JEY119" s="575"/>
      <c r="JEZ119" s="583"/>
      <c r="JFA119" s="590"/>
      <c r="JFB119" s="589"/>
      <c r="JFC119" s="585"/>
      <c r="JFD119" s="577"/>
      <c r="JFE119" s="304"/>
      <c r="JFF119" s="572"/>
      <c r="JFG119" s="573"/>
      <c r="JFH119" s="574"/>
      <c r="JFI119" s="575"/>
      <c r="JFJ119" s="583"/>
      <c r="JFK119" s="590"/>
      <c r="JFL119" s="589"/>
      <c r="JFM119" s="585"/>
      <c r="JFN119" s="577"/>
      <c r="JFO119" s="304"/>
      <c r="JFP119" s="572"/>
      <c r="JFQ119" s="573"/>
      <c r="JFR119" s="574"/>
      <c r="JFS119" s="575"/>
      <c r="JFT119" s="583"/>
      <c r="JFU119" s="590"/>
      <c r="JFV119" s="589"/>
      <c r="JFW119" s="585"/>
      <c r="JFX119" s="577"/>
      <c r="JFY119" s="304"/>
      <c r="JFZ119" s="572"/>
      <c r="JGA119" s="573"/>
      <c r="JGB119" s="574"/>
      <c r="JGC119" s="575"/>
      <c r="JGD119" s="583"/>
      <c r="JGE119" s="590"/>
      <c r="JGF119" s="589"/>
      <c r="JGG119" s="585"/>
      <c r="JGH119" s="577"/>
      <c r="JGI119" s="304"/>
      <c r="JGJ119" s="572"/>
      <c r="JGK119" s="573"/>
      <c r="JGL119" s="574"/>
      <c r="JGM119" s="575"/>
      <c r="JGN119" s="583"/>
      <c r="JGO119" s="590"/>
      <c r="JGP119" s="589"/>
      <c r="JGQ119" s="585"/>
      <c r="JGR119" s="577"/>
      <c r="JGS119" s="304"/>
      <c r="JGT119" s="572"/>
      <c r="JGU119" s="573"/>
      <c r="JGV119" s="574"/>
      <c r="JGW119" s="575"/>
      <c r="JGX119" s="583"/>
      <c r="JGY119" s="590"/>
      <c r="JGZ119" s="589"/>
      <c r="JHA119" s="585"/>
      <c r="JHB119" s="577"/>
      <c r="JHC119" s="304"/>
      <c r="JHD119" s="572"/>
      <c r="JHE119" s="573"/>
      <c r="JHF119" s="574"/>
      <c r="JHG119" s="575"/>
      <c r="JHH119" s="583"/>
      <c r="JHI119" s="590"/>
      <c r="JHJ119" s="589"/>
      <c r="JHK119" s="585"/>
      <c r="JHL119" s="577"/>
      <c r="JHM119" s="304"/>
      <c r="JHN119" s="572"/>
      <c r="JHO119" s="573"/>
      <c r="JHP119" s="574"/>
      <c r="JHQ119" s="575"/>
      <c r="JHR119" s="583"/>
      <c r="JHS119" s="590"/>
      <c r="JHT119" s="589"/>
      <c r="JHU119" s="585"/>
      <c r="JHV119" s="577"/>
      <c r="JHW119" s="304"/>
      <c r="JHX119" s="572"/>
      <c r="JHY119" s="573"/>
      <c r="JHZ119" s="574"/>
      <c r="JIA119" s="575"/>
      <c r="JIB119" s="583"/>
      <c r="JIC119" s="590"/>
      <c r="JID119" s="589"/>
      <c r="JIE119" s="585"/>
      <c r="JIF119" s="577"/>
      <c r="JIG119" s="304"/>
      <c r="JIH119" s="572"/>
      <c r="JII119" s="573"/>
      <c r="JIJ119" s="574"/>
      <c r="JIK119" s="575"/>
      <c r="JIL119" s="583"/>
      <c r="JIM119" s="590"/>
      <c r="JIN119" s="589"/>
      <c r="JIO119" s="585"/>
      <c r="JIP119" s="577"/>
      <c r="JIQ119" s="304"/>
      <c r="JIR119" s="572"/>
      <c r="JIS119" s="573"/>
      <c r="JIT119" s="574"/>
      <c r="JIU119" s="575"/>
      <c r="JIV119" s="583"/>
      <c r="JIW119" s="590"/>
      <c r="JIX119" s="589"/>
      <c r="JIY119" s="585"/>
      <c r="JIZ119" s="577"/>
      <c r="JJA119" s="304"/>
      <c r="JJB119" s="572"/>
      <c r="JJC119" s="573"/>
      <c r="JJD119" s="574"/>
      <c r="JJE119" s="575"/>
      <c r="JJF119" s="583"/>
      <c r="JJG119" s="590"/>
      <c r="JJH119" s="589"/>
      <c r="JJI119" s="585"/>
      <c r="JJJ119" s="577"/>
      <c r="JJK119" s="304"/>
      <c r="JJL119" s="572"/>
      <c r="JJM119" s="573"/>
      <c r="JJN119" s="574"/>
      <c r="JJO119" s="575"/>
      <c r="JJP119" s="583"/>
      <c r="JJQ119" s="590"/>
      <c r="JJR119" s="589"/>
      <c r="JJS119" s="585"/>
      <c r="JJT119" s="577"/>
      <c r="JJU119" s="304"/>
      <c r="JJV119" s="572"/>
      <c r="JJW119" s="573"/>
      <c r="JJX119" s="574"/>
      <c r="JJY119" s="575"/>
      <c r="JJZ119" s="583"/>
      <c r="JKA119" s="590"/>
      <c r="JKB119" s="589"/>
      <c r="JKC119" s="585"/>
      <c r="JKD119" s="577"/>
      <c r="JKE119" s="304"/>
      <c r="JKF119" s="572"/>
      <c r="JKG119" s="573"/>
      <c r="JKH119" s="574"/>
      <c r="JKI119" s="575"/>
      <c r="JKJ119" s="583"/>
      <c r="JKK119" s="590"/>
      <c r="JKL119" s="589"/>
      <c r="JKM119" s="585"/>
      <c r="JKN119" s="577"/>
      <c r="JKO119" s="304"/>
      <c r="JKP119" s="572"/>
      <c r="JKQ119" s="573"/>
      <c r="JKR119" s="574"/>
      <c r="JKS119" s="575"/>
      <c r="JKT119" s="583"/>
      <c r="JKU119" s="590"/>
      <c r="JKV119" s="589"/>
      <c r="JKW119" s="585"/>
      <c r="JKX119" s="577"/>
      <c r="JKY119" s="304"/>
      <c r="JKZ119" s="572"/>
      <c r="JLA119" s="573"/>
      <c r="JLB119" s="574"/>
      <c r="JLC119" s="575"/>
      <c r="JLD119" s="583"/>
      <c r="JLE119" s="590"/>
      <c r="JLF119" s="589"/>
      <c r="JLG119" s="585"/>
      <c r="JLH119" s="577"/>
      <c r="JLI119" s="304"/>
      <c r="JLJ119" s="572"/>
      <c r="JLK119" s="573"/>
      <c r="JLL119" s="574"/>
      <c r="JLM119" s="575"/>
      <c r="JLN119" s="583"/>
      <c r="JLO119" s="590"/>
      <c r="JLP119" s="589"/>
      <c r="JLQ119" s="585"/>
      <c r="JLR119" s="577"/>
      <c r="JLS119" s="304"/>
      <c r="JLT119" s="572"/>
      <c r="JLU119" s="573"/>
      <c r="JLV119" s="574"/>
      <c r="JLW119" s="575"/>
      <c r="JLX119" s="583"/>
      <c r="JLY119" s="590"/>
      <c r="JLZ119" s="589"/>
      <c r="JMA119" s="585"/>
      <c r="JMB119" s="577"/>
      <c r="JMC119" s="304"/>
      <c r="JMD119" s="572"/>
      <c r="JME119" s="573"/>
      <c r="JMF119" s="574"/>
      <c r="JMG119" s="575"/>
      <c r="JMH119" s="583"/>
      <c r="JMI119" s="590"/>
      <c r="JMJ119" s="589"/>
      <c r="JMK119" s="585"/>
      <c r="JML119" s="577"/>
      <c r="JMM119" s="304"/>
      <c r="JMN119" s="572"/>
      <c r="JMO119" s="573"/>
      <c r="JMP119" s="574"/>
      <c r="JMQ119" s="575"/>
      <c r="JMR119" s="583"/>
      <c r="JMS119" s="590"/>
      <c r="JMT119" s="589"/>
      <c r="JMU119" s="585"/>
      <c r="JMV119" s="577"/>
      <c r="JMW119" s="304"/>
      <c r="JMX119" s="572"/>
      <c r="JMY119" s="573"/>
      <c r="JMZ119" s="574"/>
      <c r="JNA119" s="575"/>
      <c r="JNB119" s="583"/>
      <c r="JNC119" s="590"/>
      <c r="JND119" s="589"/>
      <c r="JNE119" s="585"/>
      <c r="JNF119" s="577"/>
      <c r="JNG119" s="304"/>
      <c r="JNH119" s="572"/>
      <c r="JNI119" s="573"/>
      <c r="JNJ119" s="574"/>
      <c r="JNK119" s="575"/>
      <c r="JNL119" s="583"/>
      <c r="JNM119" s="590"/>
      <c r="JNN119" s="589"/>
      <c r="JNO119" s="585"/>
      <c r="JNP119" s="577"/>
      <c r="JNQ119" s="304"/>
      <c r="JNR119" s="572"/>
      <c r="JNS119" s="573"/>
      <c r="JNT119" s="574"/>
      <c r="JNU119" s="575"/>
      <c r="JNV119" s="583"/>
      <c r="JNW119" s="590"/>
      <c r="JNX119" s="589"/>
      <c r="JNY119" s="585"/>
      <c r="JNZ119" s="577"/>
      <c r="JOA119" s="304"/>
      <c r="JOB119" s="572"/>
      <c r="JOC119" s="573"/>
      <c r="JOD119" s="574"/>
      <c r="JOE119" s="575"/>
      <c r="JOF119" s="583"/>
      <c r="JOG119" s="590"/>
      <c r="JOH119" s="589"/>
      <c r="JOI119" s="585"/>
      <c r="JOJ119" s="577"/>
      <c r="JOK119" s="304"/>
      <c r="JOL119" s="572"/>
      <c r="JOM119" s="573"/>
      <c r="JON119" s="574"/>
      <c r="JOO119" s="575"/>
      <c r="JOP119" s="583"/>
      <c r="JOQ119" s="590"/>
      <c r="JOR119" s="589"/>
      <c r="JOS119" s="585"/>
      <c r="JOT119" s="577"/>
      <c r="JOU119" s="304"/>
      <c r="JOV119" s="572"/>
      <c r="JOW119" s="573"/>
      <c r="JOX119" s="574"/>
      <c r="JOY119" s="575"/>
      <c r="JOZ119" s="583"/>
      <c r="JPA119" s="590"/>
      <c r="JPB119" s="589"/>
      <c r="JPC119" s="585"/>
      <c r="JPD119" s="577"/>
      <c r="JPE119" s="304"/>
      <c r="JPF119" s="572"/>
      <c r="JPG119" s="573"/>
      <c r="JPH119" s="574"/>
      <c r="JPI119" s="575"/>
      <c r="JPJ119" s="583"/>
      <c r="JPK119" s="590"/>
      <c r="JPL119" s="589"/>
      <c r="JPM119" s="585"/>
      <c r="JPN119" s="577"/>
      <c r="JPO119" s="304"/>
      <c r="JPP119" s="572"/>
      <c r="JPQ119" s="573"/>
      <c r="JPR119" s="574"/>
      <c r="JPS119" s="575"/>
      <c r="JPT119" s="583"/>
      <c r="JPU119" s="590"/>
      <c r="JPV119" s="589"/>
      <c r="JPW119" s="585"/>
      <c r="JPX119" s="577"/>
      <c r="JPY119" s="304"/>
      <c r="JPZ119" s="572"/>
      <c r="JQA119" s="573"/>
      <c r="JQB119" s="574"/>
      <c r="JQC119" s="575"/>
      <c r="JQD119" s="583"/>
      <c r="JQE119" s="590"/>
      <c r="JQF119" s="589"/>
      <c r="JQG119" s="585"/>
      <c r="JQH119" s="577"/>
      <c r="JQI119" s="304"/>
      <c r="JQJ119" s="572"/>
      <c r="JQK119" s="573"/>
      <c r="JQL119" s="574"/>
      <c r="JQM119" s="575"/>
      <c r="JQN119" s="583"/>
      <c r="JQO119" s="590"/>
      <c r="JQP119" s="589"/>
      <c r="JQQ119" s="585"/>
      <c r="JQR119" s="577"/>
      <c r="JQS119" s="304"/>
      <c r="JQT119" s="572"/>
      <c r="JQU119" s="573"/>
      <c r="JQV119" s="574"/>
      <c r="JQW119" s="575"/>
      <c r="JQX119" s="583"/>
      <c r="JQY119" s="590"/>
      <c r="JQZ119" s="589"/>
      <c r="JRA119" s="585"/>
      <c r="JRB119" s="577"/>
      <c r="JRC119" s="304"/>
      <c r="JRD119" s="572"/>
      <c r="JRE119" s="573"/>
      <c r="JRF119" s="574"/>
      <c r="JRG119" s="575"/>
      <c r="JRH119" s="583"/>
      <c r="JRI119" s="590"/>
      <c r="JRJ119" s="589"/>
      <c r="JRK119" s="585"/>
      <c r="JRL119" s="577"/>
      <c r="JRM119" s="304"/>
      <c r="JRN119" s="572"/>
      <c r="JRO119" s="573"/>
      <c r="JRP119" s="574"/>
      <c r="JRQ119" s="575"/>
      <c r="JRR119" s="583"/>
      <c r="JRS119" s="590"/>
      <c r="JRT119" s="589"/>
      <c r="JRU119" s="585"/>
      <c r="JRV119" s="577"/>
      <c r="JRW119" s="304"/>
      <c r="JRX119" s="572"/>
      <c r="JRY119" s="573"/>
      <c r="JRZ119" s="574"/>
      <c r="JSA119" s="575"/>
      <c r="JSB119" s="583"/>
      <c r="JSC119" s="590"/>
      <c r="JSD119" s="589"/>
      <c r="JSE119" s="585"/>
      <c r="JSF119" s="577"/>
      <c r="JSG119" s="304"/>
      <c r="JSH119" s="572"/>
      <c r="JSI119" s="573"/>
      <c r="JSJ119" s="574"/>
      <c r="JSK119" s="575"/>
      <c r="JSL119" s="583"/>
      <c r="JSM119" s="590"/>
      <c r="JSN119" s="589"/>
      <c r="JSO119" s="585"/>
      <c r="JSP119" s="577"/>
      <c r="JSQ119" s="304"/>
      <c r="JSR119" s="572"/>
      <c r="JSS119" s="573"/>
      <c r="JST119" s="574"/>
      <c r="JSU119" s="575"/>
      <c r="JSV119" s="583"/>
      <c r="JSW119" s="590"/>
      <c r="JSX119" s="589"/>
      <c r="JSY119" s="585"/>
      <c r="JSZ119" s="577"/>
      <c r="JTA119" s="304"/>
      <c r="JTB119" s="572"/>
      <c r="JTC119" s="573"/>
      <c r="JTD119" s="574"/>
      <c r="JTE119" s="575"/>
      <c r="JTF119" s="583"/>
      <c r="JTG119" s="590"/>
      <c r="JTH119" s="589"/>
      <c r="JTI119" s="585"/>
      <c r="JTJ119" s="577"/>
      <c r="JTK119" s="304"/>
      <c r="JTL119" s="572"/>
      <c r="JTM119" s="573"/>
      <c r="JTN119" s="574"/>
      <c r="JTO119" s="575"/>
      <c r="JTP119" s="583"/>
      <c r="JTQ119" s="590"/>
      <c r="JTR119" s="589"/>
      <c r="JTS119" s="585"/>
      <c r="JTT119" s="577"/>
      <c r="JTU119" s="304"/>
      <c r="JTV119" s="572"/>
      <c r="JTW119" s="573"/>
      <c r="JTX119" s="574"/>
      <c r="JTY119" s="575"/>
      <c r="JTZ119" s="583"/>
      <c r="JUA119" s="590"/>
      <c r="JUB119" s="589"/>
      <c r="JUC119" s="585"/>
      <c r="JUD119" s="577"/>
      <c r="JUE119" s="304"/>
      <c r="JUF119" s="572"/>
      <c r="JUG119" s="573"/>
      <c r="JUH119" s="574"/>
      <c r="JUI119" s="575"/>
      <c r="JUJ119" s="583"/>
      <c r="JUK119" s="590"/>
      <c r="JUL119" s="589"/>
      <c r="JUM119" s="585"/>
      <c r="JUN119" s="577"/>
      <c r="JUO119" s="304"/>
      <c r="JUP119" s="572"/>
      <c r="JUQ119" s="573"/>
      <c r="JUR119" s="574"/>
      <c r="JUS119" s="575"/>
      <c r="JUT119" s="583"/>
      <c r="JUU119" s="590"/>
      <c r="JUV119" s="589"/>
      <c r="JUW119" s="585"/>
      <c r="JUX119" s="577"/>
      <c r="JUY119" s="304"/>
      <c r="JUZ119" s="572"/>
      <c r="JVA119" s="573"/>
      <c r="JVB119" s="574"/>
      <c r="JVC119" s="575"/>
      <c r="JVD119" s="583"/>
      <c r="JVE119" s="590"/>
      <c r="JVF119" s="589"/>
      <c r="JVG119" s="585"/>
      <c r="JVH119" s="577"/>
      <c r="JVI119" s="304"/>
      <c r="JVJ119" s="572"/>
      <c r="JVK119" s="573"/>
      <c r="JVL119" s="574"/>
      <c r="JVM119" s="575"/>
      <c r="JVN119" s="583"/>
      <c r="JVO119" s="590"/>
      <c r="JVP119" s="589"/>
      <c r="JVQ119" s="585"/>
      <c r="JVR119" s="577"/>
      <c r="JVS119" s="304"/>
      <c r="JVT119" s="572"/>
      <c r="JVU119" s="573"/>
      <c r="JVV119" s="574"/>
      <c r="JVW119" s="575"/>
      <c r="JVX119" s="583"/>
      <c r="JVY119" s="590"/>
      <c r="JVZ119" s="589"/>
      <c r="JWA119" s="585"/>
      <c r="JWB119" s="577"/>
      <c r="JWC119" s="304"/>
      <c r="JWD119" s="572"/>
      <c r="JWE119" s="573"/>
      <c r="JWF119" s="574"/>
      <c r="JWG119" s="575"/>
      <c r="JWH119" s="583"/>
      <c r="JWI119" s="590"/>
      <c r="JWJ119" s="589"/>
      <c r="JWK119" s="585"/>
      <c r="JWL119" s="577"/>
      <c r="JWM119" s="304"/>
      <c r="JWN119" s="572"/>
      <c r="JWO119" s="573"/>
      <c r="JWP119" s="574"/>
      <c r="JWQ119" s="575"/>
      <c r="JWR119" s="583"/>
      <c r="JWS119" s="590"/>
      <c r="JWT119" s="589"/>
      <c r="JWU119" s="585"/>
      <c r="JWV119" s="577"/>
      <c r="JWW119" s="304"/>
      <c r="JWX119" s="572"/>
      <c r="JWY119" s="573"/>
      <c r="JWZ119" s="574"/>
      <c r="JXA119" s="575"/>
      <c r="JXB119" s="583"/>
      <c r="JXC119" s="590"/>
      <c r="JXD119" s="589"/>
      <c r="JXE119" s="585"/>
      <c r="JXF119" s="577"/>
      <c r="JXG119" s="304"/>
      <c r="JXH119" s="572"/>
      <c r="JXI119" s="573"/>
      <c r="JXJ119" s="574"/>
      <c r="JXK119" s="575"/>
      <c r="JXL119" s="583"/>
      <c r="JXM119" s="590"/>
      <c r="JXN119" s="589"/>
      <c r="JXO119" s="585"/>
      <c r="JXP119" s="577"/>
      <c r="JXQ119" s="304"/>
      <c r="JXR119" s="572"/>
      <c r="JXS119" s="573"/>
      <c r="JXT119" s="574"/>
      <c r="JXU119" s="575"/>
      <c r="JXV119" s="583"/>
      <c r="JXW119" s="590"/>
      <c r="JXX119" s="589"/>
      <c r="JXY119" s="585"/>
      <c r="JXZ119" s="577"/>
      <c r="JYA119" s="304"/>
      <c r="JYB119" s="572"/>
      <c r="JYC119" s="573"/>
      <c r="JYD119" s="574"/>
      <c r="JYE119" s="575"/>
      <c r="JYF119" s="583"/>
      <c r="JYG119" s="590"/>
      <c r="JYH119" s="589"/>
      <c r="JYI119" s="585"/>
      <c r="JYJ119" s="577"/>
      <c r="JYK119" s="304"/>
      <c r="JYL119" s="572"/>
      <c r="JYM119" s="573"/>
      <c r="JYN119" s="574"/>
      <c r="JYO119" s="575"/>
      <c r="JYP119" s="583"/>
      <c r="JYQ119" s="590"/>
      <c r="JYR119" s="589"/>
      <c r="JYS119" s="585"/>
      <c r="JYT119" s="577"/>
      <c r="JYU119" s="304"/>
      <c r="JYV119" s="572"/>
      <c r="JYW119" s="573"/>
      <c r="JYX119" s="574"/>
      <c r="JYY119" s="575"/>
      <c r="JYZ119" s="583"/>
      <c r="JZA119" s="590"/>
      <c r="JZB119" s="589"/>
      <c r="JZC119" s="585"/>
      <c r="JZD119" s="577"/>
      <c r="JZE119" s="304"/>
      <c r="JZF119" s="572"/>
      <c r="JZG119" s="573"/>
      <c r="JZH119" s="574"/>
      <c r="JZI119" s="575"/>
      <c r="JZJ119" s="583"/>
      <c r="JZK119" s="590"/>
      <c r="JZL119" s="589"/>
      <c r="JZM119" s="585"/>
      <c r="JZN119" s="577"/>
      <c r="JZO119" s="304"/>
      <c r="JZP119" s="572"/>
      <c r="JZQ119" s="573"/>
      <c r="JZR119" s="574"/>
      <c r="JZS119" s="575"/>
      <c r="JZT119" s="583"/>
      <c r="JZU119" s="590"/>
      <c r="JZV119" s="589"/>
      <c r="JZW119" s="585"/>
      <c r="JZX119" s="577"/>
      <c r="JZY119" s="304"/>
      <c r="JZZ119" s="572"/>
      <c r="KAA119" s="573"/>
      <c r="KAB119" s="574"/>
      <c r="KAC119" s="575"/>
      <c r="KAD119" s="583"/>
      <c r="KAE119" s="590"/>
      <c r="KAF119" s="589"/>
      <c r="KAG119" s="585"/>
      <c r="KAH119" s="577"/>
      <c r="KAI119" s="304"/>
      <c r="KAJ119" s="572"/>
      <c r="KAK119" s="573"/>
      <c r="KAL119" s="574"/>
      <c r="KAM119" s="575"/>
      <c r="KAN119" s="583"/>
      <c r="KAO119" s="590"/>
      <c r="KAP119" s="589"/>
      <c r="KAQ119" s="585"/>
      <c r="KAR119" s="577"/>
      <c r="KAS119" s="304"/>
      <c r="KAT119" s="572"/>
      <c r="KAU119" s="573"/>
      <c r="KAV119" s="574"/>
      <c r="KAW119" s="575"/>
      <c r="KAX119" s="583"/>
      <c r="KAY119" s="590"/>
      <c r="KAZ119" s="589"/>
      <c r="KBA119" s="585"/>
      <c r="KBB119" s="577"/>
      <c r="KBC119" s="304"/>
      <c r="KBD119" s="572"/>
      <c r="KBE119" s="573"/>
      <c r="KBF119" s="574"/>
      <c r="KBG119" s="575"/>
      <c r="KBH119" s="583"/>
      <c r="KBI119" s="590"/>
      <c r="KBJ119" s="589"/>
      <c r="KBK119" s="585"/>
      <c r="KBL119" s="577"/>
      <c r="KBM119" s="304"/>
      <c r="KBN119" s="572"/>
      <c r="KBO119" s="573"/>
      <c r="KBP119" s="574"/>
      <c r="KBQ119" s="575"/>
      <c r="KBR119" s="583"/>
      <c r="KBS119" s="590"/>
      <c r="KBT119" s="589"/>
      <c r="KBU119" s="585"/>
      <c r="KBV119" s="577"/>
      <c r="KBW119" s="304"/>
      <c r="KBX119" s="572"/>
      <c r="KBY119" s="573"/>
      <c r="KBZ119" s="574"/>
      <c r="KCA119" s="575"/>
      <c r="KCB119" s="583"/>
      <c r="KCC119" s="590"/>
      <c r="KCD119" s="589"/>
      <c r="KCE119" s="585"/>
      <c r="KCF119" s="577"/>
      <c r="KCG119" s="304"/>
      <c r="KCH119" s="572"/>
      <c r="KCI119" s="573"/>
      <c r="KCJ119" s="574"/>
      <c r="KCK119" s="575"/>
      <c r="KCL119" s="583"/>
      <c r="KCM119" s="590"/>
      <c r="KCN119" s="589"/>
      <c r="KCO119" s="585"/>
      <c r="KCP119" s="577"/>
      <c r="KCQ119" s="304"/>
      <c r="KCR119" s="572"/>
      <c r="KCS119" s="573"/>
      <c r="KCT119" s="574"/>
      <c r="KCU119" s="575"/>
      <c r="KCV119" s="583"/>
      <c r="KCW119" s="590"/>
      <c r="KCX119" s="589"/>
      <c r="KCY119" s="585"/>
      <c r="KCZ119" s="577"/>
      <c r="KDA119" s="304"/>
      <c r="KDB119" s="572"/>
      <c r="KDC119" s="573"/>
      <c r="KDD119" s="574"/>
      <c r="KDE119" s="575"/>
      <c r="KDF119" s="583"/>
      <c r="KDG119" s="590"/>
      <c r="KDH119" s="589"/>
      <c r="KDI119" s="585"/>
      <c r="KDJ119" s="577"/>
      <c r="KDK119" s="304"/>
      <c r="KDL119" s="572"/>
      <c r="KDM119" s="573"/>
      <c r="KDN119" s="574"/>
      <c r="KDO119" s="575"/>
      <c r="KDP119" s="583"/>
      <c r="KDQ119" s="590"/>
      <c r="KDR119" s="589"/>
      <c r="KDS119" s="585"/>
      <c r="KDT119" s="577"/>
      <c r="KDU119" s="304"/>
      <c r="KDV119" s="572"/>
      <c r="KDW119" s="573"/>
      <c r="KDX119" s="574"/>
      <c r="KDY119" s="575"/>
      <c r="KDZ119" s="583"/>
      <c r="KEA119" s="590"/>
      <c r="KEB119" s="589"/>
      <c r="KEC119" s="585"/>
      <c r="KED119" s="577"/>
      <c r="KEE119" s="304"/>
      <c r="KEF119" s="572"/>
      <c r="KEG119" s="573"/>
      <c r="KEH119" s="574"/>
      <c r="KEI119" s="575"/>
      <c r="KEJ119" s="583"/>
      <c r="KEK119" s="590"/>
      <c r="KEL119" s="589"/>
      <c r="KEM119" s="585"/>
      <c r="KEN119" s="577"/>
      <c r="KEO119" s="304"/>
      <c r="KEP119" s="572"/>
      <c r="KEQ119" s="573"/>
      <c r="KER119" s="574"/>
      <c r="KES119" s="575"/>
      <c r="KET119" s="583"/>
      <c r="KEU119" s="590"/>
      <c r="KEV119" s="589"/>
      <c r="KEW119" s="585"/>
      <c r="KEX119" s="577"/>
      <c r="KEY119" s="304"/>
      <c r="KEZ119" s="572"/>
      <c r="KFA119" s="573"/>
      <c r="KFB119" s="574"/>
      <c r="KFC119" s="575"/>
      <c r="KFD119" s="583"/>
      <c r="KFE119" s="590"/>
      <c r="KFF119" s="589"/>
      <c r="KFG119" s="585"/>
      <c r="KFH119" s="577"/>
      <c r="KFI119" s="304"/>
      <c r="KFJ119" s="572"/>
      <c r="KFK119" s="573"/>
      <c r="KFL119" s="574"/>
      <c r="KFM119" s="575"/>
      <c r="KFN119" s="583"/>
      <c r="KFO119" s="590"/>
      <c r="KFP119" s="589"/>
      <c r="KFQ119" s="585"/>
      <c r="KFR119" s="577"/>
      <c r="KFS119" s="304"/>
      <c r="KFT119" s="572"/>
      <c r="KFU119" s="573"/>
      <c r="KFV119" s="574"/>
      <c r="KFW119" s="575"/>
      <c r="KFX119" s="583"/>
      <c r="KFY119" s="590"/>
      <c r="KFZ119" s="589"/>
      <c r="KGA119" s="585"/>
      <c r="KGB119" s="577"/>
      <c r="KGC119" s="304"/>
      <c r="KGD119" s="572"/>
      <c r="KGE119" s="573"/>
      <c r="KGF119" s="574"/>
      <c r="KGG119" s="575"/>
      <c r="KGH119" s="583"/>
      <c r="KGI119" s="590"/>
      <c r="KGJ119" s="589"/>
      <c r="KGK119" s="585"/>
      <c r="KGL119" s="577"/>
      <c r="KGM119" s="304"/>
      <c r="KGN119" s="572"/>
      <c r="KGO119" s="573"/>
      <c r="KGP119" s="574"/>
      <c r="KGQ119" s="575"/>
      <c r="KGR119" s="583"/>
      <c r="KGS119" s="590"/>
      <c r="KGT119" s="589"/>
      <c r="KGU119" s="585"/>
      <c r="KGV119" s="577"/>
      <c r="KGW119" s="304"/>
      <c r="KGX119" s="572"/>
      <c r="KGY119" s="573"/>
      <c r="KGZ119" s="574"/>
      <c r="KHA119" s="575"/>
      <c r="KHB119" s="583"/>
      <c r="KHC119" s="590"/>
      <c r="KHD119" s="589"/>
      <c r="KHE119" s="585"/>
      <c r="KHF119" s="577"/>
      <c r="KHG119" s="304"/>
      <c r="KHH119" s="572"/>
      <c r="KHI119" s="573"/>
      <c r="KHJ119" s="574"/>
      <c r="KHK119" s="575"/>
      <c r="KHL119" s="583"/>
      <c r="KHM119" s="590"/>
      <c r="KHN119" s="589"/>
      <c r="KHO119" s="585"/>
      <c r="KHP119" s="577"/>
      <c r="KHQ119" s="304"/>
      <c r="KHR119" s="572"/>
      <c r="KHS119" s="573"/>
      <c r="KHT119" s="574"/>
      <c r="KHU119" s="575"/>
      <c r="KHV119" s="583"/>
      <c r="KHW119" s="590"/>
      <c r="KHX119" s="589"/>
      <c r="KHY119" s="585"/>
      <c r="KHZ119" s="577"/>
      <c r="KIA119" s="304"/>
      <c r="KIB119" s="572"/>
      <c r="KIC119" s="573"/>
      <c r="KID119" s="574"/>
      <c r="KIE119" s="575"/>
      <c r="KIF119" s="583"/>
      <c r="KIG119" s="590"/>
      <c r="KIH119" s="589"/>
      <c r="KII119" s="585"/>
      <c r="KIJ119" s="577"/>
      <c r="KIK119" s="304"/>
      <c r="KIL119" s="572"/>
      <c r="KIM119" s="573"/>
      <c r="KIN119" s="574"/>
      <c r="KIO119" s="575"/>
      <c r="KIP119" s="583"/>
      <c r="KIQ119" s="590"/>
      <c r="KIR119" s="589"/>
      <c r="KIS119" s="585"/>
      <c r="KIT119" s="577"/>
      <c r="KIU119" s="304"/>
      <c r="KIV119" s="572"/>
      <c r="KIW119" s="573"/>
      <c r="KIX119" s="574"/>
      <c r="KIY119" s="575"/>
      <c r="KIZ119" s="583"/>
      <c r="KJA119" s="590"/>
      <c r="KJB119" s="589"/>
      <c r="KJC119" s="585"/>
      <c r="KJD119" s="577"/>
      <c r="KJE119" s="304"/>
      <c r="KJF119" s="572"/>
      <c r="KJG119" s="573"/>
      <c r="KJH119" s="574"/>
      <c r="KJI119" s="575"/>
      <c r="KJJ119" s="583"/>
      <c r="KJK119" s="590"/>
      <c r="KJL119" s="589"/>
      <c r="KJM119" s="585"/>
      <c r="KJN119" s="577"/>
      <c r="KJO119" s="304"/>
      <c r="KJP119" s="572"/>
      <c r="KJQ119" s="573"/>
      <c r="KJR119" s="574"/>
      <c r="KJS119" s="575"/>
      <c r="KJT119" s="583"/>
      <c r="KJU119" s="590"/>
      <c r="KJV119" s="589"/>
      <c r="KJW119" s="585"/>
      <c r="KJX119" s="577"/>
      <c r="KJY119" s="304"/>
      <c r="KJZ119" s="572"/>
      <c r="KKA119" s="573"/>
      <c r="KKB119" s="574"/>
      <c r="KKC119" s="575"/>
      <c r="KKD119" s="583"/>
      <c r="KKE119" s="590"/>
      <c r="KKF119" s="589"/>
      <c r="KKG119" s="585"/>
      <c r="KKH119" s="577"/>
      <c r="KKI119" s="304"/>
      <c r="KKJ119" s="572"/>
      <c r="KKK119" s="573"/>
      <c r="KKL119" s="574"/>
      <c r="KKM119" s="575"/>
      <c r="KKN119" s="583"/>
      <c r="KKO119" s="590"/>
      <c r="KKP119" s="589"/>
      <c r="KKQ119" s="585"/>
      <c r="KKR119" s="577"/>
      <c r="KKS119" s="304"/>
      <c r="KKT119" s="572"/>
      <c r="KKU119" s="573"/>
      <c r="KKV119" s="574"/>
      <c r="KKW119" s="575"/>
      <c r="KKX119" s="583"/>
      <c r="KKY119" s="590"/>
      <c r="KKZ119" s="589"/>
      <c r="KLA119" s="585"/>
      <c r="KLB119" s="577"/>
      <c r="KLC119" s="304"/>
      <c r="KLD119" s="572"/>
      <c r="KLE119" s="573"/>
      <c r="KLF119" s="574"/>
      <c r="KLG119" s="575"/>
      <c r="KLH119" s="583"/>
      <c r="KLI119" s="590"/>
      <c r="KLJ119" s="589"/>
      <c r="KLK119" s="585"/>
      <c r="KLL119" s="577"/>
      <c r="KLM119" s="304"/>
      <c r="KLN119" s="572"/>
      <c r="KLO119" s="573"/>
      <c r="KLP119" s="574"/>
      <c r="KLQ119" s="575"/>
      <c r="KLR119" s="583"/>
      <c r="KLS119" s="590"/>
      <c r="KLT119" s="589"/>
      <c r="KLU119" s="585"/>
      <c r="KLV119" s="577"/>
      <c r="KLW119" s="304"/>
      <c r="KLX119" s="572"/>
      <c r="KLY119" s="573"/>
      <c r="KLZ119" s="574"/>
      <c r="KMA119" s="575"/>
      <c r="KMB119" s="583"/>
      <c r="KMC119" s="590"/>
      <c r="KMD119" s="589"/>
      <c r="KME119" s="585"/>
      <c r="KMF119" s="577"/>
      <c r="KMG119" s="304"/>
      <c r="KMH119" s="572"/>
      <c r="KMI119" s="573"/>
      <c r="KMJ119" s="574"/>
      <c r="KMK119" s="575"/>
      <c r="KML119" s="583"/>
      <c r="KMM119" s="590"/>
      <c r="KMN119" s="589"/>
      <c r="KMO119" s="585"/>
      <c r="KMP119" s="577"/>
      <c r="KMQ119" s="304"/>
      <c r="KMR119" s="572"/>
      <c r="KMS119" s="573"/>
      <c r="KMT119" s="574"/>
      <c r="KMU119" s="575"/>
      <c r="KMV119" s="583"/>
      <c r="KMW119" s="590"/>
      <c r="KMX119" s="589"/>
      <c r="KMY119" s="585"/>
      <c r="KMZ119" s="577"/>
      <c r="KNA119" s="304"/>
      <c r="KNB119" s="572"/>
      <c r="KNC119" s="573"/>
      <c r="KND119" s="574"/>
      <c r="KNE119" s="575"/>
      <c r="KNF119" s="583"/>
      <c r="KNG119" s="590"/>
      <c r="KNH119" s="589"/>
      <c r="KNI119" s="585"/>
      <c r="KNJ119" s="577"/>
      <c r="KNK119" s="304"/>
      <c r="KNL119" s="572"/>
      <c r="KNM119" s="573"/>
      <c r="KNN119" s="574"/>
      <c r="KNO119" s="575"/>
      <c r="KNP119" s="583"/>
      <c r="KNQ119" s="590"/>
      <c r="KNR119" s="589"/>
      <c r="KNS119" s="585"/>
      <c r="KNT119" s="577"/>
      <c r="KNU119" s="304"/>
      <c r="KNV119" s="572"/>
      <c r="KNW119" s="573"/>
      <c r="KNX119" s="574"/>
      <c r="KNY119" s="575"/>
      <c r="KNZ119" s="583"/>
      <c r="KOA119" s="590"/>
      <c r="KOB119" s="589"/>
      <c r="KOC119" s="585"/>
      <c r="KOD119" s="577"/>
      <c r="KOE119" s="304"/>
      <c r="KOF119" s="572"/>
      <c r="KOG119" s="573"/>
      <c r="KOH119" s="574"/>
      <c r="KOI119" s="575"/>
      <c r="KOJ119" s="583"/>
      <c r="KOK119" s="590"/>
      <c r="KOL119" s="589"/>
      <c r="KOM119" s="585"/>
      <c r="KON119" s="577"/>
      <c r="KOO119" s="304"/>
      <c r="KOP119" s="572"/>
      <c r="KOQ119" s="573"/>
      <c r="KOR119" s="574"/>
      <c r="KOS119" s="575"/>
      <c r="KOT119" s="583"/>
      <c r="KOU119" s="590"/>
      <c r="KOV119" s="589"/>
      <c r="KOW119" s="585"/>
      <c r="KOX119" s="577"/>
      <c r="KOY119" s="304"/>
      <c r="KOZ119" s="572"/>
      <c r="KPA119" s="573"/>
      <c r="KPB119" s="574"/>
      <c r="KPC119" s="575"/>
      <c r="KPD119" s="583"/>
      <c r="KPE119" s="590"/>
      <c r="KPF119" s="589"/>
      <c r="KPG119" s="585"/>
      <c r="KPH119" s="577"/>
      <c r="KPI119" s="304"/>
      <c r="KPJ119" s="572"/>
      <c r="KPK119" s="573"/>
      <c r="KPL119" s="574"/>
      <c r="KPM119" s="575"/>
      <c r="KPN119" s="583"/>
      <c r="KPO119" s="590"/>
      <c r="KPP119" s="589"/>
      <c r="KPQ119" s="585"/>
      <c r="KPR119" s="577"/>
      <c r="KPS119" s="304"/>
      <c r="KPT119" s="572"/>
      <c r="KPU119" s="573"/>
      <c r="KPV119" s="574"/>
      <c r="KPW119" s="575"/>
      <c r="KPX119" s="583"/>
      <c r="KPY119" s="590"/>
      <c r="KPZ119" s="589"/>
      <c r="KQA119" s="585"/>
      <c r="KQB119" s="577"/>
      <c r="KQC119" s="304"/>
      <c r="KQD119" s="572"/>
      <c r="KQE119" s="573"/>
      <c r="KQF119" s="574"/>
      <c r="KQG119" s="575"/>
      <c r="KQH119" s="583"/>
      <c r="KQI119" s="590"/>
      <c r="KQJ119" s="589"/>
      <c r="KQK119" s="585"/>
      <c r="KQL119" s="577"/>
      <c r="KQM119" s="304"/>
      <c r="KQN119" s="572"/>
      <c r="KQO119" s="573"/>
      <c r="KQP119" s="574"/>
      <c r="KQQ119" s="575"/>
      <c r="KQR119" s="583"/>
      <c r="KQS119" s="590"/>
      <c r="KQT119" s="589"/>
      <c r="KQU119" s="585"/>
      <c r="KQV119" s="577"/>
      <c r="KQW119" s="304"/>
      <c r="KQX119" s="572"/>
      <c r="KQY119" s="573"/>
      <c r="KQZ119" s="574"/>
      <c r="KRA119" s="575"/>
      <c r="KRB119" s="583"/>
      <c r="KRC119" s="590"/>
      <c r="KRD119" s="589"/>
      <c r="KRE119" s="585"/>
      <c r="KRF119" s="577"/>
      <c r="KRG119" s="304"/>
      <c r="KRH119" s="572"/>
      <c r="KRI119" s="573"/>
      <c r="KRJ119" s="574"/>
      <c r="KRK119" s="575"/>
      <c r="KRL119" s="583"/>
      <c r="KRM119" s="590"/>
      <c r="KRN119" s="589"/>
      <c r="KRO119" s="585"/>
      <c r="KRP119" s="577"/>
      <c r="KRQ119" s="304"/>
      <c r="KRR119" s="572"/>
      <c r="KRS119" s="573"/>
      <c r="KRT119" s="574"/>
      <c r="KRU119" s="575"/>
      <c r="KRV119" s="583"/>
      <c r="KRW119" s="590"/>
      <c r="KRX119" s="589"/>
      <c r="KRY119" s="585"/>
      <c r="KRZ119" s="577"/>
      <c r="KSA119" s="304"/>
      <c r="KSB119" s="572"/>
      <c r="KSC119" s="573"/>
      <c r="KSD119" s="574"/>
      <c r="KSE119" s="575"/>
      <c r="KSF119" s="583"/>
      <c r="KSG119" s="590"/>
      <c r="KSH119" s="589"/>
      <c r="KSI119" s="585"/>
      <c r="KSJ119" s="577"/>
      <c r="KSK119" s="304"/>
      <c r="KSL119" s="572"/>
      <c r="KSM119" s="573"/>
      <c r="KSN119" s="574"/>
      <c r="KSO119" s="575"/>
      <c r="KSP119" s="583"/>
      <c r="KSQ119" s="590"/>
      <c r="KSR119" s="589"/>
      <c r="KSS119" s="585"/>
      <c r="KST119" s="577"/>
      <c r="KSU119" s="304"/>
      <c r="KSV119" s="572"/>
      <c r="KSW119" s="573"/>
      <c r="KSX119" s="574"/>
      <c r="KSY119" s="575"/>
      <c r="KSZ119" s="583"/>
      <c r="KTA119" s="590"/>
      <c r="KTB119" s="589"/>
      <c r="KTC119" s="585"/>
      <c r="KTD119" s="577"/>
      <c r="KTE119" s="304"/>
      <c r="KTF119" s="572"/>
      <c r="KTG119" s="573"/>
      <c r="KTH119" s="574"/>
      <c r="KTI119" s="575"/>
      <c r="KTJ119" s="583"/>
      <c r="KTK119" s="590"/>
      <c r="KTL119" s="589"/>
      <c r="KTM119" s="585"/>
      <c r="KTN119" s="577"/>
      <c r="KTO119" s="304"/>
      <c r="KTP119" s="572"/>
      <c r="KTQ119" s="573"/>
      <c r="KTR119" s="574"/>
      <c r="KTS119" s="575"/>
      <c r="KTT119" s="583"/>
      <c r="KTU119" s="590"/>
      <c r="KTV119" s="589"/>
      <c r="KTW119" s="585"/>
      <c r="KTX119" s="577"/>
      <c r="KTY119" s="304"/>
      <c r="KTZ119" s="572"/>
      <c r="KUA119" s="573"/>
      <c r="KUB119" s="574"/>
      <c r="KUC119" s="575"/>
      <c r="KUD119" s="583"/>
      <c r="KUE119" s="590"/>
      <c r="KUF119" s="589"/>
      <c r="KUG119" s="585"/>
      <c r="KUH119" s="577"/>
      <c r="KUI119" s="304"/>
      <c r="KUJ119" s="572"/>
      <c r="KUK119" s="573"/>
      <c r="KUL119" s="574"/>
      <c r="KUM119" s="575"/>
      <c r="KUN119" s="583"/>
      <c r="KUO119" s="590"/>
      <c r="KUP119" s="589"/>
      <c r="KUQ119" s="585"/>
      <c r="KUR119" s="577"/>
      <c r="KUS119" s="304"/>
      <c r="KUT119" s="572"/>
      <c r="KUU119" s="573"/>
      <c r="KUV119" s="574"/>
      <c r="KUW119" s="575"/>
      <c r="KUX119" s="583"/>
      <c r="KUY119" s="590"/>
      <c r="KUZ119" s="589"/>
      <c r="KVA119" s="585"/>
      <c r="KVB119" s="577"/>
      <c r="KVC119" s="304"/>
      <c r="KVD119" s="572"/>
      <c r="KVE119" s="573"/>
      <c r="KVF119" s="574"/>
      <c r="KVG119" s="575"/>
      <c r="KVH119" s="583"/>
      <c r="KVI119" s="590"/>
      <c r="KVJ119" s="589"/>
      <c r="KVK119" s="585"/>
      <c r="KVL119" s="577"/>
      <c r="KVM119" s="304"/>
      <c r="KVN119" s="572"/>
      <c r="KVO119" s="573"/>
      <c r="KVP119" s="574"/>
      <c r="KVQ119" s="575"/>
      <c r="KVR119" s="583"/>
      <c r="KVS119" s="590"/>
      <c r="KVT119" s="589"/>
      <c r="KVU119" s="585"/>
      <c r="KVV119" s="577"/>
      <c r="KVW119" s="304"/>
      <c r="KVX119" s="572"/>
      <c r="KVY119" s="573"/>
      <c r="KVZ119" s="574"/>
      <c r="KWA119" s="575"/>
      <c r="KWB119" s="583"/>
      <c r="KWC119" s="590"/>
      <c r="KWD119" s="589"/>
      <c r="KWE119" s="585"/>
      <c r="KWF119" s="577"/>
      <c r="KWG119" s="304"/>
      <c r="KWH119" s="572"/>
      <c r="KWI119" s="573"/>
      <c r="KWJ119" s="574"/>
      <c r="KWK119" s="575"/>
      <c r="KWL119" s="583"/>
      <c r="KWM119" s="590"/>
      <c r="KWN119" s="589"/>
      <c r="KWO119" s="585"/>
      <c r="KWP119" s="577"/>
      <c r="KWQ119" s="304"/>
      <c r="KWR119" s="572"/>
      <c r="KWS119" s="573"/>
      <c r="KWT119" s="574"/>
      <c r="KWU119" s="575"/>
      <c r="KWV119" s="583"/>
      <c r="KWW119" s="590"/>
      <c r="KWX119" s="589"/>
      <c r="KWY119" s="585"/>
      <c r="KWZ119" s="577"/>
      <c r="KXA119" s="304"/>
      <c r="KXB119" s="572"/>
      <c r="KXC119" s="573"/>
      <c r="KXD119" s="574"/>
      <c r="KXE119" s="575"/>
      <c r="KXF119" s="583"/>
      <c r="KXG119" s="590"/>
      <c r="KXH119" s="589"/>
      <c r="KXI119" s="585"/>
      <c r="KXJ119" s="577"/>
      <c r="KXK119" s="304"/>
      <c r="KXL119" s="572"/>
      <c r="KXM119" s="573"/>
      <c r="KXN119" s="574"/>
      <c r="KXO119" s="575"/>
      <c r="KXP119" s="583"/>
      <c r="KXQ119" s="590"/>
      <c r="KXR119" s="589"/>
      <c r="KXS119" s="585"/>
      <c r="KXT119" s="577"/>
      <c r="KXU119" s="304"/>
      <c r="KXV119" s="572"/>
      <c r="KXW119" s="573"/>
      <c r="KXX119" s="574"/>
      <c r="KXY119" s="575"/>
      <c r="KXZ119" s="583"/>
      <c r="KYA119" s="590"/>
      <c r="KYB119" s="589"/>
      <c r="KYC119" s="585"/>
      <c r="KYD119" s="577"/>
      <c r="KYE119" s="304"/>
      <c r="KYF119" s="572"/>
      <c r="KYG119" s="573"/>
      <c r="KYH119" s="574"/>
      <c r="KYI119" s="575"/>
      <c r="KYJ119" s="583"/>
      <c r="KYK119" s="590"/>
      <c r="KYL119" s="589"/>
      <c r="KYM119" s="585"/>
      <c r="KYN119" s="577"/>
      <c r="KYO119" s="304"/>
      <c r="KYP119" s="572"/>
      <c r="KYQ119" s="573"/>
      <c r="KYR119" s="574"/>
      <c r="KYS119" s="575"/>
      <c r="KYT119" s="583"/>
      <c r="KYU119" s="590"/>
      <c r="KYV119" s="589"/>
      <c r="KYW119" s="585"/>
      <c r="KYX119" s="577"/>
      <c r="KYY119" s="304"/>
      <c r="KYZ119" s="572"/>
      <c r="KZA119" s="573"/>
      <c r="KZB119" s="574"/>
      <c r="KZC119" s="575"/>
      <c r="KZD119" s="583"/>
      <c r="KZE119" s="590"/>
      <c r="KZF119" s="589"/>
      <c r="KZG119" s="585"/>
      <c r="KZH119" s="577"/>
      <c r="KZI119" s="304"/>
      <c r="KZJ119" s="572"/>
      <c r="KZK119" s="573"/>
      <c r="KZL119" s="574"/>
      <c r="KZM119" s="575"/>
      <c r="KZN119" s="583"/>
      <c r="KZO119" s="590"/>
      <c r="KZP119" s="589"/>
      <c r="KZQ119" s="585"/>
      <c r="KZR119" s="577"/>
      <c r="KZS119" s="304"/>
      <c r="KZT119" s="572"/>
      <c r="KZU119" s="573"/>
      <c r="KZV119" s="574"/>
      <c r="KZW119" s="575"/>
      <c r="KZX119" s="583"/>
      <c r="KZY119" s="590"/>
      <c r="KZZ119" s="589"/>
      <c r="LAA119" s="585"/>
      <c r="LAB119" s="577"/>
      <c r="LAC119" s="304"/>
      <c r="LAD119" s="572"/>
      <c r="LAE119" s="573"/>
      <c r="LAF119" s="574"/>
      <c r="LAG119" s="575"/>
      <c r="LAH119" s="583"/>
      <c r="LAI119" s="590"/>
      <c r="LAJ119" s="589"/>
      <c r="LAK119" s="585"/>
      <c r="LAL119" s="577"/>
      <c r="LAM119" s="304"/>
      <c r="LAN119" s="572"/>
      <c r="LAO119" s="573"/>
      <c r="LAP119" s="574"/>
      <c r="LAQ119" s="575"/>
      <c r="LAR119" s="583"/>
      <c r="LAS119" s="590"/>
      <c r="LAT119" s="589"/>
      <c r="LAU119" s="585"/>
      <c r="LAV119" s="577"/>
      <c r="LAW119" s="304"/>
      <c r="LAX119" s="572"/>
      <c r="LAY119" s="573"/>
      <c r="LAZ119" s="574"/>
      <c r="LBA119" s="575"/>
      <c r="LBB119" s="583"/>
      <c r="LBC119" s="590"/>
      <c r="LBD119" s="589"/>
      <c r="LBE119" s="585"/>
      <c r="LBF119" s="577"/>
      <c r="LBG119" s="304"/>
      <c r="LBH119" s="572"/>
      <c r="LBI119" s="573"/>
      <c r="LBJ119" s="574"/>
      <c r="LBK119" s="575"/>
      <c r="LBL119" s="583"/>
      <c r="LBM119" s="590"/>
      <c r="LBN119" s="589"/>
      <c r="LBO119" s="585"/>
      <c r="LBP119" s="577"/>
      <c r="LBQ119" s="304"/>
      <c r="LBR119" s="572"/>
      <c r="LBS119" s="573"/>
      <c r="LBT119" s="574"/>
      <c r="LBU119" s="575"/>
      <c r="LBV119" s="583"/>
      <c r="LBW119" s="590"/>
      <c r="LBX119" s="589"/>
      <c r="LBY119" s="585"/>
      <c r="LBZ119" s="577"/>
      <c r="LCA119" s="304"/>
      <c r="LCB119" s="572"/>
      <c r="LCC119" s="573"/>
      <c r="LCD119" s="574"/>
      <c r="LCE119" s="575"/>
      <c r="LCF119" s="583"/>
      <c r="LCG119" s="590"/>
      <c r="LCH119" s="589"/>
      <c r="LCI119" s="585"/>
      <c r="LCJ119" s="577"/>
      <c r="LCK119" s="304"/>
      <c r="LCL119" s="572"/>
      <c r="LCM119" s="573"/>
      <c r="LCN119" s="574"/>
      <c r="LCO119" s="575"/>
      <c r="LCP119" s="583"/>
      <c r="LCQ119" s="590"/>
      <c r="LCR119" s="589"/>
      <c r="LCS119" s="585"/>
      <c r="LCT119" s="577"/>
      <c r="LCU119" s="304"/>
      <c r="LCV119" s="572"/>
      <c r="LCW119" s="573"/>
      <c r="LCX119" s="574"/>
      <c r="LCY119" s="575"/>
      <c r="LCZ119" s="583"/>
      <c r="LDA119" s="590"/>
      <c r="LDB119" s="589"/>
      <c r="LDC119" s="585"/>
      <c r="LDD119" s="577"/>
      <c r="LDE119" s="304"/>
      <c r="LDF119" s="572"/>
      <c r="LDG119" s="573"/>
      <c r="LDH119" s="574"/>
      <c r="LDI119" s="575"/>
      <c r="LDJ119" s="583"/>
      <c r="LDK119" s="590"/>
      <c r="LDL119" s="589"/>
      <c r="LDM119" s="585"/>
      <c r="LDN119" s="577"/>
      <c r="LDO119" s="304"/>
      <c r="LDP119" s="572"/>
      <c r="LDQ119" s="573"/>
      <c r="LDR119" s="574"/>
      <c r="LDS119" s="575"/>
      <c r="LDT119" s="583"/>
      <c r="LDU119" s="590"/>
      <c r="LDV119" s="589"/>
      <c r="LDW119" s="585"/>
      <c r="LDX119" s="577"/>
      <c r="LDY119" s="304"/>
      <c r="LDZ119" s="572"/>
      <c r="LEA119" s="573"/>
      <c r="LEB119" s="574"/>
      <c r="LEC119" s="575"/>
      <c r="LED119" s="583"/>
      <c r="LEE119" s="590"/>
      <c r="LEF119" s="589"/>
      <c r="LEG119" s="585"/>
      <c r="LEH119" s="577"/>
      <c r="LEI119" s="304"/>
      <c r="LEJ119" s="572"/>
      <c r="LEK119" s="573"/>
      <c r="LEL119" s="574"/>
      <c r="LEM119" s="575"/>
      <c r="LEN119" s="583"/>
      <c r="LEO119" s="590"/>
      <c r="LEP119" s="589"/>
      <c r="LEQ119" s="585"/>
      <c r="LER119" s="577"/>
      <c r="LES119" s="304"/>
      <c r="LET119" s="572"/>
      <c r="LEU119" s="573"/>
      <c r="LEV119" s="574"/>
      <c r="LEW119" s="575"/>
      <c r="LEX119" s="583"/>
      <c r="LEY119" s="590"/>
      <c r="LEZ119" s="589"/>
      <c r="LFA119" s="585"/>
      <c r="LFB119" s="577"/>
      <c r="LFC119" s="304"/>
      <c r="LFD119" s="572"/>
      <c r="LFE119" s="573"/>
      <c r="LFF119" s="574"/>
      <c r="LFG119" s="575"/>
      <c r="LFH119" s="583"/>
      <c r="LFI119" s="590"/>
      <c r="LFJ119" s="589"/>
      <c r="LFK119" s="585"/>
      <c r="LFL119" s="577"/>
      <c r="LFM119" s="304"/>
      <c r="LFN119" s="572"/>
      <c r="LFO119" s="573"/>
      <c r="LFP119" s="574"/>
      <c r="LFQ119" s="575"/>
      <c r="LFR119" s="583"/>
      <c r="LFS119" s="590"/>
      <c r="LFT119" s="589"/>
      <c r="LFU119" s="585"/>
      <c r="LFV119" s="577"/>
      <c r="LFW119" s="304"/>
      <c r="LFX119" s="572"/>
      <c r="LFY119" s="573"/>
      <c r="LFZ119" s="574"/>
      <c r="LGA119" s="575"/>
      <c r="LGB119" s="583"/>
      <c r="LGC119" s="590"/>
      <c r="LGD119" s="589"/>
      <c r="LGE119" s="585"/>
      <c r="LGF119" s="577"/>
      <c r="LGG119" s="304"/>
      <c r="LGH119" s="572"/>
      <c r="LGI119" s="573"/>
      <c r="LGJ119" s="574"/>
      <c r="LGK119" s="575"/>
      <c r="LGL119" s="583"/>
      <c r="LGM119" s="590"/>
      <c r="LGN119" s="589"/>
      <c r="LGO119" s="585"/>
      <c r="LGP119" s="577"/>
      <c r="LGQ119" s="304"/>
      <c r="LGR119" s="572"/>
      <c r="LGS119" s="573"/>
      <c r="LGT119" s="574"/>
      <c r="LGU119" s="575"/>
      <c r="LGV119" s="583"/>
      <c r="LGW119" s="590"/>
      <c r="LGX119" s="589"/>
      <c r="LGY119" s="585"/>
      <c r="LGZ119" s="577"/>
      <c r="LHA119" s="304"/>
      <c r="LHB119" s="572"/>
      <c r="LHC119" s="573"/>
      <c r="LHD119" s="574"/>
      <c r="LHE119" s="575"/>
      <c r="LHF119" s="583"/>
      <c r="LHG119" s="590"/>
      <c r="LHH119" s="589"/>
      <c r="LHI119" s="585"/>
      <c r="LHJ119" s="577"/>
      <c r="LHK119" s="304"/>
      <c r="LHL119" s="572"/>
      <c r="LHM119" s="573"/>
      <c r="LHN119" s="574"/>
      <c r="LHO119" s="575"/>
      <c r="LHP119" s="583"/>
      <c r="LHQ119" s="590"/>
      <c r="LHR119" s="589"/>
      <c r="LHS119" s="585"/>
      <c r="LHT119" s="577"/>
      <c r="LHU119" s="304"/>
      <c r="LHV119" s="572"/>
      <c r="LHW119" s="573"/>
      <c r="LHX119" s="574"/>
      <c r="LHY119" s="575"/>
      <c r="LHZ119" s="583"/>
      <c r="LIA119" s="590"/>
      <c r="LIB119" s="589"/>
      <c r="LIC119" s="585"/>
      <c r="LID119" s="577"/>
      <c r="LIE119" s="304"/>
      <c r="LIF119" s="572"/>
      <c r="LIG119" s="573"/>
      <c r="LIH119" s="574"/>
      <c r="LII119" s="575"/>
      <c r="LIJ119" s="583"/>
      <c r="LIK119" s="590"/>
      <c r="LIL119" s="589"/>
      <c r="LIM119" s="585"/>
      <c r="LIN119" s="577"/>
      <c r="LIO119" s="304"/>
      <c r="LIP119" s="572"/>
      <c r="LIQ119" s="573"/>
      <c r="LIR119" s="574"/>
      <c r="LIS119" s="575"/>
      <c r="LIT119" s="583"/>
      <c r="LIU119" s="590"/>
      <c r="LIV119" s="589"/>
      <c r="LIW119" s="585"/>
      <c r="LIX119" s="577"/>
      <c r="LIY119" s="304"/>
      <c r="LIZ119" s="572"/>
      <c r="LJA119" s="573"/>
      <c r="LJB119" s="574"/>
      <c r="LJC119" s="575"/>
      <c r="LJD119" s="583"/>
      <c r="LJE119" s="590"/>
      <c r="LJF119" s="589"/>
      <c r="LJG119" s="585"/>
      <c r="LJH119" s="577"/>
      <c r="LJI119" s="304"/>
      <c r="LJJ119" s="572"/>
      <c r="LJK119" s="573"/>
      <c r="LJL119" s="574"/>
      <c r="LJM119" s="575"/>
      <c r="LJN119" s="583"/>
      <c r="LJO119" s="590"/>
      <c r="LJP119" s="589"/>
      <c r="LJQ119" s="585"/>
      <c r="LJR119" s="577"/>
      <c r="LJS119" s="304"/>
      <c r="LJT119" s="572"/>
      <c r="LJU119" s="573"/>
      <c r="LJV119" s="574"/>
      <c r="LJW119" s="575"/>
      <c r="LJX119" s="583"/>
      <c r="LJY119" s="590"/>
      <c r="LJZ119" s="589"/>
      <c r="LKA119" s="585"/>
      <c r="LKB119" s="577"/>
      <c r="LKC119" s="304"/>
      <c r="LKD119" s="572"/>
      <c r="LKE119" s="573"/>
      <c r="LKF119" s="574"/>
      <c r="LKG119" s="575"/>
      <c r="LKH119" s="583"/>
      <c r="LKI119" s="590"/>
      <c r="LKJ119" s="589"/>
      <c r="LKK119" s="585"/>
      <c r="LKL119" s="577"/>
      <c r="LKM119" s="304"/>
      <c r="LKN119" s="572"/>
      <c r="LKO119" s="573"/>
      <c r="LKP119" s="574"/>
      <c r="LKQ119" s="575"/>
      <c r="LKR119" s="583"/>
      <c r="LKS119" s="590"/>
      <c r="LKT119" s="589"/>
      <c r="LKU119" s="585"/>
      <c r="LKV119" s="577"/>
      <c r="LKW119" s="304"/>
      <c r="LKX119" s="572"/>
      <c r="LKY119" s="573"/>
      <c r="LKZ119" s="574"/>
      <c r="LLA119" s="575"/>
      <c r="LLB119" s="583"/>
      <c r="LLC119" s="590"/>
      <c r="LLD119" s="589"/>
      <c r="LLE119" s="585"/>
      <c r="LLF119" s="577"/>
      <c r="LLG119" s="304"/>
      <c r="LLH119" s="572"/>
      <c r="LLI119" s="573"/>
      <c r="LLJ119" s="574"/>
      <c r="LLK119" s="575"/>
      <c r="LLL119" s="583"/>
      <c r="LLM119" s="590"/>
      <c r="LLN119" s="589"/>
      <c r="LLO119" s="585"/>
      <c r="LLP119" s="577"/>
      <c r="LLQ119" s="304"/>
      <c r="LLR119" s="572"/>
      <c r="LLS119" s="573"/>
      <c r="LLT119" s="574"/>
      <c r="LLU119" s="575"/>
      <c r="LLV119" s="583"/>
      <c r="LLW119" s="590"/>
      <c r="LLX119" s="589"/>
      <c r="LLY119" s="585"/>
      <c r="LLZ119" s="577"/>
      <c r="LMA119" s="304"/>
      <c r="LMB119" s="572"/>
      <c r="LMC119" s="573"/>
      <c r="LMD119" s="574"/>
      <c r="LME119" s="575"/>
      <c r="LMF119" s="583"/>
      <c r="LMG119" s="590"/>
      <c r="LMH119" s="589"/>
      <c r="LMI119" s="585"/>
      <c r="LMJ119" s="577"/>
      <c r="LMK119" s="304"/>
      <c r="LML119" s="572"/>
      <c r="LMM119" s="573"/>
      <c r="LMN119" s="574"/>
      <c r="LMO119" s="575"/>
      <c r="LMP119" s="583"/>
      <c r="LMQ119" s="590"/>
      <c r="LMR119" s="589"/>
      <c r="LMS119" s="585"/>
      <c r="LMT119" s="577"/>
      <c r="LMU119" s="304"/>
      <c r="LMV119" s="572"/>
      <c r="LMW119" s="573"/>
      <c r="LMX119" s="574"/>
      <c r="LMY119" s="575"/>
      <c r="LMZ119" s="583"/>
      <c r="LNA119" s="590"/>
      <c r="LNB119" s="589"/>
      <c r="LNC119" s="585"/>
      <c r="LND119" s="577"/>
      <c r="LNE119" s="304"/>
      <c r="LNF119" s="572"/>
      <c r="LNG119" s="573"/>
      <c r="LNH119" s="574"/>
      <c r="LNI119" s="575"/>
      <c r="LNJ119" s="583"/>
      <c r="LNK119" s="590"/>
      <c r="LNL119" s="589"/>
      <c r="LNM119" s="585"/>
      <c r="LNN119" s="577"/>
      <c r="LNO119" s="304"/>
      <c r="LNP119" s="572"/>
      <c r="LNQ119" s="573"/>
      <c r="LNR119" s="574"/>
      <c r="LNS119" s="575"/>
      <c r="LNT119" s="583"/>
      <c r="LNU119" s="590"/>
      <c r="LNV119" s="589"/>
      <c r="LNW119" s="585"/>
      <c r="LNX119" s="577"/>
      <c r="LNY119" s="304"/>
      <c r="LNZ119" s="572"/>
      <c r="LOA119" s="573"/>
      <c r="LOB119" s="574"/>
      <c r="LOC119" s="575"/>
      <c r="LOD119" s="583"/>
      <c r="LOE119" s="590"/>
      <c r="LOF119" s="589"/>
      <c r="LOG119" s="585"/>
      <c r="LOH119" s="577"/>
      <c r="LOI119" s="304"/>
      <c r="LOJ119" s="572"/>
      <c r="LOK119" s="573"/>
      <c r="LOL119" s="574"/>
      <c r="LOM119" s="575"/>
      <c r="LON119" s="583"/>
      <c r="LOO119" s="590"/>
      <c r="LOP119" s="589"/>
      <c r="LOQ119" s="585"/>
      <c r="LOR119" s="577"/>
      <c r="LOS119" s="304"/>
      <c r="LOT119" s="572"/>
      <c r="LOU119" s="573"/>
      <c r="LOV119" s="574"/>
      <c r="LOW119" s="575"/>
      <c r="LOX119" s="583"/>
      <c r="LOY119" s="590"/>
      <c r="LOZ119" s="589"/>
      <c r="LPA119" s="585"/>
      <c r="LPB119" s="577"/>
      <c r="LPC119" s="304"/>
      <c r="LPD119" s="572"/>
      <c r="LPE119" s="573"/>
      <c r="LPF119" s="574"/>
      <c r="LPG119" s="575"/>
      <c r="LPH119" s="583"/>
      <c r="LPI119" s="590"/>
      <c r="LPJ119" s="589"/>
      <c r="LPK119" s="585"/>
      <c r="LPL119" s="577"/>
      <c r="LPM119" s="304"/>
      <c r="LPN119" s="572"/>
      <c r="LPO119" s="573"/>
      <c r="LPP119" s="574"/>
      <c r="LPQ119" s="575"/>
      <c r="LPR119" s="583"/>
      <c r="LPS119" s="590"/>
      <c r="LPT119" s="589"/>
      <c r="LPU119" s="585"/>
      <c r="LPV119" s="577"/>
      <c r="LPW119" s="304"/>
      <c r="LPX119" s="572"/>
      <c r="LPY119" s="573"/>
      <c r="LPZ119" s="574"/>
      <c r="LQA119" s="575"/>
      <c r="LQB119" s="583"/>
      <c r="LQC119" s="590"/>
      <c r="LQD119" s="589"/>
      <c r="LQE119" s="585"/>
      <c r="LQF119" s="577"/>
      <c r="LQG119" s="304"/>
      <c r="LQH119" s="572"/>
      <c r="LQI119" s="573"/>
      <c r="LQJ119" s="574"/>
      <c r="LQK119" s="575"/>
      <c r="LQL119" s="583"/>
      <c r="LQM119" s="590"/>
      <c r="LQN119" s="589"/>
      <c r="LQO119" s="585"/>
      <c r="LQP119" s="577"/>
      <c r="LQQ119" s="304"/>
      <c r="LQR119" s="572"/>
      <c r="LQS119" s="573"/>
      <c r="LQT119" s="574"/>
      <c r="LQU119" s="575"/>
      <c r="LQV119" s="583"/>
      <c r="LQW119" s="590"/>
      <c r="LQX119" s="589"/>
      <c r="LQY119" s="585"/>
      <c r="LQZ119" s="577"/>
      <c r="LRA119" s="304"/>
      <c r="LRB119" s="572"/>
      <c r="LRC119" s="573"/>
      <c r="LRD119" s="574"/>
      <c r="LRE119" s="575"/>
      <c r="LRF119" s="583"/>
      <c r="LRG119" s="590"/>
      <c r="LRH119" s="589"/>
      <c r="LRI119" s="585"/>
      <c r="LRJ119" s="577"/>
      <c r="LRK119" s="304"/>
      <c r="LRL119" s="572"/>
      <c r="LRM119" s="573"/>
      <c r="LRN119" s="574"/>
      <c r="LRO119" s="575"/>
      <c r="LRP119" s="583"/>
      <c r="LRQ119" s="590"/>
      <c r="LRR119" s="589"/>
      <c r="LRS119" s="585"/>
      <c r="LRT119" s="577"/>
      <c r="LRU119" s="304"/>
      <c r="LRV119" s="572"/>
      <c r="LRW119" s="573"/>
      <c r="LRX119" s="574"/>
      <c r="LRY119" s="575"/>
      <c r="LRZ119" s="583"/>
      <c r="LSA119" s="590"/>
      <c r="LSB119" s="589"/>
      <c r="LSC119" s="585"/>
      <c r="LSD119" s="577"/>
      <c r="LSE119" s="304"/>
      <c r="LSF119" s="572"/>
      <c r="LSG119" s="573"/>
      <c r="LSH119" s="574"/>
      <c r="LSI119" s="575"/>
      <c r="LSJ119" s="583"/>
      <c r="LSK119" s="590"/>
      <c r="LSL119" s="589"/>
      <c r="LSM119" s="585"/>
      <c r="LSN119" s="577"/>
      <c r="LSO119" s="304"/>
      <c r="LSP119" s="572"/>
      <c r="LSQ119" s="573"/>
      <c r="LSR119" s="574"/>
      <c r="LSS119" s="575"/>
      <c r="LST119" s="583"/>
      <c r="LSU119" s="590"/>
      <c r="LSV119" s="589"/>
      <c r="LSW119" s="585"/>
      <c r="LSX119" s="577"/>
      <c r="LSY119" s="304"/>
      <c r="LSZ119" s="572"/>
      <c r="LTA119" s="573"/>
      <c r="LTB119" s="574"/>
      <c r="LTC119" s="575"/>
      <c r="LTD119" s="583"/>
      <c r="LTE119" s="590"/>
      <c r="LTF119" s="589"/>
      <c r="LTG119" s="585"/>
      <c r="LTH119" s="577"/>
      <c r="LTI119" s="304"/>
      <c r="LTJ119" s="572"/>
      <c r="LTK119" s="573"/>
      <c r="LTL119" s="574"/>
      <c r="LTM119" s="575"/>
      <c r="LTN119" s="583"/>
      <c r="LTO119" s="590"/>
      <c r="LTP119" s="589"/>
      <c r="LTQ119" s="585"/>
      <c r="LTR119" s="577"/>
      <c r="LTS119" s="304"/>
      <c r="LTT119" s="572"/>
      <c r="LTU119" s="573"/>
      <c r="LTV119" s="574"/>
      <c r="LTW119" s="575"/>
      <c r="LTX119" s="583"/>
      <c r="LTY119" s="590"/>
      <c r="LTZ119" s="589"/>
      <c r="LUA119" s="585"/>
      <c r="LUB119" s="577"/>
      <c r="LUC119" s="304"/>
      <c r="LUD119" s="572"/>
      <c r="LUE119" s="573"/>
      <c r="LUF119" s="574"/>
      <c r="LUG119" s="575"/>
      <c r="LUH119" s="583"/>
      <c r="LUI119" s="590"/>
      <c r="LUJ119" s="589"/>
      <c r="LUK119" s="585"/>
      <c r="LUL119" s="577"/>
      <c r="LUM119" s="304"/>
      <c r="LUN119" s="572"/>
      <c r="LUO119" s="573"/>
      <c r="LUP119" s="574"/>
      <c r="LUQ119" s="575"/>
      <c r="LUR119" s="583"/>
      <c r="LUS119" s="590"/>
      <c r="LUT119" s="589"/>
      <c r="LUU119" s="585"/>
      <c r="LUV119" s="577"/>
      <c r="LUW119" s="304"/>
      <c r="LUX119" s="572"/>
      <c r="LUY119" s="573"/>
      <c r="LUZ119" s="574"/>
      <c r="LVA119" s="575"/>
      <c r="LVB119" s="583"/>
      <c r="LVC119" s="590"/>
      <c r="LVD119" s="589"/>
      <c r="LVE119" s="585"/>
      <c r="LVF119" s="577"/>
      <c r="LVG119" s="304"/>
      <c r="LVH119" s="572"/>
      <c r="LVI119" s="573"/>
      <c r="LVJ119" s="574"/>
      <c r="LVK119" s="575"/>
      <c r="LVL119" s="583"/>
      <c r="LVM119" s="590"/>
      <c r="LVN119" s="589"/>
      <c r="LVO119" s="585"/>
      <c r="LVP119" s="577"/>
      <c r="LVQ119" s="304"/>
      <c r="LVR119" s="572"/>
      <c r="LVS119" s="573"/>
      <c r="LVT119" s="574"/>
      <c r="LVU119" s="575"/>
      <c r="LVV119" s="583"/>
      <c r="LVW119" s="590"/>
      <c r="LVX119" s="589"/>
      <c r="LVY119" s="585"/>
      <c r="LVZ119" s="577"/>
      <c r="LWA119" s="304"/>
      <c r="LWB119" s="572"/>
      <c r="LWC119" s="573"/>
      <c r="LWD119" s="574"/>
      <c r="LWE119" s="575"/>
      <c r="LWF119" s="583"/>
      <c r="LWG119" s="590"/>
      <c r="LWH119" s="589"/>
      <c r="LWI119" s="585"/>
      <c r="LWJ119" s="577"/>
      <c r="LWK119" s="304"/>
      <c r="LWL119" s="572"/>
      <c r="LWM119" s="573"/>
      <c r="LWN119" s="574"/>
      <c r="LWO119" s="575"/>
      <c r="LWP119" s="583"/>
      <c r="LWQ119" s="590"/>
      <c r="LWR119" s="589"/>
      <c r="LWS119" s="585"/>
      <c r="LWT119" s="577"/>
      <c r="LWU119" s="304"/>
      <c r="LWV119" s="572"/>
      <c r="LWW119" s="573"/>
      <c r="LWX119" s="574"/>
      <c r="LWY119" s="575"/>
      <c r="LWZ119" s="583"/>
      <c r="LXA119" s="590"/>
      <c r="LXB119" s="589"/>
      <c r="LXC119" s="585"/>
      <c r="LXD119" s="577"/>
      <c r="LXE119" s="304"/>
      <c r="LXF119" s="572"/>
      <c r="LXG119" s="573"/>
      <c r="LXH119" s="574"/>
      <c r="LXI119" s="575"/>
      <c r="LXJ119" s="583"/>
      <c r="LXK119" s="590"/>
      <c r="LXL119" s="589"/>
      <c r="LXM119" s="585"/>
      <c r="LXN119" s="577"/>
      <c r="LXO119" s="304"/>
      <c r="LXP119" s="572"/>
      <c r="LXQ119" s="573"/>
      <c r="LXR119" s="574"/>
      <c r="LXS119" s="575"/>
      <c r="LXT119" s="583"/>
      <c r="LXU119" s="590"/>
      <c r="LXV119" s="589"/>
      <c r="LXW119" s="585"/>
      <c r="LXX119" s="577"/>
      <c r="LXY119" s="304"/>
      <c r="LXZ119" s="572"/>
      <c r="LYA119" s="573"/>
      <c r="LYB119" s="574"/>
      <c r="LYC119" s="575"/>
      <c r="LYD119" s="583"/>
      <c r="LYE119" s="590"/>
      <c r="LYF119" s="589"/>
      <c r="LYG119" s="585"/>
      <c r="LYH119" s="577"/>
      <c r="LYI119" s="304"/>
      <c r="LYJ119" s="572"/>
      <c r="LYK119" s="573"/>
      <c r="LYL119" s="574"/>
      <c r="LYM119" s="575"/>
      <c r="LYN119" s="583"/>
      <c r="LYO119" s="590"/>
      <c r="LYP119" s="589"/>
      <c r="LYQ119" s="585"/>
      <c r="LYR119" s="577"/>
      <c r="LYS119" s="304"/>
      <c r="LYT119" s="572"/>
      <c r="LYU119" s="573"/>
      <c r="LYV119" s="574"/>
      <c r="LYW119" s="575"/>
      <c r="LYX119" s="583"/>
      <c r="LYY119" s="590"/>
      <c r="LYZ119" s="589"/>
      <c r="LZA119" s="585"/>
      <c r="LZB119" s="577"/>
      <c r="LZC119" s="304"/>
      <c r="LZD119" s="572"/>
      <c r="LZE119" s="573"/>
      <c r="LZF119" s="574"/>
      <c r="LZG119" s="575"/>
      <c r="LZH119" s="583"/>
      <c r="LZI119" s="590"/>
      <c r="LZJ119" s="589"/>
      <c r="LZK119" s="585"/>
      <c r="LZL119" s="577"/>
      <c r="LZM119" s="304"/>
      <c r="LZN119" s="572"/>
      <c r="LZO119" s="573"/>
      <c r="LZP119" s="574"/>
      <c r="LZQ119" s="575"/>
      <c r="LZR119" s="583"/>
      <c r="LZS119" s="590"/>
      <c r="LZT119" s="589"/>
      <c r="LZU119" s="585"/>
      <c r="LZV119" s="577"/>
      <c r="LZW119" s="304"/>
      <c r="LZX119" s="572"/>
      <c r="LZY119" s="573"/>
      <c r="LZZ119" s="574"/>
      <c r="MAA119" s="575"/>
      <c r="MAB119" s="583"/>
      <c r="MAC119" s="590"/>
      <c r="MAD119" s="589"/>
      <c r="MAE119" s="585"/>
      <c r="MAF119" s="577"/>
      <c r="MAG119" s="304"/>
      <c r="MAH119" s="572"/>
      <c r="MAI119" s="573"/>
      <c r="MAJ119" s="574"/>
      <c r="MAK119" s="575"/>
      <c r="MAL119" s="583"/>
      <c r="MAM119" s="590"/>
      <c r="MAN119" s="589"/>
      <c r="MAO119" s="585"/>
      <c r="MAP119" s="577"/>
      <c r="MAQ119" s="304"/>
      <c r="MAR119" s="572"/>
      <c r="MAS119" s="573"/>
      <c r="MAT119" s="574"/>
      <c r="MAU119" s="575"/>
      <c r="MAV119" s="583"/>
      <c r="MAW119" s="590"/>
      <c r="MAX119" s="589"/>
      <c r="MAY119" s="585"/>
      <c r="MAZ119" s="577"/>
      <c r="MBA119" s="304"/>
      <c r="MBB119" s="572"/>
      <c r="MBC119" s="573"/>
      <c r="MBD119" s="574"/>
      <c r="MBE119" s="575"/>
      <c r="MBF119" s="583"/>
      <c r="MBG119" s="590"/>
      <c r="MBH119" s="589"/>
      <c r="MBI119" s="585"/>
      <c r="MBJ119" s="577"/>
      <c r="MBK119" s="304"/>
      <c r="MBL119" s="572"/>
      <c r="MBM119" s="573"/>
      <c r="MBN119" s="574"/>
      <c r="MBO119" s="575"/>
      <c r="MBP119" s="583"/>
      <c r="MBQ119" s="590"/>
      <c r="MBR119" s="589"/>
      <c r="MBS119" s="585"/>
      <c r="MBT119" s="577"/>
      <c r="MBU119" s="304"/>
      <c r="MBV119" s="572"/>
      <c r="MBW119" s="573"/>
      <c r="MBX119" s="574"/>
      <c r="MBY119" s="575"/>
      <c r="MBZ119" s="583"/>
      <c r="MCA119" s="590"/>
      <c r="MCB119" s="589"/>
      <c r="MCC119" s="585"/>
      <c r="MCD119" s="577"/>
      <c r="MCE119" s="304"/>
      <c r="MCF119" s="572"/>
      <c r="MCG119" s="573"/>
      <c r="MCH119" s="574"/>
      <c r="MCI119" s="575"/>
      <c r="MCJ119" s="583"/>
      <c r="MCK119" s="590"/>
      <c r="MCL119" s="589"/>
      <c r="MCM119" s="585"/>
      <c r="MCN119" s="577"/>
      <c r="MCO119" s="304"/>
      <c r="MCP119" s="572"/>
      <c r="MCQ119" s="573"/>
      <c r="MCR119" s="574"/>
      <c r="MCS119" s="575"/>
      <c r="MCT119" s="583"/>
      <c r="MCU119" s="590"/>
      <c r="MCV119" s="589"/>
      <c r="MCW119" s="585"/>
      <c r="MCX119" s="577"/>
      <c r="MCY119" s="304"/>
      <c r="MCZ119" s="572"/>
      <c r="MDA119" s="573"/>
      <c r="MDB119" s="574"/>
      <c r="MDC119" s="575"/>
      <c r="MDD119" s="583"/>
      <c r="MDE119" s="590"/>
      <c r="MDF119" s="589"/>
      <c r="MDG119" s="585"/>
      <c r="MDH119" s="577"/>
      <c r="MDI119" s="304"/>
      <c r="MDJ119" s="572"/>
      <c r="MDK119" s="573"/>
      <c r="MDL119" s="574"/>
      <c r="MDM119" s="575"/>
      <c r="MDN119" s="583"/>
      <c r="MDO119" s="590"/>
      <c r="MDP119" s="589"/>
      <c r="MDQ119" s="585"/>
      <c r="MDR119" s="577"/>
      <c r="MDS119" s="304"/>
      <c r="MDT119" s="572"/>
      <c r="MDU119" s="573"/>
      <c r="MDV119" s="574"/>
      <c r="MDW119" s="575"/>
      <c r="MDX119" s="583"/>
      <c r="MDY119" s="590"/>
      <c r="MDZ119" s="589"/>
      <c r="MEA119" s="585"/>
      <c r="MEB119" s="577"/>
      <c r="MEC119" s="304"/>
      <c r="MED119" s="572"/>
      <c r="MEE119" s="573"/>
      <c r="MEF119" s="574"/>
      <c r="MEG119" s="575"/>
      <c r="MEH119" s="583"/>
      <c r="MEI119" s="590"/>
      <c r="MEJ119" s="589"/>
      <c r="MEK119" s="585"/>
      <c r="MEL119" s="577"/>
      <c r="MEM119" s="304"/>
      <c r="MEN119" s="572"/>
      <c r="MEO119" s="573"/>
      <c r="MEP119" s="574"/>
      <c r="MEQ119" s="575"/>
      <c r="MER119" s="583"/>
      <c r="MES119" s="590"/>
      <c r="MET119" s="589"/>
      <c r="MEU119" s="585"/>
      <c r="MEV119" s="577"/>
      <c r="MEW119" s="304"/>
      <c r="MEX119" s="572"/>
      <c r="MEY119" s="573"/>
      <c r="MEZ119" s="574"/>
      <c r="MFA119" s="575"/>
      <c r="MFB119" s="583"/>
      <c r="MFC119" s="590"/>
      <c r="MFD119" s="589"/>
      <c r="MFE119" s="585"/>
      <c r="MFF119" s="577"/>
      <c r="MFG119" s="304"/>
      <c r="MFH119" s="572"/>
      <c r="MFI119" s="573"/>
      <c r="MFJ119" s="574"/>
      <c r="MFK119" s="575"/>
      <c r="MFL119" s="583"/>
      <c r="MFM119" s="590"/>
      <c r="MFN119" s="589"/>
      <c r="MFO119" s="585"/>
      <c r="MFP119" s="577"/>
      <c r="MFQ119" s="304"/>
      <c r="MFR119" s="572"/>
      <c r="MFS119" s="573"/>
      <c r="MFT119" s="574"/>
      <c r="MFU119" s="575"/>
      <c r="MFV119" s="583"/>
      <c r="MFW119" s="590"/>
      <c r="MFX119" s="589"/>
      <c r="MFY119" s="585"/>
      <c r="MFZ119" s="577"/>
      <c r="MGA119" s="304"/>
      <c r="MGB119" s="572"/>
      <c r="MGC119" s="573"/>
      <c r="MGD119" s="574"/>
      <c r="MGE119" s="575"/>
      <c r="MGF119" s="583"/>
      <c r="MGG119" s="590"/>
      <c r="MGH119" s="589"/>
      <c r="MGI119" s="585"/>
      <c r="MGJ119" s="577"/>
      <c r="MGK119" s="304"/>
      <c r="MGL119" s="572"/>
      <c r="MGM119" s="573"/>
      <c r="MGN119" s="574"/>
      <c r="MGO119" s="575"/>
      <c r="MGP119" s="583"/>
      <c r="MGQ119" s="590"/>
      <c r="MGR119" s="589"/>
      <c r="MGS119" s="585"/>
      <c r="MGT119" s="577"/>
      <c r="MGU119" s="304"/>
      <c r="MGV119" s="572"/>
      <c r="MGW119" s="573"/>
      <c r="MGX119" s="574"/>
      <c r="MGY119" s="575"/>
      <c r="MGZ119" s="583"/>
      <c r="MHA119" s="590"/>
      <c r="MHB119" s="589"/>
      <c r="MHC119" s="585"/>
      <c r="MHD119" s="577"/>
      <c r="MHE119" s="304"/>
      <c r="MHF119" s="572"/>
      <c r="MHG119" s="573"/>
      <c r="MHH119" s="574"/>
      <c r="MHI119" s="575"/>
      <c r="MHJ119" s="583"/>
      <c r="MHK119" s="590"/>
      <c r="MHL119" s="589"/>
      <c r="MHM119" s="585"/>
      <c r="MHN119" s="577"/>
      <c r="MHO119" s="304"/>
      <c r="MHP119" s="572"/>
      <c r="MHQ119" s="573"/>
      <c r="MHR119" s="574"/>
      <c r="MHS119" s="575"/>
      <c r="MHT119" s="583"/>
      <c r="MHU119" s="590"/>
      <c r="MHV119" s="589"/>
      <c r="MHW119" s="585"/>
      <c r="MHX119" s="577"/>
      <c r="MHY119" s="304"/>
      <c r="MHZ119" s="572"/>
      <c r="MIA119" s="573"/>
      <c r="MIB119" s="574"/>
      <c r="MIC119" s="575"/>
      <c r="MID119" s="583"/>
      <c r="MIE119" s="590"/>
      <c r="MIF119" s="589"/>
      <c r="MIG119" s="585"/>
      <c r="MIH119" s="577"/>
      <c r="MII119" s="304"/>
      <c r="MIJ119" s="572"/>
      <c r="MIK119" s="573"/>
      <c r="MIL119" s="574"/>
      <c r="MIM119" s="575"/>
      <c r="MIN119" s="583"/>
      <c r="MIO119" s="590"/>
      <c r="MIP119" s="589"/>
      <c r="MIQ119" s="585"/>
      <c r="MIR119" s="577"/>
      <c r="MIS119" s="304"/>
      <c r="MIT119" s="572"/>
      <c r="MIU119" s="573"/>
      <c r="MIV119" s="574"/>
      <c r="MIW119" s="575"/>
      <c r="MIX119" s="583"/>
      <c r="MIY119" s="590"/>
      <c r="MIZ119" s="589"/>
      <c r="MJA119" s="585"/>
      <c r="MJB119" s="577"/>
      <c r="MJC119" s="304"/>
      <c r="MJD119" s="572"/>
      <c r="MJE119" s="573"/>
      <c r="MJF119" s="574"/>
      <c r="MJG119" s="575"/>
      <c r="MJH119" s="583"/>
      <c r="MJI119" s="590"/>
      <c r="MJJ119" s="589"/>
      <c r="MJK119" s="585"/>
      <c r="MJL119" s="577"/>
      <c r="MJM119" s="304"/>
      <c r="MJN119" s="572"/>
      <c r="MJO119" s="573"/>
      <c r="MJP119" s="574"/>
      <c r="MJQ119" s="575"/>
      <c r="MJR119" s="583"/>
      <c r="MJS119" s="590"/>
      <c r="MJT119" s="589"/>
      <c r="MJU119" s="585"/>
      <c r="MJV119" s="577"/>
      <c r="MJW119" s="304"/>
      <c r="MJX119" s="572"/>
      <c r="MJY119" s="573"/>
      <c r="MJZ119" s="574"/>
      <c r="MKA119" s="575"/>
      <c r="MKB119" s="583"/>
      <c r="MKC119" s="590"/>
      <c r="MKD119" s="589"/>
      <c r="MKE119" s="585"/>
      <c r="MKF119" s="577"/>
      <c r="MKG119" s="304"/>
      <c r="MKH119" s="572"/>
      <c r="MKI119" s="573"/>
      <c r="MKJ119" s="574"/>
      <c r="MKK119" s="575"/>
      <c r="MKL119" s="583"/>
      <c r="MKM119" s="590"/>
      <c r="MKN119" s="589"/>
      <c r="MKO119" s="585"/>
      <c r="MKP119" s="577"/>
      <c r="MKQ119" s="304"/>
      <c r="MKR119" s="572"/>
      <c r="MKS119" s="573"/>
      <c r="MKT119" s="574"/>
      <c r="MKU119" s="575"/>
      <c r="MKV119" s="583"/>
      <c r="MKW119" s="590"/>
      <c r="MKX119" s="589"/>
      <c r="MKY119" s="585"/>
      <c r="MKZ119" s="577"/>
      <c r="MLA119" s="304"/>
      <c r="MLB119" s="572"/>
      <c r="MLC119" s="573"/>
      <c r="MLD119" s="574"/>
      <c r="MLE119" s="575"/>
      <c r="MLF119" s="583"/>
      <c r="MLG119" s="590"/>
      <c r="MLH119" s="589"/>
      <c r="MLI119" s="585"/>
      <c r="MLJ119" s="577"/>
      <c r="MLK119" s="304"/>
      <c r="MLL119" s="572"/>
      <c r="MLM119" s="573"/>
      <c r="MLN119" s="574"/>
      <c r="MLO119" s="575"/>
      <c r="MLP119" s="583"/>
      <c r="MLQ119" s="590"/>
      <c r="MLR119" s="589"/>
      <c r="MLS119" s="585"/>
      <c r="MLT119" s="577"/>
      <c r="MLU119" s="304"/>
      <c r="MLV119" s="572"/>
      <c r="MLW119" s="573"/>
      <c r="MLX119" s="574"/>
      <c r="MLY119" s="575"/>
      <c r="MLZ119" s="583"/>
      <c r="MMA119" s="590"/>
      <c r="MMB119" s="589"/>
      <c r="MMC119" s="585"/>
      <c r="MMD119" s="577"/>
      <c r="MME119" s="304"/>
      <c r="MMF119" s="572"/>
      <c r="MMG119" s="573"/>
      <c r="MMH119" s="574"/>
      <c r="MMI119" s="575"/>
      <c r="MMJ119" s="583"/>
      <c r="MMK119" s="590"/>
      <c r="MML119" s="589"/>
      <c r="MMM119" s="585"/>
      <c r="MMN119" s="577"/>
      <c r="MMO119" s="304"/>
      <c r="MMP119" s="572"/>
      <c r="MMQ119" s="573"/>
      <c r="MMR119" s="574"/>
      <c r="MMS119" s="575"/>
      <c r="MMT119" s="583"/>
      <c r="MMU119" s="590"/>
      <c r="MMV119" s="589"/>
      <c r="MMW119" s="585"/>
      <c r="MMX119" s="577"/>
      <c r="MMY119" s="304"/>
      <c r="MMZ119" s="572"/>
      <c r="MNA119" s="573"/>
      <c r="MNB119" s="574"/>
      <c r="MNC119" s="575"/>
      <c r="MND119" s="583"/>
      <c r="MNE119" s="590"/>
      <c r="MNF119" s="589"/>
      <c r="MNG119" s="585"/>
      <c r="MNH119" s="577"/>
      <c r="MNI119" s="304"/>
      <c r="MNJ119" s="572"/>
      <c r="MNK119" s="573"/>
      <c r="MNL119" s="574"/>
      <c r="MNM119" s="575"/>
      <c r="MNN119" s="583"/>
      <c r="MNO119" s="590"/>
      <c r="MNP119" s="589"/>
      <c r="MNQ119" s="585"/>
      <c r="MNR119" s="577"/>
      <c r="MNS119" s="304"/>
      <c r="MNT119" s="572"/>
      <c r="MNU119" s="573"/>
      <c r="MNV119" s="574"/>
      <c r="MNW119" s="575"/>
      <c r="MNX119" s="583"/>
      <c r="MNY119" s="590"/>
      <c r="MNZ119" s="589"/>
      <c r="MOA119" s="585"/>
      <c r="MOB119" s="577"/>
      <c r="MOC119" s="304"/>
      <c r="MOD119" s="572"/>
      <c r="MOE119" s="573"/>
      <c r="MOF119" s="574"/>
      <c r="MOG119" s="575"/>
      <c r="MOH119" s="583"/>
      <c r="MOI119" s="590"/>
      <c r="MOJ119" s="589"/>
      <c r="MOK119" s="585"/>
      <c r="MOL119" s="577"/>
      <c r="MOM119" s="304"/>
      <c r="MON119" s="572"/>
      <c r="MOO119" s="573"/>
      <c r="MOP119" s="574"/>
      <c r="MOQ119" s="575"/>
      <c r="MOR119" s="583"/>
      <c r="MOS119" s="590"/>
      <c r="MOT119" s="589"/>
      <c r="MOU119" s="585"/>
      <c r="MOV119" s="577"/>
      <c r="MOW119" s="304"/>
      <c r="MOX119" s="572"/>
      <c r="MOY119" s="573"/>
      <c r="MOZ119" s="574"/>
      <c r="MPA119" s="575"/>
      <c r="MPB119" s="583"/>
      <c r="MPC119" s="590"/>
      <c r="MPD119" s="589"/>
      <c r="MPE119" s="585"/>
      <c r="MPF119" s="577"/>
      <c r="MPG119" s="304"/>
      <c r="MPH119" s="572"/>
      <c r="MPI119" s="573"/>
      <c r="MPJ119" s="574"/>
      <c r="MPK119" s="575"/>
      <c r="MPL119" s="583"/>
      <c r="MPM119" s="590"/>
      <c r="MPN119" s="589"/>
      <c r="MPO119" s="585"/>
      <c r="MPP119" s="577"/>
      <c r="MPQ119" s="304"/>
      <c r="MPR119" s="572"/>
      <c r="MPS119" s="573"/>
      <c r="MPT119" s="574"/>
      <c r="MPU119" s="575"/>
      <c r="MPV119" s="583"/>
      <c r="MPW119" s="590"/>
      <c r="MPX119" s="589"/>
      <c r="MPY119" s="585"/>
      <c r="MPZ119" s="577"/>
      <c r="MQA119" s="304"/>
      <c r="MQB119" s="572"/>
      <c r="MQC119" s="573"/>
      <c r="MQD119" s="574"/>
      <c r="MQE119" s="575"/>
      <c r="MQF119" s="583"/>
      <c r="MQG119" s="590"/>
      <c r="MQH119" s="589"/>
      <c r="MQI119" s="585"/>
      <c r="MQJ119" s="577"/>
      <c r="MQK119" s="304"/>
      <c r="MQL119" s="572"/>
      <c r="MQM119" s="573"/>
      <c r="MQN119" s="574"/>
      <c r="MQO119" s="575"/>
      <c r="MQP119" s="583"/>
      <c r="MQQ119" s="590"/>
      <c r="MQR119" s="589"/>
      <c r="MQS119" s="585"/>
      <c r="MQT119" s="577"/>
      <c r="MQU119" s="304"/>
      <c r="MQV119" s="572"/>
      <c r="MQW119" s="573"/>
      <c r="MQX119" s="574"/>
      <c r="MQY119" s="575"/>
      <c r="MQZ119" s="583"/>
      <c r="MRA119" s="590"/>
      <c r="MRB119" s="589"/>
      <c r="MRC119" s="585"/>
      <c r="MRD119" s="577"/>
      <c r="MRE119" s="304"/>
      <c r="MRF119" s="572"/>
      <c r="MRG119" s="573"/>
      <c r="MRH119" s="574"/>
      <c r="MRI119" s="575"/>
      <c r="MRJ119" s="583"/>
      <c r="MRK119" s="590"/>
      <c r="MRL119" s="589"/>
      <c r="MRM119" s="585"/>
      <c r="MRN119" s="577"/>
      <c r="MRO119" s="304"/>
      <c r="MRP119" s="572"/>
      <c r="MRQ119" s="573"/>
      <c r="MRR119" s="574"/>
      <c r="MRS119" s="575"/>
      <c r="MRT119" s="583"/>
      <c r="MRU119" s="590"/>
      <c r="MRV119" s="589"/>
      <c r="MRW119" s="585"/>
      <c r="MRX119" s="577"/>
      <c r="MRY119" s="304"/>
      <c r="MRZ119" s="572"/>
      <c r="MSA119" s="573"/>
      <c r="MSB119" s="574"/>
      <c r="MSC119" s="575"/>
      <c r="MSD119" s="583"/>
      <c r="MSE119" s="590"/>
      <c r="MSF119" s="589"/>
      <c r="MSG119" s="585"/>
      <c r="MSH119" s="577"/>
      <c r="MSI119" s="304"/>
      <c r="MSJ119" s="572"/>
      <c r="MSK119" s="573"/>
      <c r="MSL119" s="574"/>
      <c r="MSM119" s="575"/>
      <c r="MSN119" s="583"/>
      <c r="MSO119" s="590"/>
      <c r="MSP119" s="589"/>
      <c r="MSQ119" s="585"/>
      <c r="MSR119" s="577"/>
      <c r="MSS119" s="304"/>
      <c r="MST119" s="572"/>
      <c r="MSU119" s="573"/>
      <c r="MSV119" s="574"/>
      <c r="MSW119" s="575"/>
      <c r="MSX119" s="583"/>
      <c r="MSY119" s="590"/>
      <c r="MSZ119" s="589"/>
      <c r="MTA119" s="585"/>
      <c r="MTB119" s="577"/>
      <c r="MTC119" s="304"/>
      <c r="MTD119" s="572"/>
      <c r="MTE119" s="573"/>
      <c r="MTF119" s="574"/>
      <c r="MTG119" s="575"/>
      <c r="MTH119" s="583"/>
      <c r="MTI119" s="590"/>
      <c r="MTJ119" s="589"/>
      <c r="MTK119" s="585"/>
      <c r="MTL119" s="577"/>
      <c r="MTM119" s="304"/>
      <c r="MTN119" s="572"/>
      <c r="MTO119" s="573"/>
      <c r="MTP119" s="574"/>
      <c r="MTQ119" s="575"/>
      <c r="MTR119" s="583"/>
      <c r="MTS119" s="590"/>
      <c r="MTT119" s="589"/>
      <c r="MTU119" s="585"/>
      <c r="MTV119" s="577"/>
      <c r="MTW119" s="304"/>
      <c r="MTX119" s="572"/>
      <c r="MTY119" s="573"/>
      <c r="MTZ119" s="574"/>
      <c r="MUA119" s="575"/>
      <c r="MUB119" s="583"/>
      <c r="MUC119" s="590"/>
      <c r="MUD119" s="589"/>
      <c r="MUE119" s="585"/>
      <c r="MUF119" s="577"/>
      <c r="MUG119" s="304"/>
      <c r="MUH119" s="572"/>
      <c r="MUI119" s="573"/>
      <c r="MUJ119" s="574"/>
      <c r="MUK119" s="575"/>
      <c r="MUL119" s="583"/>
      <c r="MUM119" s="590"/>
      <c r="MUN119" s="589"/>
      <c r="MUO119" s="585"/>
      <c r="MUP119" s="577"/>
      <c r="MUQ119" s="304"/>
      <c r="MUR119" s="572"/>
      <c r="MUS119" s="573"/>
      <c r="MUT119" s="574"/>
      <c r="MUU119" s="575"/>
      <c r="MUV119" s="583"/>
      <c r="MUW119" s="590"/>
      <c r="MUX119" s="589"/>
      <c r="MUY119" s="585"/>
      <c r="MUZ119" s="577"/>
      <c r="MVA119" s="304"/>
      <c r="MVB119" s="572"/>
      <c r="MVC119" s="573"/>
      <c r="MVD119" s="574"/>
      <c r="MVE119" s="575"/>
      <c r="MVF119" s="583"/>
      <c r="MVG119" s="590"/>
      <c r="MVH119" s="589"/>
      <c r="MVI119" s="585"/>
      <c r="MVJ119" s="577"/>
      <c r="MVK119" s="304"/>
      <c r="MVL119" s="572"/>
      <c r="MVM119" s="573"/>
      <c r="MVN119" s="574"/>
      <c r="MVO119" s="575"/>
      <c r="MVP119" s="583"/>
      <c r="MVQ119" s="590"/>
      <c r="MVR119" s="589"/>
      <c r="MVS119" s="585"/>
      <c r="MVT119" s="577"/>
      <c r="MVU119" s="304"/>
      <c r="MVV119" s="572"/>
      <c r="MVW119" s="573"/>
      <c r="MVX119" s="574"/>
      <c r="MVY119" s="575"/>
      <c r="MVZ119" s="583"/>
      <c r="MWA119" s="590"/>
      <c r="MWB119" s="589"/>
      <c r="MWC119" s="585"/>
      <c r="MWD119" s="577"/>
      <c r="MWE119" s="304"/>
      <c r="MWF119" s="572"/>
      <c r="MWG119" s="573"/>
      <c r="MWH119" s="574"/>
      <c r="MWI119" s="575"/>
      <c r="MWJ119" s="583"/>
      <c r="MWK119" s="590"/>
      <c r="MWL119" s="589"/>
      <c r="MWM119" s="585"/>
      <c r="MWN119" s="577"/>
      <c r="MWO119" s="304"/>
      <c r="MWP119" s="572"/>
      <c r="MWQ119" s="573"/>
      <c r="MWR119" s="574"/>
      <c r="MWS119" s="575"/>
      <c r="MWT119" s="583"/>
      <c r="MWU119" s="590"/>
      <c r="MWV119" s="589"/>
      <c r="MWW119" s="585"/>
      <c r="MWX119" s="577"/>
      <c r="MWY119" s="304"/>
      <c r="MWZ119" s="572"/>
      <c r="MXA119" s="573"/>
      <c r="MXB119" s="574"/>
      <c r="MXC119" s="575"/>
      <c r="MXD119" s="583"/>
      <c r="MXE119" s="590"/>
      <c r="MXF119" s="589"/>
      <c r="MXG119" s="585"/>
      <c r="MXH119" s="577"/>
      <c r="MXI119" s="304"/>
      <c r="MXJ119" s="572"/>
      <c r="MXK119" s="573"/>
      <c r="MXL119" s="574"/>
      <c r="MXM119" s="575"/>
      <c r="MXN119" s="583"/>
      <c r="MXO119" s="590"/>
      <c r="MXP119" s="589"/>
      <c r="MXQ119" s="585"/>
      <c r="MXR119" s="577"/>
      <c r="MXS119" s="304"/>
      <c r="MXT119" s="572"/>
      <c r="MXU119" s="573"/>
      <c r="MXV119" s="574"/>
      <c r="MXW119" s="575"/>
      <c r="MXX119" s="583"/>
      <c r="MXY119" s="590"/>
      <c r="MXZ119" s="589"/>
      <c r="MYA119" s="585"/>
      <c r="MYB119" s="577"/>
      <c r="MYC119" s="304"/>
      <c r="MYD119" s="572"/>
      <c r="MYE119" s="573"/>
      <c r="MYF119" s="574"/>
      <c r="MYG119" s="575"/>
      <c r="MYH119" s="583"/>
      <c r="MYI119" s="590"/>
      <c r="MYJ119" s="589"/>
      <c r="MYK119" s="585"/>
      <c r="MYL119" s="577"/>
      <c r="MYM119" s="304"/>
      <c r="MYN119" s="572"/>
      <c r="MYO119" s="573"/>
      <c r="MYP119" s="574"/>
      <c r="MYQ119" s="575"/>
      <c r="MYR119" s="583"/>
      <c r="MYS119" s="590"/>
      <c r="MYT119" s="589"/>
      <c r="MYU119" s="585"/>
      <c r="MYV119" s="577"/>
      <c r="MYW119" s="304"/>
      <c r="MYX119" s="572"/>
      <c r="MYY119" s="573"/>
      <c r="MYZ119" s="574"/>
      <c r="MZA119" s="575"/>
      <c r="MZB119" s="583"/>
      <c r="MZC119" s="590"/>
      <c r="MZD119" s="589"/>
      <c r="MZE119" s="585"/>
      <c r="MZF119" s="577"/>
      <c r="MZG119" s="304"/>
      <c r="MZH119" s="572"/>
      <c r="MZI119" s="573"/>
      <c r="MZJ119" s="574"/>
      <c r="MZK119" s="575"/>
      <c r="MZL119" s="583"/>
      <c r="MZM119" s="590"/>
      <c r="MZN119" s="589"/>
      <c r="MZO119" s="585"/>
      <c r="MZP119" s="577"/>
      <c r="MZQ119" s="304"/>
      <c r="MZR119" s="572"/>
      <c r="MZS119" s="573"/>
      <c r="MZT119" s="574"/>
      <c r="MZU119" s="575"/>
      <c r="MZV119" s="583"/>
      <c r="MZW119" s="590"/>
      <c r="MZX119" s="589"/>
      <c r="MZY119" s="585"/>
      <c r="MZZ119" s="577"/>
      <c r="NAA119" s="304"/>
      <c r="NAB119" s="572"/>
      <c r="NAC119" s="573"/>
      <c r="NAD119" s="574"/>
      <c r="NAE119" s="575"/>
      <c r="NAF119" s="583"/>
      <c r="NAG119" s="590"/>
      <c r="NAH119" s="589"/>
      <c r="NAI119" s="585"/>
      <c r="NAJ119" s="577"/>
      <c r="NAK119" s="304"/>
      <c r="NAL119" s="572"/>
      <c r="NAM119" s="573"/>
      <c r="NAN119" s="574"/>
      <c r="NAO119" s="575"/>
      <c r="NAP119" s="583"/>
      <c r="NAQ119" s="590"/>
      <c r="NAR119" s="589"/>
      <c r="NAS119" s="585"/>
      <c r="NAT119" s="577"/>
      <c r="NAU119" s="304"/>
      <c r="NAV119" s="572"/>
      <c r="NAW119" s="573"/>
      <c r="NAX119" s="574"/>
      <c r="NAY119" s="575"/>
      <c r="NAZ119" s="583"/>
      <c r="NBA119" s="590"/>
      <c r="NBB119" s="589"/>
      <c r="NBC119" s="585"/>
      <c r="NBD119" s="577"/>
      <c r="NBE119" s="304"/>
      <c r="NBF119" s="572"/>
      <c r="NBG119" s="573"/>
      <c r="NBH119" s="574"/>
      <c r="NBI119" s="575"/>
      <c r="NBJ119" s="583"/>
      <c r="NBK119" s="590"/>
      <c r="NBL119" s="589"/>
      <c r="NBM119" s="585"/>
      <c r="NBN119" s="577"/>
      <c r="NBO119" s="304"/>
      <c r="NBP119" s="572"/>
      <c r="NBQ119" s="573"/>
      <c r="NBR119" s="574"/>
      <c r="NBS119" s="575"/>
      <c r="NBT119" s="583"/>
      <c r="NBU119" s="590"/>
      <c r="NBV119" s="589"/>
      <c r="NBW119" s="585"/>
      <c r="NBX119" s="577"/>
      <c r="NBY119" s="304"/>
      <c r="NBZ119" s="572"/>
      <c r="NCA119" s="573"/>
      <c r="NCB119" s="574"/>
      <c r="NCC119" s="575"/>
      <c r="NCD119" s="583"/>
      <c r="NCE119" s="590"/>
      <c r="NCF119" s="589"/>
      <c r="NCG119" s="585"/>
      <c r="NCH119" s="577"/>
      <c r="NCI119" s="304"/>
      <c r="NCJ119" s="572"/>
      <c r="NCK119" s="573"/>
      <c r="NCL119" s="574"/>
      <c r="NCM119" s="575"/>
      <c r="NCN119" s="583"/>
      <c r="NCO119" s="590"/>
      <c r="NCP119" s="589"/>
      <c r="NCQ119" s="585"/>
      <c r="NCR119" s="577"/>
      <c r="NCS119" s="304"/>
      <c r="NCT119" s="572"/>
      <c r="NCU119" s="573"/>
      <c r="NCV119" s="574"/>
      <c r="NCW119" s="575"/>
      <c r="NCX119" s="583"/>
      <c r="NCY119" s="590"/>
      <c r="NCZ119" s="589"/>
      <c r="NDA119" s="585"/>
      <c r="NDB119" s="577"/>
      <c r="NDC119" s="304"/>
      <c r="NDD119" s="572"/>
      <c r="NDE119" s="573"/>
      <c r="NDF119" s="574"/>
      <c r="NDG119" s="575"/>
      <c r="NDH119" s="583"/>
      <c r="NDI119" s="590"/>
      <c r="NDJ119" s="589"/>
      <c r="NDK119" s="585"/>
      <c r="NDL119" s="577"/>
      <c r="NDM119" s="304"/>
      <c r="NDN119" s="572"/>
      <c r="NDO119" s="573"/>
      <c r="NDP119" s="574"/>
      <c r="NDQ119" s="575"/>
      <c r="NDR119" s="583"/>
      <c r="NDS119" s="590"/>
      <c r="NDT119" s="589"/>
      <c r="NDU119" s="585"/>
      <c r="NDV119" s="577"/>
      <c r="NDW119" s="304"/>
      <c r="NDX119" s="572"/>
      <c r="NDY119" s="573"/>
      <c r="NDZ119" s="574"/>
      <c r="NEA119" s="575"/>
      <c r="NEB119" s="583"/>
      <c r="NEC119" s="590"/>
      <c r="NED119" s="589"/>
      <c r="NEE119" s="585"/>
      <c r="NEF119" s="577"/>
      <c r="NEG119" s="304"/>
      <c r="NEH119" s="572"/>
      <c r="NEI119" s="573"/>
      <c r="NEJ119" s="574"/>
      <c r="NEK119" s="575"/>
      <c r="NEL119" s="583"/>
      <c r="NEM119" s="590"/>
      <c r="NEN119" s="589"/>
      <c r="NEO119" s="585"/>
      <c r="NEP119" s="577"/>
      <c r="NEQ119" s="304"/>
      <c r="NER119" s="572"/>
      <c r="NES119" s="573"/>
      <c r="NET119" s="574"/>
      <c r="NEU119" s="575"/>
      <c r="NEV119" s="583"/>
      <c r="NEW119" s="590"/>
      <c r="NEX119" s="589"/>
      <c r="NEY119" s="585"/>
      <c r="NEZ119" s="577"/>
      <c r="NFA119" s="304"/>
      <c r="NFB119" s="572"/>
      <c r="NFC119" s="573"/>
      <c r="NFD119" s="574"/>
      <c r="NFE119" s="575"/>
      <c r="NFF119" s="583"/>
      <c r="NFG119" s="590"/>
      <c r="NFH119" s="589"/>
      <c r="NFI119" s="585"/>
      <c r="NFJ119" s="577"/>
      <c r="NFK119" s="304"/>
      <c r="NFL119" s="572"/>
      <c r="NFM119" s="573"/>
      <c r="NFN119" s="574"/>
      <c r="NFO119" s="575"/>
      <c r="NFP119" s="583"/>
      <c r="NFQ119" s="590"/>
      <c r="NFR119" s="589"/>
      <c r="NFS119" s="585"/>
      <c r="NFT119" s="577"/>
      <c r="NFU119" s="304"/>
      <c r="NFV119" s="572"/>
      <c r="NFW119" s="573"/>
      <c r="NFX119" s="574"/>
      <c r="NFY119" s="575"/>
      <c r="NFZ119" s="583"/>
      <c r="NGA119" s="590"/>
      <c r="NGB119" s="589"/>
      <c r="NGC119" s="585"/>
      <c r="NGD119" s="577"/>
      <c r="NGE119" s="304"/>
      <c r="NGF119" s="572"/>
      <c r="NGG119" s="573"/>
      <c r="NGH119" s="574"/>
      <c r="NGI119" s="575"/>
      <c r="NGJ119" s="583"/>
      <c r="NGK119" s="590"/>
      <c r="NGL119" s="589"/>
      <c r="NGM119" s="585"/>
      <c r="NGN119" s="577"/>
      <c r="NGO119" s="304"/>
      <c r="NGP119" s="572"/>
      <c r="NGQ119" s="573"/>
      <c r="NGR119" s="574"/>
      <c r="NGS119" s="575"/>
      <c r="NGT119" s="583"/>
      <c r="NGU119" s="590"/>
      <c r="NGV119" s="589"/>
      <c r="NGW119" s="585"/>
      <c r="NGX119" s="577"/>
      <c r="NGY119" s="304"/>
      <c r="NGZ119" s="572"/>
      <c r="NHA119" s="573"/>
      <c r="NHB119" s="574"/>
      <c r="NHC119" s="575"/>
      <c r="NHD119" s="583"/>
      <c r="NHE119" s="590"/>
      <c r="NHF119" s="589"/>
      <c r="NHG119" s="585"/>
      <c r="NHH119" s="577"/>
      <c r="NHI119" s="304"/>
      <c r="NHJ119" s="572"/>
      <c r="NHK119" s="573"/>
      <c r="NHL119" s="574"/>
      <c r="NHM119" s="575"/>
      <c r="NHN119" s="583"/>
      <c r="NHO119" s="590"/>
      <c r="NHP119" s="589"/>
      <c r="NHQ119" s="585"/>
      <c r="NHR119" s="577"/>
      <c r="NHS119" s="304"/>
      <c r="NHT119" s="572"/>
      <c r="NHU119" s="573"/>
      <c r="NHV119" s="574"/>
      <c r="NHW119" s="575"/>
      <c r="NHX119" s="583"/>
      <c r="NHY119" s="590"/>
      <c r="NHZ119" s="589"/>
      <c r="NIA119" s="585"/>
      <c r="NIB119" s="577"/>
      <c r="NIC119" s="304"/>
      <c r="NID119" s="572"/>
      <c r="NIE119" s="573"/>
      <c r="NIF119" s="574"/>
      <c r="NIG119" s="575"/>
      <c r="NIH119" s="583"/>
      <c r="NII119" s="590"/>
      <c r="NIJ119" s="589"/>
      <c r="NIK119" s="585"/>
      <c r="NIL119" s="577"/>
      <c r="NIM119" s="304"/>
      <c r="NIN119" s="572"/>
      <c r="NIO119" s="573"/>
      <c r="NIP119" s="574"/>
      <c r="NIQ119" s="575"/>
      <c r="NIR119" s="583"/>
      <c r="NIS119" s="590"/>
      <c r="NIT119" s="589"/>
      <c r="NIU119" s="585"/>
      <c r="NIV119" s="577"/>
      <c r="NIW119" s="304"/>
      <c r="NIX119" s="572"/>
      <c r="NIY119" s="573"/>
      <c r="NIZ119" s="574"/>
      <c r="NJA119" s="575"/>
      <c r="NJB119" s="583"/>
      <c r="NJC119" s="590"/>
      <c r="NJD119" s="589"/>
      <c r="NJE119" s="585"/>
      <c r="NJF119" s="577"/>
      <c r="NJG119" s="304"/>
      <c r="NJH119" s="572"/>
      <c r="NJI119" s="573"/>
      <c r="NJJ119" s="574"/>
      <c r="NJK119" s="575"/>
      <c r="NJL119" s="583"/>
      <c r="NJM119" s="590"/>
      <c r="NJN119" s="589"/>
      <c r="NJO119" s="585"/>
      <c r="NJP119" s="577"/>
      <c r="NJQ119" s="304"/>
      <c r="NJR119" s="572"/>
      <c r="NJS119" s="573"/>
      <c r="NJT119" s="574"/>
      <c r="NJU119" s="575"/>
      <c r="NJV119" s="583"/>
      <c r="NJW119" s="590"/>
      <c r="NJX119" s="589"/>
      <c r="NJY119" s="585"/>
      <c r="NJZ119" s="577"/>
      <c r="NKA119" s="304"/>
      <c r="NKB119" s="572"/>
      <c r="NKC119" s="573"/>
      <c r="NKD119" s="574"/>
      <c r="NKE119" s="575"/>
      <c r="NKF119" s="583"/>
      <c r="NKG119" s="590"/>
      <c r="NKH119" s="589"/>
      <c r="NKI119" s="585"/>
      <c r="NKJ119" s="577"/>
      <c r="NKK119" s="304"/>
      <c r="NKL119" s="572"/>
      <c r="NKM119" s="573"/>
      <c r="NKN119" s="574"/>
      <c r="NKO119" s="575"/>
      <c r="NKP119" s="583"/>
      <c r="NKQ119" s="590"/>
      <c r="NKR119" s="589"/>
      <c r="NKS119" s="585"/>
      <c r="NKT119" s="577"/>
      <c r="NKU119" s="304"/>
      <c r="NKV119" s="572"/>
      <c r="NKW119" s="573"/>
      <c r="NKX119" s="574"/>
      <c r="NKY119" s="575"/>
      <c r="NKZ119" s="583"/>
      <c r="NLA119" s="590"/>
      <c r="NLB119" s="589"/>
      <c r="NLC119" s="585"/>
      <c r="NLD119" s="577"/>
      <c r="NLE119" s="304"/>
      <c r="NLF119" s="572"/>
      <c r="NLG119" s="573"/>
      <c r="NLH119" s="574"/>
      <c r="NLI119" s="575"/>
      <c r="NLJ119" s="583"/>
      <c r="NLK119" s="590"/>
      <c r="NLL119" s="589"/>
      <c r="NLM119" s="585"/>
      <c r="NLN119" s="577"/>
      <c r="NLO119" s="304"/>
      <c r="NLP119" s="572"/>
      <c r="NLQ119" s="573"/>
      <c r="NLR119" s="574"/>
      <c r="NLS119" s="575"/>
      <c r="NLT119" s="583"/>
      <c r="NLU119" s="590"/>
      <c r="NLV119" s="589"/>
      <c r="NLW119" s="585"/>
      <c r="NLX119" s="577"/>
      <c r="NLY119" s="304"/>
      <c r="NLZ119" s="572"/>
      <c r="NMA119" s="573"/>
      <c r="NMB119" s="574"/>
      <c r="NMC119" s="575"/>
      <c r="NMD119" s="583"/>
      <c r="NME119" s="590"/>
      <c r="NMF119" s="589"/>
      <c r="NMG119" s="585"/>
      <c r="NMH119" s="577"/>
      <c r="NMI119" s="304"/>
      <c r="NMJ119" s="572"/>
      <c r="NMK119" s="573"/>
      <c r="NML119" s="574"/>
      <c r="NMM119" s="575"/>
      <c r="NMN119" s="583"/>
      <c r="NMO119" s="590"/>
      <c r="NMP119" s="589"/>
      <c r="NMQ119" s="585"/>
      <c r="NMR119" s="577"/>
      <c r="NMS119" s="304"/>
      <c r="NMT119" s="572"/>
      <c r="NMU119" s="573"/>
      <c r="NMV119" s="574"/>
      <c r="NMW119" s="575"/>
      <c r="NMX119" s="583"/>
      <c r="NMY119" s="590"/>
      <c r="NMZ119" s="589"/>
      <c r="NNA119" s="585"/>
      <c r="NNB119" s="577"/>
      <c r="NNC119" s="304"/>
      <c r="NND119" s="572"/>
      <c r="NNE119" s="573"/>
      <c r="NNF119" s="574"/>
      <c r="NNG119" s="575"/>
      <c r="NNH119" s="583"/>
      <c r="NNI119" s="590"/>
      <c r="NNJ119" s="589"/>
      <c r="NNK119" s="585"/>
      <c r="NNL119" s="577"/>
      <c r="NNM119" s="304"/>
      <c r="NNN119" s="572"/>
      <c r="NNO119" s="573"/>
      <c r="NNP119" s="574"/>
      <c r="NNQ119" s="575"/>
      <c r="NNR119" s="583"/>
      <c r="NNS119" s="590"/>
      <c r="NNT119" s="589"/>
      <c r="NNU119" s="585"/>
      <c r="NNV119" s="577"/>
      <c r="NNW119" s="304"/>
      <c r="NNX119" s="572"/>
      <c r="NNY119" s="573"/>
      <c r="NNZ119" s="574"/>
      <c r="NOA119" s="575"/>
      <c r="NOB119" s="583"/>
      <c r="NOC119" s="590"/>
      <c r="NOD119" s="589"/>
      <c r="NOE119" s="585"/>
      <c r="NOF119" s="577"/>
      <c r="NOG119" s="304"/>
      <c r="NOH119" s="572"/>
      <c r="NOI119" s="573"/>
      <c r="NOJ119" s="574"/>
      <c r="NOK119" s="575"/>
      <c r="NOL119" s="583"/>
      <c r="NOM119" s="590"/>
      <c r="NON119" s="589"/>
      <c r="NOO119" s="585"/>
      <c r="NOP119" s="577"/>
      <c r="NOQ119" s="304"/>
      <c r="NOR119" s="572"/>
      <c r="NOS119" s="573"/>
      <c r="NOT119" s="574"/>
      <c r="NOU119" s="575"/>
      <c r="NOV119" s="583"/>
      <c r="NOW119" s="590"/>
      <c r="NOX119" s="589"/>
      <c r="NOY119" s="585"/>
      <c r="NOZ119" s="577"/>
      <c r="NPA119" s="304"/>
      <c r="NPB119" s="572"/>
      <c r="NPC119" s="573"/>
      <c r="NPD119" s="574"/>
      <c r="NPE119" s="575"/>
      <c r="NPF119" s="583"/>
      <c r="NPG119" s="590"/>
      <c r="NPH119" s="589"/>
      <c r="NPI119" s="585"/>
      <c r="NPJ119" s="577"/>
      <c r="NPK119" s="304"/>
      <c r="NPL119" s="572"/>
      <c r="NPM119" s="573"/>
      <c r="NPN119" s="574"/>
      <c r="NPO119" s="575"/>
      <c r="NPP119" s="583"/>
      <c r="NPQ119" s="590"/>
      <c r="NPR119" s="589"/>
      <c r="NPS119" s="585"/>
      <c r="NPT119" s="577"/>
      <c r="NPU119" s="304"/>
      <c r="NPV119" s="572"/>
      <c r="NPW119" s="573"/>
      <c r="NPX119" s="574"/>
      <c r="NPY119" s="575"/>
      <c r="NPZ119" s="583"/>
      <c r="NQA119" s="590"/>
      <c r="NQB119" s="589"/>
      <c r="NQC119" s="585"/>
      <c r="NQD119" s="577"/>
      <c r="NQE119" s="304"/>
      <c r="NQF119" s="572"/>
      <c r="NQG119" s="573"/>
      <c r="NQH119" s="574"/>
      <c r="NQI119" s="575"/>
      <c r="NQJ119" s="583"/>
      <c r="NQK119" s="590"/>
      <c r="NQL119" s="589"/>
      <c r="NQM119" s="585"/>
      <c r="NQN119" s="577"/>
      <c r="NQO119" s="304"/>
      <c r="NQP119" s="572"/>
      <c r="NQQ119" s="573"/>
      <c r="NQR119" s="574"/>
      <c r="NQS119" s="575"/>
      <c r="NQT119" s="583"/>
      <c r="NQU119" s="590"/>
      <c r="NQV119" s="589"/>
      <c r="NQW119" s="585"/>
      <c r="NQX119" s="577"/>
      <c r="NQY119" s="304"/>
      <c r="NQZ119" s="572"/>
      <c r="NRA119" s="573"/>
      <c r="NRB119" s="574"/>
      <c r="NRC119" s="575"/>
      <c r="NRD119" s="583"/>
      <c r="NRE119" s="590"/>
      <c r="NRF119" s="589"/>
      <c r="NRG119" s="585"/>
      <c r="NRH119" s="577"/>
      <c r="NRI119" s="304"/>
      <c r="NRJ119" s="572"/>
      <c r="NRK119" s="573"/>
      <c r="NRL119" s="574"/>
      <c r="NRM119" s="575"/>
      <c r="NRN119" s="583"/>
      <c r="NRO119" s="590"/>
      <c r="NRP119" s="589"/>
      <c r="NRQ119" s="585"/>
      <c r="NRR119" s="577"/>
      <c r="NRS119" s="304"/>
      <c r="NRT119" s="572"/>
      <c r="NRU119" s="573"/>
      <c r="NRV119" s="574"/>
      <c r="NRW119" s="575"/>
      <c r="NRX119" s="583"/>
      <c r="NRY119" s="590"/>
      <c r="NRZ119" s="589"/>
      <c r="NSA119" s="585"/>
      <c r="NSB119" s="577"/>
      <c r="NSC119" s="304"/>
      <c r="NSD119" s="572"/>
      <c r="NSE119" s="573"/>
      <c r="NSF119" s="574"/>
      <c r="NSG119" s="575"/>
      <c r="NSH119" s="583"/>
      <c r="NSI119" s="590"/>
      <c r="NSJ119" s="589"/>
      <c r="NSK119" s="585"/>
      <c r="NSL119" s="577"/>
      <c r="NSM119" s="304"/>
      <c r="NSN119" s="572"/>
      <c r="NSO119" s="573"/>
      <c r="NSP119" s="574"/>
      <c r="NSQ119" s="575"/>
      <c r="NSR119" s="583"/>
      <c r="NSS119" s="590"/>
      <c r="NST119" s="589"/>
      <c r="NSU119" s="585"/>
      <c r="NSV119" s="577"/>
      <c r="NSW119" s="304"/>
      <c r="NSX119" s="572"/>
      <c r="NSY119" s="573"/>
      <c r="NSZ119" s="574"/>
      <c r="NTA119" s="575"/>
      <c r="NTB119" s="583"/>
      <c r="NTC119" s="590"/>
      <c r="NTD119" s="589"/>
      <c r="NTE119" s="585"/>
      <c r="NTF119" s="577"/>
      <c r="NTG119" s="304"/>
      <c r="NTH119" s="572"/>
      <c r="NTI119" s="573"/>
      <c r="NTJ119" s="574"/>
      <c r="NTK119" s="575"/>
      <c r="NTL119" s="583"/>
      <c r="NTM119" s="590"/>
      <c r="NTN119" s="589"/>
      <c r="NTO119" s="585"/>
      <c r="NTP119" s="577"/>
      <c r="NTQ119" s="304"/>
      <c r="NTR119" s="572"/>
      <c r="NTS119" s="573"/>
      <c r="NTT119" s="574"/>
      <c r="NTU119" s="575"/>
      <c r="NTV119" s="583"/>
      <c r="NTW119" s="590"/>
      <c r="NTX119" s="589"/>
      <c r="NTY119" s="585"/>
      <c r="NTZ119" s="577"/>
      <c r="NUA119" s="304"/>
      <c r="NUB119" s="572"/>
      <c r="NUC119" s="573"/>
      <c r="NUD119" s="574"/>
      <c r="NUE119" s="575"/>
      <c r="NUF119" s="583"/>
      <c r="NUG119" s="590"/>
      <c r="NUH119" s="589"/>
      <c r="NUI119" s="585"/>
      <c r="NUJ119" s="577"/>
      <c r="NUK119" s="304"/>
      <c r="NUL119" s="572"/>
      <c r="NUM119" s="573"/>
      <c r="NUN119" s="574"/>
      <c r="NUO119" s="575"/>
      <c r="NUP119" s="583"/>
      <c r="NUQ119" s="590"/>
      <c r="NUR119" s="589"/>
      <c r="NUS119" s="585"/>
      <c r="NUT119" s="577"/>
      <c r="NUU119" s="304"/>
      <c r="NUV119" s="572"/>
      <c r="NUW119" s="573"/>
      <c r="NUX119" s="574"/>
      <c r="NUY119" s="575"/>
      <c r="NUZ119" s="583"/>
      <c r="NVA119" s="590"/>
      <c r="NVB119" s="589"/>
      <c r="NVC119" s="585"/>
      <c r="NVD119" s="577"/>
      <c r="NVE119" s="304"/>
      <c r="NVF119" s="572"/>
      <c r="NVG119" s="573"/>
      <c r="NVH119" s="574"/>
      <c r="NVI119" s="575"/>
      <c r="NVJ119" s="583"/>
      <c r="NVK119" s="590"/>
      <c r="NVL119" s="589"/>
      <c r="NVM119" s="585"/>
      <c r="NVN119" s="577"/>
      <c r="NVO119" s="304"/>
      <c r="NVP119" s="572"/>
      <c r="NVQ119" s="573"/>
      <c r="NVR119" s="574"/>
      <c r="NVS119" s="575"/>
      <c r="NVT119" s="583"/>
      <c r="NVU119" s="590"/>
      <c r="NVV119" s="589"/>
      <c r="NVW119" s="585"/>
      <c r="NVX119" s="577"/>
      <c r="NVY119" s="304"/>
      <c r="NVZ119" s="572"/>
      <c r="NWA119" s="573"/>
      <c r="NWB119" s="574"/>
      <c r="NWC119" s="575"/>
      <c r="NWD119" s="583"/>
      <c r="NWE119" s="590"/>
      <c r="NWF119" s="589"/>
      <c r="NWG119" s="585"/>
      <c r="NWH119" s="577"/>
      <c r="NWI119" s="304"/>
      <c r="NWJ119" s="572"/>
      <c r="NWK119" s="573"/>
      <c r="NWL119" s="574"/>
      <c r="NWM119" s="575"/>
      <c r="NWN119" s="583"/>
      <c r="NWO119" s="590"/>
      <c r="NWP119" s="589"/>
      <c r="NWQ119" s="585"/>
      <c r="NWR119" s="577"/>
      <c r="NWS119" s="304"/>
      <c r="NWT119" s="572"/>
      <c r="NWU119" s="573"/>
      <c r="NWV119" s="574"/>
      <c r="NWW119" s="575"/>
      <c r="NWX119" s="583"/>
      <c r="NWY119" s="590"/>
      <c r="NWZ119" s="589"/>
      <c r="NXA119" s="585"/>
      <c r="NXB119" s="577"/>
      <c r="NXC119" s="304"/>
      <c r="NXD119" s="572"/>
      <c r="NXE119" s="573"/>
      <c r="NXF119" s="574"/>
      <c r="NXG119" s="575"/>
      <c r="NXH119" s="583"/>
      <c r="NXI119" s="590"/>
      <c r="NXJ119" s="589"/>
      <c r="NXK119" s="585"/>
      <c r="NXL119" s="577"/>
      <c r="NXM119" s="304"/>
      <c r="NXN119" s="572"/>
      <c r="NXO119" s="573"/>
      <c r="NXP119" s="574"/>
      <c r="NXQ119" s="575"/>
      <c r="NXR119" s="583"/>
      <c r="NXS119" s="590"/>
      <c r="NXT119" s="589"/>
      <c r="NXU119" s="585"/>
      <c r="NXV119" s="577"/>
      <c r="NXW119" s="304"/>
      <c r="NXX119" s="572"/>
      <c r="NXY119" s="573"/>
      <c r="NXZ119" s="574"/>
      <c r="NYA119" s="575"/>
      <c r="NYB119" s="583"/>
      <c r="NYC119" s="590"/>
      <c r="NYD119" s="589"/>
      <c r="NYE119" s="585"/>
      <c r="NYF119" s="577"/>
      <c r="NYG119" s="304"/>
      <c r="NYH119" s="572"/>
      <c r="NYI119" s="573"/>
      <c r="NYJ119" s="574"/>
      <c r="NYK119" s="575"/>
      <c r="NYL119" s="583"/>
      <c r="NYM119" s="590"/>
      <c r="NYN119" s="589"/>
      <c r="NYO119" s="585"/>
      <c r="NYP119" s="577"/>
      <c r="NYQ119" s="304"/>
      <c r="NYR119" s="572"/>
      <c r="NYS119" s="573"/>
      <c r="NYT119" s="574"/>
      <c r="NYU119" s="575"/>
      <c r="NYV119" s="583"/>
      <c r="NYW119" s="590"/>
      <c r="NYX119" s="589"/>
      <c r="NYY119" s="585"/>
      <c r="NYZ119" s="577"/>
      <c r="NZA119" s="304"/>
      <c r="NZB119" s="572"/>
      <c r="NZC119" s="573"/>
      <c r="NZD119" s="574"/>
      <c r="NZE119" s="575"/>
      <c r="NZF119" s="583"/>
      <c r="NZG119" s="590"/>
      <c r="NZH119" s="589"/>
      <c r="NZI119" s="585"/>
      <c r="NZJ119" s="577"/>
      <c r="NZK119" s="304"/>
      <c r="NZL119" s="572"/>
      <c r="NZM119" s="573"/>
      <c r="NZN119" s="574"/>
      <c r="NZO119" s="575"/>
      <c r="NZP119" s="583"/>
      <c r="NZQ119" s="590"/>
      <c r="NZR119" s="589"/>
      <c r="NZS119" s="585"/>
      <c r="NZT119" s="577"/>
      <c r="NZU119" s="304"/>
      <c r="NZV119" s="572"/>
      <c r="NZW119" s="573"/>
      <c r="NZX119" s="574"/>
      <c r="NZY119" s="575"/>
      <c r="NZZ119" s="583"/>
      <c r="OAA119" s="590"/>
      <c r="OAB119" s="589"/>
      <c r="OAC119" s="585"/>
      <c r="OAD119" s="577"/>
      <c r="OAE119" s="304"/>
      <c r="OAF119" s="572"/>
      <c r="OAG119" s="573"/>
      <c r="OAH119" s="574"/>
      <c r="OAI119" s="575"/>
      <c r="OAJ119" s="583"/>
      <c r="OAK119" s="590"/>
      <c r="OAL119" s="589"/>
      <c r="OAM119" s="585"/>
      <c r="OAN119" s="577"/>
      <c r="OAO119" s="304"/>
      <c r="OAP119" s="572"/>
      <c r="OAQ119" s="573"/>
      <c r="OAR119" s="574"/>
      <c r="OAS119" s="575"/>
      <c r="OAT119" s="583"/>
      <c r="OAU119" s="590"/>
      <c r="OAV119" s="589"/>
      <c r="OAW119" s="585"/>
      <c r="OAX119" s="577"/>
      <c r="OAY119" s="304"/>
      <c r="OAZ119" s="572"/>
      <c r="OBA119" s="573"/>
      <c r="OBB119" s="574"/>
      <c r="OBC119" s="575"/>
      <c r="OBD119" s="583"/>
      <c r="OBE119" s="590"/>
      <c r="OBF119" s="589"/>
      <c r="OBG119" s="585"/>
      <c r="OBH119" s="577"/>
      <c r="OBI119" s="304"/>
      <c r="OBJ119" s="572"/>
      <c r="OBK119" s="573"/>
      <c r="OBL119" s="574"/>
      <c r="OBM119" s="575"/>
      <c r="OBN119" s="583"/>
      <c r="OBO119" s="590"/>
      <c r="OBP119" s="589"/>
      <c r="OBQ119" s="585"/>
      <c r="OBR119" s="577"/>
      <c r="OBS119" s="304"/>
      <c r="OBT119" s="572"/>
      <c r="OBU119" s="573"/>
      <c r="OBV119" s="574"/>
      <c r="OBW119" s="575"/>
      <c r="OBX119" s="583"/>
      <c r="OBY119" s="590"/>
      <c r="OBZ119" s="589"/>
      <c r="OCA119" s="585"/>
      <c r="OCB119" s="577"/>
      <c r="OCC119" s="304"/>
      <c r="OCD119" s="572"/>
      <c r="OCE119" s="573"/>
      <c r="OCF119" s="574"/>
      <c r="OCG119" s="575"/>
      <c r="OCH119" s="583"/>
      <c r="OCI119" s="590"/>
      <c r="OCJ119" s="589"/>
      <c r="OCK119" s="585"/>
      <c r="OCL119" s="577"/>
      <c r="OCM119" s="304"/>
      <c r="OCN119" s="572"/>
      <c r="OCO119" s="573"/>
      <c r="OCP119" s="574"/>
      <c r="OCQ119" s="575"/>
      <c r="OCR119" s="583"/>
      <c r="OCS119" s="590"/>
      <c r="OCT119" s="589"/>
      <c r="OCU119" s="585"/>
      <c r="OCV119" s="577"/>
      <c r="OCW119" s="304"/>
      <c r="OCX119" s="572"/>
      <c r="OCY119" s="573"/>
      <c r="OCZ119" s="574"/>
      <c r="ODA119" s="575"/>
      <c r="ODB119" s="583"/>
      <c r="ODC119" s="590"/>
      <c r="ODD119" s="589"/>
      <c r="ODE119" s="585"/>
      <c r="ODF119" s="577"/>
      <c r="ODG119" s="304"/>
      <c r="ODH119" s="572"/>
      <c r="ODI119" s="573"/>
      <c r="ODJ119" s="574"/>
      <c r="ODK119" s="575"/>
      <c r="ODL119" s="583"/>
      <c r="ODM119" s="590"/>
      <c r="ODN119" s="589"/>
      <c r="ODO119" s="585"/>
      <c r="ODP119" s="577"/>
      <c r="ODQ119" s="304"/>
      <c r="ODR119" s="572"/>
      <c r="ODS119" s="573"/>
      <c r="ODT119" s="574"/>
      <c r="ODU119" s="575"/>
      <c r="ODV119" s="583"/>
      <c r="ODW119" s="590"/>
      <c r="ODX119" s="589"/>
      <c r="ODY119" s="585"/>
      <c r="ODZ119" s="577"/>
      <c r="OEA119" s="304"/>
      <c r="OEB119" s="572"/>
      <c r="OEC119" s="573"/>
      <c r="OED119" s="574"/>
      <c r="OEE119" s="575"/>
      <c r="OEF119" s="583"/>
      <c r="OEG119" s="590"/>
      <c r="OEH119" s="589"/>
      <c r="OEI119" s="585"/>
      <c r="OEJ119" s="577"/>
      <c r="OEK119" s="304"/>
      <c r="OEL119" s="572"/>
      <c r="OEM119" s="573"/>
      <c r="OEN119" s="574"/>
      <c r="OEO119" s="575"/>
      <c r="OEP119" s="583"/>
      <c r="OEQ119" s="590"/>
      <c r="OER119" s="589"/>
      <c r="OES119" s="585"/>
      <c r="OET119" s="577"/>
      <c r="OEU119" s="304"/>
      <c r="OEV119" s="572"/>
      <c r="OEW119" s="573"/>
      <c r="OEX119" s="574"/>
      <c r="OEY119" s="575"/>
      <c r="OEZ119" s="583"/>
      <c r="OFA119" s="590"/>
      <c r="OFB119" s="589"/>
      <c r="OFC119" s="585"/>
      <c r="OFD119" s="577"/>
      <c r="OFE119" s="304"/>
      <c r="OFF119" s="572"/>
      <c r="OFG119" s="573"/>
      <c r="OFH119" s="574"/>
      <c r="OFI119" s="575"/>
      <c r="OFJ119" s="583"/>
      <c r="OFK119" s="590"/>
      <c r="OFL119" s="589"/>
      <c r="OFM119" s="585"/>
      <c r="OFN119" s="577"/>
      <c r="OFO119" s="304"/>
      <c r="OFP119" s="572"/>
      <c r="OFQ119" s="573"/>
      <c r="OFR119" s="574"/>
      <c r="OFS119" s="575"/>
      <c r="OFT119" s="583"/>
      <c r="OFU119" s="590"/>
      <c r="OFV119" s="589"/>
      <c r="OFW119" s="585"/>
      <c r="OFX119" s="577"/>
      <c r="OFY119" s="304"/>
      <c r="OFZ119" s="572"/>
      <c r="OGA119" s="573"/>
      <c r="OGB119" s="574"/>
      <c r="OGC119" s="575"/>
      <c r="OGD119" s="583"/>
      <c r="OGE119" s="590"/>
      <c r="OGF119" s="589"/>
      <c r="OGG119" s="585"/>
      <c r="OGH119" s="577"/>
      <c r="OGI119" s="304"/>
      <c r="OGJ119" s="572"/>
      <c r="OGK119" s="573"/>
      <c r="OGL119" s="574"/>
      <c r="OGM119" s="575"/>
      <c r="OGN119" s="583"/>
      <c r="OGO119" s="590"/>
      <c r="OGP119" s="589"/>
      <c r="OGQ119" s="585"/>
      <c r="OGR119" s="577"/>
      <c r="OGS119" s="304"/>
      <c r="OGT119" s="572"/>
      <c r="OGU119" s="573"/>
      <c r="OGV119" s="574"/>
      <c r="OGW119" s="575"/>
      <c r="OGX119" s="583"/>
      <c r="OGY119" s="590"/>
      <c r="OGZ119" s="589"/>
      <c r="OHA119" s="585"/>
      <c r="OHB119" s="577"/>
      <c r="OHC119" s="304"/>
      <c r="OHD119" s="572"/>
      <c r="OHE119" s="573"/>
      <c r="OHF119" s="574"/>
      <c r="OHG119" s="575"/>
      <c r="OHH119" s="583"/>
      <c r="OHI119" s="590"/>
      <c r="OHJ119" s="589"/>
      <c r="OHK119" s="585"/>
      <c r="OHL119" s="577"/>
      <c r="OHM119" s="304"/>
      <c r="OHN119" s="572"/>
      <c r="OHO119" s="573"/>
      <c r="OHP119" s="574"/>
      <c r="OHQ119" s="575"/>
      <c r="OHR119" s="583"/>
      <c r="OHS119" s="590"/>
      <c r="OHT119" s="589"/>
      <c r="OHU119" s="585"/>
      <c r="OHV119" s="577"/>
      <c r="OHW119" s="304"/>
      <c r="OHX119" s="572"/>
      <c r="OHY119" s="573"/>
      <c r="OHZ119" s="574"/>
      <c r="OIA119" s="575"/>
      <c r="OIB119" s="583"/>
      <c r="OIC119" s="590"/>
      <c r="OID119" s="589"/>
      <c r="OIE119" s="585"/>
      <c r="OIF119" s="577"/>
      <c r="OIG119" s="304"/>
      <c r="OIH119" s="572"/>
      <c r="OII119" s="573"/>
      <c r="OIJ119" s="574"/>
      <c r="OIK119" s="575"/>
      <c r="OIL119" s="583"/>
      <c r="OIM119" s="590"/>
      <c r="OIN119" s="589"/>
      <c r="OIO119" s="585"/>
      <c r="OIP119" s="577"/>
      <c r="OIQ119" s="304"/>
      <c r="OIR119" s="572"/>
      <c r="OIS119" s="573"/>
      <c r="OIT119" s="574"/>
      <c r="OIU119" s="575"/>
      <c r="OIV119" s="583"/>
      <c r="OIW119" s="590"/>
      <c r="OIX119" s="589"/>
      <c r="OIY119" s="585"/>
      <c r="OIZ119" s="577"/>
      <c r="OJA119" s="304"/>
      <c r="OJB119" s="572"/>
      <c r="OJC119" s="573"/>
      <c r="OJD119" s="574"/>
      <c r="OJE119" s="575"/>
      <c r="OJF119" s="583"/>
      <c r="OJG119" s="590"/>
      <c r="OJH119" s="589"/>
      <c r="OJI119" s="585"/>
      <c r="OJJ119" s="577"/>
      <c r="OJK119" s="304"/>
      <c r="OJL119" s="572"/>
      <c r="OJM119" s="573"/>
      <c r="OJN119" s="574"/>
      <c r="OJO119" s="575"/>
      <c r="OJP119" s="583"/>
      <c r="OJQ119" s="590"/>
      <c r="OJR119" s="589"/>
      <c r="OJS119" s="585"/>
      <c r="OJT119" s="577"/>
      <c r="OJU119" s="304"/>
      <c r="OJV119" s="572"/>
      <c r="OJW119" s="573"/>
      <c r="OJX119" s="574"/>
      <c r="OJY119" s="575"/>
      <c r="OJZ119" s="583"/>
      <c r="OKA119" s="590"/>
      <c r="OKB119" s="589"/>
      <c r="OKC119" s="585"/>
      <c r="OKD119" s="577"/>
      <c r="OKE119" s="304"/>
      <c r="OKF119" s="572"/>
      <c r="OKG119" s="573"/>
      <c r="OKH119" s="574"/>
      <c r="OKI119" s="575"/>
      <c r="OKJ119" s="583"/>
      <c r="OKK119" s="590"/>
      <c r="OKL119" s="589"/>
      <c r="OKM119" s="585"/>
      <c r="OKN119" s="577"/>
      <c r="OKO119" s="304"/>
      <c r="OKP119" s="572"/>
      <c r="OKQ119" s="573"/>
      <c r="OKR119" s="574"/>
      <c r="OKS119" s="575"/>
      <c r="OKT119" s="583"/>
      <c r="OKU119" s="590"/>
      <c r="OKV119" s="589"/>
      <c r="OKW119" s="585"/>
      <c r="OKX119" s="577"/>
      <c r="OKY119" s="304"/>
      <c r="OKZ119" s="572"/>
      <c r="OLA119" s="573"/>
      <c r="OLB119" s="574"/>
      <c r="OLC119" s="575"/>
      <c r="OLD119" s="583"/>
      <c r="OLE119" s="590"/>
      <c r="OLF119" s="589"/>
      <c r="OLG119" s="585"/>
      <c r="OLH119" s="577"/>
      <c r="OLI119" s="304"/>
      <c r="OLJ119" s="572"/>
      <c r="OLK119" s="573"/>
      <c r="OLL119" s="574"/>
      <c r="OLM119" s="575"/>
      <c r="OLN119" s="583"/>
      <c r="OLO119" s="590"/>
      <c r="OLP119" s="589"/>
      <c r="OLQ119" s="585"/>
      <c r="OLR119" s="577"/>
      <c r="OLS119" s="304"/>
      <c r="OLT119" s="572"/>
      <c r="OLU119" s="573"/>
      <c r="OLV119" s="574"/>
      <c r="OLW119" s="575"/>
      <c r="OLX119" s="583"/>
      <c r="OLY119" s="590"/>
      <c r="OLZ119" s="589"/>
      <c r="OMA119" s="585"/>
      <c r="OMB119" s="577"/>
      <c r="OMC119" s="304"/>
      <c r="OMD119" s="572"/>
      <c r="OME119" s="573"/>
      <c r="OMF119" s="574"/>
      <c r="OMG119" s="575"/>
      <c r="OMH119" s="583"/>
      <c r="OMI119" s="590"/>
      <c r="OMJ119" s="589"/>
      <c r="OMK119" s="585"/>
      <c r="OML119" s="577"/>
      <c r="OMM119" s="304"/>
      <c r="OMN119" s="572"/>
      <c r="OMO119" s="573"/>
      <c r="OMP119" s="574"/>
      <c r="OMQ119" s="575"/>
      <c r="OMR119" s="583"/>
      <c r="OMS119" s="590"/>
      <c r="OMT119" s="589"/>
      <c r="OMU119" s="585"/>
      <c r="OMV119" s="577"/>
      <c r="OMW119" s="304"/>
      <c r="OMX119" s="572"/>
      <c r="OMY119" s="573"/>
      <c r="OMZ119" s="574"/>
      <c r="ONA119" s="575"/>
      <c r="ONB119" s="583"/>
      <c r="ONC119" s="590"/>
      <c r="OND119" s="589"/>
      <c r="ONE119" s="585"/>
      <c r="ONF119" s="577"/>
      <c r="ONG119" s="304"/>
      <c r="ONH119" s="572"/>
      <c r="ONI119" s="573"/>
      <c r="ONJ119" s="574"/>
      <c r="ONK119" s="575"/>
      <c r="ONL119" s="583"/>
      <c r="ONM119" s="590"/>
      <c r="ONN119" s="589"/>
      <c r="ONO119" s="585"/>
      <c r="ONP119" s="577"/>
      <c r="ONQ119" s="304"/>
      <c r="ONR119" s="572"/>
      <c r="ONS119" s="573"/>
      <c r="ONT119" s="574"/>
      <c r="ONU119" s="575"/>
      <c r="ONV119" s="583"/>
      <c r="ONW119" s="590"/>
      <c r="ONX119" s="589"/>
      <c r="ONY119" s="585"/>
      <c r="ONZ119" s="577"/>
      <c r="OOA119" s="304"/>
      <c r="OOB119" s="572"/>
      <c r="OOC119" s="573"/>
      <c r="OOD119" s="574"/>
      <c r="OOE119" s="575"/>
      <c r="OOF119" s="583"/>
      <c r="OOG119" s="590"/>
      <c r="OOH119" s="589"/>
      <c r="OOI119" s="585"/>
      <c r="OOJ119" s="577"/>
      <c r="OOK119" s="304"/>
      <c r="OOL119" s="572"/>
      <c r="OOM119" s="573"/>
      <c r="OON119" s="574"/>
      <c r="OOO119" s="575"/>
      <c r="OOP119" s="583"/>
      <c r="OOQ119" s="590"/>
      <c r="OOR119" s="589"/>
      <c r="OOS119" s="585"/>
      <c r="OOT119" s="577"/>
      <c r="OOU119" s="304"/>
      <c r="OOV119" s="572"/>
      <c r="OOW119" s="573"/>
      <c r="OOX119" s="574"/>
      <c r="OOY119" s="575"/>
      <c r="OOZ119" s="583"/>
      <c r="OPA119" s="590"/>
      <c r="OPB119" s="589"/>
      <c r="OPC119" s="585"/>
      <c r="OPD119" s="577"/>
      <c r="OPE119" s="304"/>
      <c r="OPF119" s="572"/>
      <c r="OPG119" s="573"/>
      <c r="OPH119" s="574"/>
      <c r="OPI119" s="575"/>
      <c r="OPJ119" s="583"/>
      <c r="OPK119" s="590"/>
      <c r="OPL119" s="589"/>
      <c r="OPM119" s="585"/>
      <c r="OPN119" s="577"/>
      <c r="OPO119" s="304"/>
      <c r="OPP119" s="572"/>
      <c r="OPQ119" s="573"/>
      <c r="OPR119" s="574"/>
      <c r="OPS119" s="575"/>
      <c r="OPT119" s="583"/>
      <c r="OPU119" s="590"/>
      <c r="OPV119" s="589"/>
      <c r="OPW119" s="585"/>
      <c r="OPX119" s="577"/>
      <c r="OPY119" s="304"/>
      <c r="OPZ119" s="572"/>
      <c r="OQA119" s="573"/>
      <c r="OQB119" s="574"/>
      <c r="OQC119" s="575"/>
      <c r="OQD119" s="583"/>
      <c r="OQE119" s="590"/>
      <c r="OQF119" s="589"/>
      <c r="OQG119" s="585"/>
      <c r="OQH119" s="577"/>
      <c r="OQI119" s="304"/>
      <c r="OQJ119" s="572"/>
      <c r="OQK119" s="573"/>
      <c r="OQL119" s="574"/>
      <c r="OQM119" s="575"/>
      <c r="OQN119" s="583"/>
      <c r="OQO119" s="590"/>
      <c r="OQP119" s="589"/>
      <c r="OQQ119" s="585"/>
      <c r="OQR119" s="577"/>
      <c r="OQS119" s="304"/>
      <c r="OQT119" s="572"/>
      <c r="OQU119" s="573"/>
      <c r="OQV119" s="574"/>
      <c r="OQW119" s="575"/>
      <c r="OQX119" s="583"/>
      <c r="OQY119" s="590"/>
      <c r="OQZ119" s="589"/>
      <c r="ORA119" s="585"/>
      <c r="ORB119" s="577"/>
      <c r="ORC119" s="304"/>
      <c r="ORD119" s="572"/>
      <c r="ORE119" s="573"/>
      <c r="ORF119" s="574"/>
      <c r="ORG119" s="575"/>
      <c r="ORH119" s="583"/>
      <c r="ORI119" s="590"/>
      <c r="ORJ119" s="589"/>
      <c r="ORK119" s="585"/>
      <c r="ORL119" s="577"/>
      <c r="ORM119" s="304"/>
      <c r="ORN119" s="572"/>
      <c r="ORO119" s="573"/>
      <c r="ORP119" s="574"/>
      <c r="ORQ119" s="575"/>
      <c r="ORR119" s="583"/>
      <c r="ORS119" s="590"/>
      <c r="ORT119" s="589"/>
      <c r="ORU119" s="585"/>
      <c r="ORV119" s="577"/>
      <c r="ORW119" s="304"/>
      <c r="ORX119" s="572"/>
      <c r="ORY119" s="573"/>
      <c r="ORZ119" s="574"/>
      <c r="OSA119" s="575"/>
      <c r="OSB119" s="583"/>
      <c r="OSC119" s="590"/>
      <c r="OSD119" s="589"/>
      <c r="OSE119" s="585"/>
      <c r="OSF119" s="577"/>
      <c r="OSG119" s="304"/>
      <c r="OSH119" s="572"/>
      <c r="OSI119" s="573"/>
      <c r="OSJ119" s="574"/>
      <c r="OSK119" s="575"/>
      <c r="OSL119" s="583"/>
      <c r="OSM119" s="590"/>
      <c r="OSN119" s="589"/>
      <c r="OSO119" s="585"/>
      <c r="OSP119" s="577"/>
      <c r="OSQ119" s="304"/>
      <c r="OSR119" s="572"/>
      <c r="OSS119" s="573"/>
      <c r="OST119" s="574"/>
      <c r="OSU119" s="575"/>
      <c r="OSV119" s="583"/>
      <c r="OSW119" s="590"/>
      <c r="OSX119" s="589"/>
      <c r="OSY119" s="585"/>
      <c r="OSZ119" s="577"/>
      <c r="OTA119" s="304"/>
      <c r="OTB119" s="572"/>
      <c r="OTC119" s="573"/>
      <c r="OTD119" s="574"/>
      <c r="OTE119" s="575"/>
      <c r="OTF119" s="583"/>
      <c r="OTG119" s="590"/>
      <c r="OTH119" s="589"/>
      <c r="OTI119" s="585"/>
      <c r="OTJ119" s="577"/>
      <c r="OTK119" s="304"/>
      <c r="OTL119" s="572"/>
      <c r="OTM119" s="573"/>
      <c r="OTN119" s="574"/>
      <c r="OTO119" s="575"/>
      <c r="OTP119" s="583"/>
      <c r="OTQ119" s="590"/>
      <c r="OTR119" s="589"/>
      <c r="OTS119" s="585"/>
      <c r="OTT119" s="577"/>
      <c r="OTU119" s="304"/>
      <c r="OTV119" s="572"/>
      <c r="OTW119" s="573"/>
      <c r="OTX119" s="574"/>
      <c r="OTY119" s="575"/>
      <c r="OTZ119" s="583"/>
      <c r="OUA119" s="590"/>
      <c r="OUB119" s="589"/>
      <c r="OUC119" s="585"/>
      <c r="OUD119" s="577"/>
      <c r="OUE119" s="304"/>
      <c r="OUF119" s="572"/>
      <c r="OUG119" s="573"/>
      <c r="OUH119" s="574"/>
      <c r="OUI119" s="575"/>
      <c r="OUJ119" s="583"/>
      <c r="OUK119" s="590"/>
      <c r="OUL119" s="589"/>
      <c r="OUM119" s="585"/>
      <c r="OUN119" s="577"/>
      <c r="OUO119" s="304"/>
      <c r="OUP119" s="572"/>
      <c r="OUQ119" s="573"/>
      <c r="OUR119" s="574"/>
      <c r="OUS119" s="575"/>
      <c r="OUT119" s="583"/>
      <c r="OUU119" s="590"/>
      <c r="OUV119" s="589"/>
      <c r="OUW119" s="585"/>
      <c r="OUX119" s="577"/>
      <c r="OUY119" s="304"/>
      <c r="OUZ119" s="572"/>
      <c r="OVA119" s="573"/>
      <c r="OVB119" s="574"/>
      <c r="OVC119" s="575"/>
      <c r="OVD119" s="583"/>
      <c r="OVE119" s="590"/>
      <c r="OVF119" s="589"/>
      <c r="OVG119" s="585"/>
      <c r="OVH119" s="577"/>
      <c r="OVI119" s="304"/>
      <c r="OVJ119" s="572"/>
      <c r="OVK119" s="573"/>
      <c r="OVL119" s="574"/>
      <c r="OVM119" s="575"/>
      <c r="OVN119" s="583"/>
      <c r="OVO119" s="590"/>
      <c r="OVP119" s="589"/>
      <c r="OVQ119" s="585"/>
      <c r="OVR119" s="577"/>
      <c r="OVS119" s="304"/>
      <c r="OVT119" s="572"/>
      <c r="OVU119" s="573"/>
      <c r="OVV119" s="574"/>
      <c r="OVW119" s="575"/>
      <c r="OVX119" s="583"/>
      <c r="OVY119" s="590"/>
      <c r="OVZ119" s="589"/>
      <c r="OWA119" s="585"/>
      <c r="OWB119" s="577"/>
      <c r="OWC119" s="304"/>
      <c r="OWD119" s="572"/>
      <c r="OWE119" s="573"/>
      <c r="OWF119" s="574"/>
      <c r="OWG119" s="575"/>
      <c r="OWH119" s="583"/>
      <c r="OWI119" s="590"/>
      <c r="OWJ119" s="589"/>
      <c r="OWK119" s="585"/>
      <c r="OWL119" s="577"/>
      <c r="OWM119" s="304"/>
      <c r="OWN119" s="572"/>
      <c r="OWO119" s="573"/>
      <c r="OWP119" s="574"/>
      <c r="OWQ119" s="575"/>
      <c r="OWR119" s="583"/>
      <c r="OWS119" s="590"/>
      <c r="OWT119" s="589"/>
      <c r="OWU119" s="585"/>
      <c r="OWV119" s="577"/>
      <c r="OWW119" s="304"/>
      <c r="OWX119" s="572"/>
      <c r="OWY119" s="573"/>
      <c r="OWZ119" s="574"/>
      <c r="OXA119" s="575"/>
      <c r="OXB119" s="583"/>
      <c r="OXC119" s="590"/>
      <c r="OXD119" s="589"/>
      <c r="OXE119" s="585"/>
      <c r="OXF119" s="577"/>
      <c r="OXG119" s="304"/>
      <c r="OXH119" s="572"/>
      <c r="OXI119" s="573"/>
      <c r="OXJ119" s="574"/>
      <c r="OXK119" s="575"/>
      <c r="OXL119" s="583"/>
      <c r="OXM119" s="590"/>
      <c r="OXN119" s="589"/>
      <c r="OXO119" s="585"/>
      <c r="OXP119" s="577"/>
      <c r="OXQ119" s="304"/>
      <c r="OXR119" s="572"/>
      <c r="OXS119" s="573"/>
      <c r="OXT119" s="574"/>
      <c r="OXU119" s="575"/>
      <c r="OXV119" s="583"/>
      <c r="OXW119" s="590"/>
      <c r="OXX119" s="589"/>
      <c r="OXY119" s="585"/>
      <c r="OXZ119" s="577"/>
      <c r="OYA119" s="304"/>
      <c r="OYB119" s="572"/>
      <c r="OYC119" s="573"/>
      <c r="OYD119" s="574"/>
      <c r="OYE119" s="575"/>
      <c r="OYF119" s="583"/>
      <c r="OYG119" s="590"/>
      <c r="OYH119" s="589"/>
      <c r="OYI119" s="585"/>
      <c r="OYJ119" s="577"/>
      <c r="OYK119" s="304"/>
      <c r="OYL119" s="572"/>
      <c r="OYM119" s="573"/>
      <c r="OYN119" s="574"/>
      <c r="OYO119" s="575"/>
      <c r="OYP119" s="583"/>
      <c r="OYQ119" s="590"/>
      <c r="OYR119" s="589"/>
      <c r="OYS119" s="585"/>
      <c r="OYT119" s="577"/>
      <c r="OYU119" s="304"/>
      <c r="OYV119" s="572"/>
      <c r="OYW119" s="573"/>
      <c r="OYX119" s="574"/>
      <c r="OYY119" s="575"/>
      <c r="OYZ119" s="583"/>
      <c r="OZA119" s="590"/>
      <c r="OZB119" s="589"/>
      <c r="OZC119" s="585"/>
      <c r="OZD119" s="577"/>
      <c r="OZE119" s="304"/>
      <c r="OZF119" s="572"/>
      <c r="OZG119" s="573"/>
      <c r="OZH119" s="574"/>
      <c r="OZI119" s="575"/>
      <c r="OZJ119" s="583"/>
      <c r="OZK119" s="590"/>
      <c r="OZL119" s="589"/>
      <c r="OZM119" s="585"/>
      <c r="OZN119" s="577"/>
      <c r="OZO119" s="304"/>
      <c r="OZP119" s="572"/>
      <c r="OZQ119" s="573"/>
      <c r="OZR119" s="574"/>
      <c r="OZS119" s="575"/>
      <c r="OZT119" s="583"/>
      <c r="OZU119" s="590"/>
      <c r="OZV119" s="589"/>
      <c r="OZW119" s="585"/>
      <c r="OZX119" s="577"/>
      <c r="OZY119" s="304"/>
      <c r="OZZ119" s="572"/>
      <c r="PAA119" s="573"/>
      <c r="PAB119" s="574"/>
      <c r="PAC119" s="575"/>
      <c r="PAD119" s="583"/>
      <c r="PAE119" s="590"/>
      <c r="PAF119" s="589"/>
      <c r="PAG119" s="585"/>
      <c r="PAH119" s="577"/>
      <c r="PAI119" s="304"/>
      <c r="PAJ119" s="572"/>
      <c r="PAK119" s="573"/>
      <c r="PAL119" s="574"/>
      <c r="PAM119" s="575"/>
      <c r="PAN119" s="583"/>
      <c r="PAO119" s="590"/>
      <c r="PAP119" s="589"/>
      <c r="PAQ119" s="585"/>
      <c r="PAR119" s="577"/>
      <c r="PAS119" s="304"/>
      <c r="PAT119" s="572"/>
      <c r="PAU119" s="573"/>
      <c r="PAV119" s="574"/>
      <c r="PAW119" s="575"/>
      <c r="PAX119" s="583"/>
      <c r="PAY119" s="590"/>
      <c r="PAZ119" s="589"/>
      <c r="PBA119" s="585"/>
      <c r="PBB119" s="577"/>
      <c r="PBC119" s="304"/>
      <c r="PBD119" s="572"/>
      <c r="PBE119" s="573"/>
      <c r="PBF119" s="574"/>
      <c r="PBG119" s="575"/>
      <c r="PBH119" s="583"/>
      <c r="PBI119" s="590"/>
      <c r="PBJ119" s="589"/>
      <c r="PBK119" s="585"/>
      <c r="PBL119" s="577"/>
      <c r="PBM119" s="304"/>
      <c r="PBN119" s="572"/>
      <c r="PBO119" s="573"/>
      <c r="PBP119" s="574"/>
      <c r="PBQ119" s="575"/>
      <c r="PBR119" s="583"/>
      <c r="PBS119" s="590"/>
      <c r="PBT119" s="589"/>
      <c r="PBU119" s="585"/>
      <c r="PBV119" s="577"/>
      <c r="PBW119" s="304"/>
      <c r="PBX119" s="572"/>
      <c r="PBY119" s="573"/>
      <c r="PBZ119" s="574"/>
      <c r="PCA119" s="575"/>
      <c r="PCB119" s="583"/>
      <c r="PCC119" s="590"/>
      <c r="PCD119" s="589"/>
      <c r="PCE119" s="585"/>
      <c r="PCF119" s="577"/>
      <c r="PCG119" s="304"/>
      <c r="PCH119" s="572"/>
      <c r="PCI119" s="573"/>
      <c r="PCJ119" s="574"/>
      <c r="PCK119" s="575"/>
      <c r="PCL119" s="583"/>
      <c r="PCM119" s="590"/>
      <c r="PCN119" s="589"/>
      <c r="PCO119" s="585"/>
      <c r="PCP119" s="577"/>
      <c r="PCQ119" s="304"/>
      <c r="PCR119" s="572"/>
      <c r="PCS119" s="573"/>
      <c r="PCT119" s="574"/>
      <c r="PCU119" s="575"/>
      <c r="PCV119" s="583"/>
      <c r="PCW119" s="590"/>
      <c r="PCX119" s="589"/>
      <c r="PCY119" s="585"/>
      <c r="PCZ119" s="577"/>
      <c r="PDA119" s="304"/>
      <c r="PDB119" s="572"/>
      <c r="PDC119" s="573"/>
      <c r="PDD119" s="574"/>
      <c r="PDE119" s="575"/>
      <c r="PDF119" s="583"/>
      <c r="PDG119" s="590"/>
      <c r="PDH119" s="589"/>
      <c r="PDI119" s="585"/>
      <c r="PDJ119" s="577"/>
      <c r="PDK119" s="304"/>
      <c r="PDL119" s="572"/>
      <c r="PDM119" s="573"/>
      <c r="PDN119" s="574"/>
      <c r="PDO119" s="575"/>
      <c r="PDP119" s="583"/>
      <c r="PDQ119" s="590"/>
      <c r="PDR119" s="589"/>
      <c r="PDS119" s="585"/>
      <c r="PDT119" s="577"/>
      <c r="PDU119" s="304"/>
      <c r="PDV119" s="572"/>
      <c r="PDW119" s="573"/>
      <c r="PDX119" s="574"/>
      <c r="PDY119" s="575"/>
      <c r="PDZ119" s="583"/>
      <c r="PEA119" s="590"/>
      <c r="PEB119" s="589"/>
      <c r="PEC119" s="585"/>
      <c r="PED119" s="577"/>
      <c r="PEE119" s="304"/>
      <c r="PEF119" s="572"/>
      <c r="PEG119" s="573"/>
      <c r="PEH119" s="574"/>
      <c r="PEI119" s="575"/>
      <c r="PEJ119" s="583"/>
      <c r="PEK119" s="590"/>
      <c r="PEL119" s="589"/>
      <c r="PEM119" s="585"/>
      <c r="PEN119" s="577"/>
      <c r="PEO119" s="304"/>
      <c r="PEP119" s="572"/>
      <c r="PEQ119" s="573"/>
      <c r="PER119" s="574"/>
      <c r="PES119" s="575"/>
      <c r="PET119" s="583"/>
      <c r="PEU119" s="590"/>
      <c r="PEV119" s="589"/>
      <c r="PEW119" s="585"/>
      <c r="PEX119" s="577"/>
      <c r="PEY119" s="304"/>
      <c r="PEZ119" s="572"/>
      <c r="PFA119" s="573"/>
      <c r="PFB119" s="574"/>
      <c r="PFC119" s="575"/>
      <c r="PFD119" s="583"/>
      <c r="PFE119" s="590"/>
      <c r="PFF119" s="589"/>
      <c r="PFG119" s="585"/>
      <c r="PFH119" s="577"/>
      <c r="PFI119" s="304"/>
      <c r="PFJ119" s="572"/>
      <c r="PFK119" s="573"/>
      <c r="PFL119" s="574"/>
      <c r="PFM119" s="575"/>
      <c r="PFN119" s="583"/>
      <c r="PFO119" s="590"/>
      <c r="PFP119" s="589"/>
      <c r="PFQ119" s="585"/>
      <c r="PFR119" s="577"/>
      <c r="PFS119" s="304"/>
      <c r="PFT119" s="572"/>
      <c r="PFU119" s="573"/>
      <c r="PFV119" s="574"/>
      <c r="PFW119" s="575"/>
      <c r="PFX119" s="583"/>
      <c r="PFY119" s="590"/>
      <c r="PFZ119" s="589"/>
      <c r="PGA119" s="585"/>
      <c r="PGB119" s="577"/>
      <c r="PGC119" s="304"/>
      <c r="PGD119" s="572"/>
      <c r="PGE119" s="573"/>
      <c r="PGF119" s="574"/>
      <c r="PGG119" s="575"/>
      <c r="PGH119" s="583"/>
      <c r="PGI119" s="590"/>
      <c r="PGJ119" s="589"/>
      <c r="PGK119" s="585"/>
      <c r="PGL119" s="577"/>
      <c r="PGM119" s="304"/>
      <c r="PGN119" s="572"/>
      <c r="PGO119" s="573"/>
      <c r="PGP119" s="574"/>
      <c r="PGQ119" s="575"/>
      <c r="PGR119" s="583"/>
      <c r="PGS119" s="590"/>
      <c r="PGT119" s="589"/>
      <c r="PGU119" s="585"/>
      <c r="PGV119" s="577"/>
      <c r="PGW119" s="304"/>
      <c r="PGX119" s="572"/>
      <c r="PGY119" s="573"/>
      <c r="PGZ119" s="574"/>
      <c r="PHA119" s="575"/>
      <c r="PHB119" s="583"/>
      <c r="PHC119" s="590"/>
      <c r="PHD119" s="589"/>
      <c r="PHE119" s="585"/>
      <c r="PHF119" s="577"/>
      <c r="PHG119" s="304"/>
      <c r="PHH119" s="572"/>
      <c r="PHI119" s="573"/>
      <c r="PHJ119" s="574"/>
      <c r="PHK119" s="575"/>
      <c r="PHL119" s="583"/>
      <c r="PHM119" s="590"/>
      <c r="PHN119" s="589"/>
      <c r="PHO119" s="585"/>
      <c r="PHP119" s="577"/>
      <c r="PHQ119" s="304"/>
      <c r="PHR119" s="572"/>
      <c r="PHS119" s="573"/>
      <c r="PHT119" s="574"/>
      <c r="PHU119" s="575"/>
      <c r="PHV119" s="583"/>
      <c r="PHW119" s="590"/>
      <c r="PHX119" s="589"/>
      <c r="PHY119" s="585"/>
      <c r="PHZ119" s="577"/>
      <c r="PIA119" s="304"/>
      <c r="PIB119" s="572"/>
      <c r="PIC119" s="573"/>
      <c r="PID119" s="574"/>
      <c r="PIE119" s="575"/>
      <c r="PIF119" s="583"/>
      <c r="PIG119" s="590"/>
      <c r="PIH119" s="589"/>
      <c r="PII119" s="585"/>
      <c r="PIJ119" s="577"/>
      <c r="PIK119" s="304"/>
      <c r="PIL119" s="572"/>
      <c r="PIM119" s="573"/>
      <c r="PIN119" s="574"/>
      <c r="PIO119" s="575"/>
      <c r="PIP119" s="583"/>
      <c r="PIQ119" s="590"/>
      <c r="PIR119" s="589"/>
      <c r="PIS119" s="585"/>
      <c r="PIT119" s="577"/>
      <c r="PIU119" s="304"/>
      <c r="PIV119" s="572"/>
      <c r="PIW119" s="573"/>
      <c r="PIX119" s="574"/>
      <c r="PIY119" s="575"/>
      <c r="PIZ119" s="583"/>
      <c r="PJA119" s="590"/>
      <c r="PJB119" s="589"/>
      <c r="PJC119" s="585"/>
      <c r="PJD119" s="577"/>
      <c r="PJE119" s="304"/>
      <c r="PJF119" s="572"/>
      <c r="PJG119" s="573"/>
      <c r="PJH119" s="574"/>
      <c r="PJI119" s="575"/>
      <c r="PJJ119" s="583"/>
      <c r="PJK119" s="590"/>
      <c r="PJL119" s="589"/>
      <c r="PJM119" s="585"/>
      <c r="PJN119" s="577"/>
      <c r="PJO119" s="304"/>
      <c r="PJP119" s="572"/>
      <c r="PJQ119" s="573"/>
      <c r="PJR119" s="574"/>
      <c r="PJS119" s="575"/>
      <c r="PJT119" s="583"/>
      <c r="PJU119" s="590"/>
      <c r="PJV119" s="589"/>
      <c r="PJW119" s="585"/>
      <c r="PJX119" s="577"/>
      <c r="PJY119" s="304"/>
      <c r="PJZ119" s="572"/>
      <c r="PKA119" s="573"/>
      <c r="PKB119" s="574"/>
      <c r="PKC119" s="575"/>
      <c r="PKD119" s="583"/>
      <c r="PKE119" s="590"/>
      <c r="PKF119" s="589"/>
      <c r="PKG119" s="585"/>
      <c r="PKH119" s="577"/>
      <c r="PKI119" s="304"/>
      <c r="PKJ119" s="572"/>
      <c r="PKK119" s="573"/>
      <c r="PKL119" s="574"/>
      <c r="PKM119" s="575"/>
      <c r="PKN119" s="583"/>
      <c r="PKO119" s="590"/>
      <c r="PKP119" s="589"/>
      <c r="PKQ119" s="585"/>
      <c r="PKR119" s="577"/>
      <c r="PKS119" s="304"/>
      <c r="PKT119" s="572"/>
      <c r="PKU119" s="573"/>
      <c r="PKV119" s="574"/>
      <c r="PKW119" s="575"/>
      <c r="PKX119" s="583"/>
      <c r="PKY119" s="590"/>
      <c r="PKZ119" s="589"/>
      <c r="PLA119" s="585"/>
      <c r="PLB119" s="577"/>
      <c r="PLC119" s="304"/>
      <c r="PLD119" s="572"/>
      <c r="PLE119" s="573"/>
      <c r="PLF119" s="574"/>
      <c r="PLG119" s="575"/>
      <c r="PLH119" s="583"/>
      <c r="PLI119" s="590"/>
      <c r="PLJ119" s="589"/>
      <c r="PLK119" s="585"/>
      <c r="PLL119" s="577"/>
      <c r="PLM119" s="304"/>
      <c r="PLN119" s="572"/>
      <c r="PLO119" s="573"/>
      <c r="PLP119" s="574"/>
      <c r="PLQ119" s="575"/>
      <c r="PLR119" s="583"/>
      <c r="PLS119" s="590"/>
      <c r="PLT119" s="589"/>
      <c r="PLU119" s="585"/>
      <c r="PLV119" s="577"/>
      <c r="PLW119" s="304"/>
      <c r="PLX119" s="572"/>
      <c r="PLY119" s="573"/>
      <c r="PLZ119" s="574"/>
      <c r="PMA119" s="575"/>
      <c r="PMB119" s="583"/>
      <c r="PMC119" s="590"/>
      <c r="PMD119" s="589"/>
      <c r="PME119" s="585"/>
      <c r="PMF119" s="577"/>
      <c r="PMG119" s="304"/>
      <c r="PMH119" s="572"/>
      <c r="PMI119" s="573"/>
      <c r="PMJ119" s="574"/>
      <c r="PMK119" s="575"/>
      <c r="PML119" s="583"/>
      <c r="PMM119" s="590"/>
      <c r="PMN119" s="589"/>
      <c r="PMO119" s="585"/>
      <c r="PMP119" s="577"/>
      <c r="PMQ119" s="304"/>
      <c r="PMR119" s="572"/>
      <c r="PMS119" s="573"/>
      <c r="PMT119" s="574"/>
      <c r="PMU119" s="575"/>
      <c r="PMV119" s="583"/>
      <c r="PMW119" s="590"/>
      <c r="PMX119" s="589"/>
      <c r="PMY119" s="585"/>
      <c r="PMZ119" s="577"/>
      <c r="PNA119" s="304"/>
      <c r="PNB119" s="572"/>
      <c r="PNC119" s="573"/>
      <c r="PND119" s="574"/>
      <c r="PNE119" s="575"/>
      <c r="PNF119" s="583"/>
      <c r="PNG119" s="590"/>
      <c r="PNH119" s="589"/>
      <c r="PNI119" s="585"/>
      <c r="PNJ119" s="577"/>
      <c r="PNK119" s="304"/>
      <c r="PNL119" s="572"/>
      <c r="PNM119" s="573"/>
      <c r="PNN119" s="574"/>
      <c r="PNO119" s="575"/>
      <c r="PNP119" s="583"/>
      <c r="PNQ119" s="590"/>
      <c r="PNR119" s="589"/>
      <c r="PNS119" s="585"/>
      <c r="PNT119" s="577"/>
      <c r="PNU119" s="304"/>
      <c r="PNV119" s="572"/>
      <c r="PNW119" s="573"/>
      <c r="PNX119" s="574"/>
      <c r="PNY119" s="575"/>
      <c r="PNZ119" s="583"/>
      <c r="POA119" s="590"/>
      <c r="POB119" s="589"/>
      <c r="POC119" s="585"/>
      <c r="POD119" s="577"/>
      <c r="POE119" s="304"/>
      <c r="POF119" s="572"/>
      <c r="POG119" s="573"/>
      <c r="POH119" s="574"/>
      <c r="POI119" s="575"/>
      <c r="POJ119" s="583"/>
      <c r="POK119" s="590"/>
      <c r="POL119" s="589"/>
      <c r="POM119" s="585"/>
      <c r="PON119" s="577"/>
      <c r="POO119" s="304"/>
      <c r="POP119" s="572"/>
      <c r="POQ119" s="573"/>
      <c r="POR119" s="574"/>
      <c r="POS119" s="575"/>
      <c r="POT119" s="583"/>
      <c r="POU119" s="590"/>
      <c r="POV119" s="589"/>
      <c r="POW119" s="585"/>
      <c r="POX119" s="577"/>
      <c r="POY119" s="304"/>
      <c r="POZ119" s="572"/>
      <c r="PPA119" s="573"/>
      <c r="PPB119" s="574"/>
      <c r="PPC119" s="575"/>
      <c r="PPD119" s="583"/>
      <c r="PPE119" s="590"/>
      <c r="PPF119" s="589"/>
      <c r="PPG119" s="585"/>
      <c r="PPH119" s="577"/>
      <c r="PPI119" s="304"/>
      <c r="PPJ119" s="572"/>
      <c r="PPK119" s="573"/>
      <c r="PPL119" s="574"/>
      <c r="PPM119" s="575"/>
      <c r="PPN119" s="583"/>
      <c r="PPO119" s="590"/>
      <c r="PPP119" s="589"/>
      <c r="PPQ119" s="585"/>
      <c r="PPR119" s="577"/>
      <c r="PPS119" s="304"/>
      <c r="PPT119" s="572"/>
      <c r="PPU119" s="573"/>
      <c r="PPV119" s="574"/>
      <c r="PPW119" s="575"/>
      <c r="PPX119" s="583"/>
      <c r="PPY119" s="590"/>
      <c r="PPZ119" s="589"/>
      <c r="PQA119" s="585"/>
      <c r="PQB119" s="577"/>
      <c r="PQC119" s="304"/>
      <c r="PQD119" s="572"/>
      <c r="PQE119" s="573"/>
      <c r="PQF119" s="574"/>
      <c r="PQG119" s="575"/>
      <c r="PQH119" s="583"/>
      <c r="PQI119" s="590"/>
      <c r="PQJ119" s="589"/>
      <c r="PQK119" s="585"/>
      <c r="PQL119" s="577"/>
      <c r="PQM119" s="304"/>
      <c r="PQN119" s="572"/>
      <c r="PQO119" s="573"/>
      <c r="PQP119" s="574"/>
      <c r="PQQ119" s="575"/>
      <c r="PQR119" s="583"/>
      <c r="PQS119" s="590"/>
      <c r="PQT119" s="589"/>
      <c r="PQU119" s="585"/>
      <c r="PQV119" s="577"/>
      <c r="PQW119" s="304"/>
      <c r="PQX119" s="572"/>
      <c r="PQY119" s="573"/>
      <c r="PQZ119" s="574"/>
      <c r="PRA119" s="575"/>
      <c r="PRB119" s="583"/>
      <c r="PRC119" s="590"/>
      <c r="PRD119" s="589"/>
      <c r="PRE119" s="585"/>
      <c r="PRF119" s="577"/>
      <c r="PRG119" s="304"/>
      <c r="PRH119" s="572"/>
      <c r="PRI119" s="573"/>
      <c r="PRJ119" s="574"/>
      <c r="PRK119" s="575"/>
      <c r="PRL119" s="583"/>
      <c r="PRM119" s="590"/>
      <c r="PRN119" s="589"/>
      <c r="PRO119" s="585"/>
      <c r="PRP119" s="577"/>
      <c r="PRQ119" s="304"/>
      <c r="PRR119" s="572"/>
      <c r="PRS119" s="573"/>
      <c r="PRT119" s="574"/>
      <c r="PRU119" s="575"/>
      <c r="PRV119" s="583"/>
      <c r="PRW119" s="590"/>
      <c r="PRX119" s="589"/>
      <c r="PRY119" s="585"/>
      <c r="PRZ119" s="577"/>
      <c r="PSA119" s="304"/>
      <c r="PSB119" s="572"/>
      <c r="PSC119" s="573"/>
      <c r="PSD119" s="574"/>
      <c r="PSE119" s="575"/>
      <c r="PSF119" s="583"/>
      <c r="PSG119" s="590"/>
      <c r="PSH119" s="589"/>
      <c r="PSI119" s="585"/>
      <c r="PSJ119" s="577"/>
      <c r="PSK119" s="304"/>
      <c r="PSL119" s="572"/>
      <c r="PSM119" s="573"/>
      <c r="PSN119" s="574"/>
      <c r="PSO119" s="575"/>
      <c r="PSP119" s="583"/>
      <c r="PSQ119" s="590"/>
      <c r="PSR119" s="589"/>
      <c r="PSS119" s="585"/>
      <c r="PST119" s="577"/>
      <c r="PSU119" s="304"/>
      <c r="PSV119" s="572"/>
      <c r="PSW119" s="573"/>
      <c r="PSX119" s="574"/>
      <c r="PSY119" s="575"/>
      <c r="PSZ119" s="583"/>
      <c r="PTA119" s="590"/>
      <c r="PTB119" s="589"/>
      <c r="PTC119" s="585"/>
      <c r="PTD119" s="577"/>
      <c r="PTE119" s="304"/>
      <c r="PTF119" s="572"/>
      <c r="PTG119" s="573"/>
      <c r="PTH119" s="574"/>
      <c r="PTI119" s="575"/>
      <c r="PTJ119" s="583"/>
      <c r="PTK119" s="590"/>
      <c r="PTL119" s="589"/>
      <c r="PTM119" s="585"/>
      <c r="PTN119" s="577"/>
      <c r="PTO119" s="304"/>
      <c r="PTP119" s="572"/>
      <c r="PTQ119" s="573"/>
      <c r="PTR119" s="574"/>
      <c r="PTS119" s="575"/>
      <c r="PTT119" s="583"/>
      <c r="PTU119" s="590"/>
      <c r="PTV119" s="589"/>
      <c r="PTW119" s="585"/>
      <c r="PTX119" s="577"/>
      <c r="PTY119" s="304"/>
      <c r="PTZ119" s="572"/>
      <c r="PUA119" s="573"/>
      <c r="PUB119" s="574"/>
      <c r="PUC119" s="575"/>
      <c r="PUD119" s="583"/>
      <c r="PUE119" s="590"/>
      <c r="PUF119" s="589"/>
      <c r="PUG119" s="585"/>
      <c r="PUH119" s="577"/>
      <c r="PUI119" s="304"/>
      <c r="PUJ119" s="572"/>
      <c r="PUK119" s="573"/>
      <c r="PUL119" s="574"/>
      <c r="PUM119" s="575"/>
      <c r="PUN119" s="583"/>
      <c r="PUO119" s="590"/>
      <c r="PUP119" s="589"/>
      <c r="PUQ119" s="585"/>
      <c r="PUR119" s="577"/>
      <c r="PUS119" s="304"/>
      <c r="PUT119" s="572"/>
      <c r="PUU119" s="573"/>
      <c r="PUV119" s="574"/>
      <c r="PUW119" s="575"/>
      <c r="PUX119" s="583"/>
      <c r="PUY119" s="590"/>
      <c r="PUZ119" s="589"/>
      <c r="PVA119" s="585"/>
      <c r="PVB119" s="577"/>
      <c r="PVC119" s="304"/>
      <c r="PVD119" s="572"/>
      <c r="PVE119" s="573"/>
      <c r="PVF119" s="574"/>
      <c r="PVG119" s="575"/>
      <c r="PVH119" s="583"/>
      <c r="PVI119" s="590"/>
      <c r="PVJ119" s="589"/>
      <c r="PVK119" s="585"/>
      <c r="PVL119" s="577"/>
      <c r="PVM119" s="304"/>
      <c r="PVN119" s="572"/>
      <c r="PVO119" s="573"/>
      <c r="PVP119" s="574"/>
      <c r="PVQ119" s="575"/>
      <c r="PVR119" s="583"/>
      <c r="PVS119" s="590"/>
      <c r="PVT119" s="589"/>
      <c r="PVU119" s="585"/>
      <c r="PVV119" s="577"/>
      <c r="PVW119" s="304"/>
      <c r="PVX119" s="572"/>
      <c r="PVY119" s="573"/>
      <c r="PVZ119" s="574"/>
      <c r="PWA119" s="575"/>
      <c r="PWB119" s="583"/>
      <c r="PWC119" s="590"/>
      <c r="PWD119" s="589"/>
      <c r="PWE119" s="585"/>
      <c r="PWF119" s="577"/>
      <c r="PWG119" s="304"/>
      <c r="PWH119" s="572"/>
      <c r="PWI119" s="573"/>
      <c r="PWJ119" s="574"/>
      <c r="PWK119" s="575"/>
      <c r="PWL119" s="583"/>
      <c r="PWM119" s="590"/>
      <c r="PWN119" s="589"/>
      <c r="PWO119" s="585"/>
      <c r="PWP119" s="577"/>
      <c r="PWQ119" s="304"/>
      <c r="PWR119" s="572"/>
      <c r="PWS119" s="573"/>
      <c r="PWT119" s="574"/>
      <c r="PWU119" s="575"/>
      <c r="PWV119" s="583"/>
      <c r="PWW119" s="590"/>
      <c r="PWX119" s="589"/>
      <c r="PWY119" s="585"/>
      <c r="PWZ119" s="577"/>
      <c r="PXA119" s="304"/>
      <c r="PXB119" s="572"/>
      <c r="PXC119" s="573"/>
      <c r="PXD119" s="574"/>
      <c r="PXE119" s="575"/>
      <c r="PXF119" s="583"/>
      <c r="PXG119" s="590"/>
      <c r="PXH119" s="589"/>
      <c r="PXI119" s="585"/>
      <c r="PXJ119" s="577"/>
      <c r="PXK119" s="304"/>
      <c r="PXL119" s="572"/>
      <c r="PXM119" s="573"/>
      <c r="PXN119" s="574"/>
      <c r="PXO119" s="575"/>
      <c r="PXP119" s="583"/>
      <c r="PXQ119" s="590"/>
      <c r="PXR119" s="589"/>
      <c r="PXS119" s="585"/>
      <c r="PXT119" s="577"/>
      <c r="PXU119" s="304"/>
      <c r="PXV119" s="572"/>
      <c r="PXW119" s="573"/>
      <c r="PXX119" s="574"/>
      <c r="PXY119" s="575"/>
      <c r="PXZ119" s="583"/>
      <c r="PYA119" s="590"/>
      <c r="PYB119" s="589"/>
      <c r="PYC119" s="585"/>
      <c r="PYD119" s="577"/>
      <c r="PYE119" s="304"/>
      <c r="PYF119" s="572"/>
      <c r="PYG119" s="573"/>
      <c r="PYH119" s="574"/>
      <c r="PYI119" s="575"/>
      <c r="PYJ119" s="583"/>
      <c r="PYK119" s="590"/>
      <c r="PYL119" s="589"/>
      <c r="PYM119" s="585"/>
      <c r="PYN119" s="577"/>
      <c r="PYO119" s="304"/>
      <c r="PYP119" s="572"/>
      <c r="PYQ119" s="573"/>
      <c r="PYR119" s="574"/>
      <c r="PYS119" s="575"/>
      <c r="PYT119" s="583"/>
      <c r="PYU119" s="590"/>
      <c r="PYV119" s="589"/>
      <c r="PYW119" s="585"/>
      <c r="PYX119" s="577"/>
      <c r="PYY119" s="304"/>
      <c r="PYZ119" s="572"/>
      <c r="PZA119" s="573"/>
      <c r="PZB119" s="574"/>
      <c r="PZC119" s="575"/>
      <c r="PZD119" s="583"/>
      <c r="PZE119" s="590"/>
      <c r="PZF119" s="589"/>
      <c r="PZG119" s="585"/>
      <c r="PZH119" s="577"/>
      <c r="PZI119" s="304"/>
      <c r="PZJ119" s="572"/>
      <c r="PZK119" s="573"/>
      <c r="PZL119" s="574"/>
      <c r="PZM119" s="575"/>
      <c r="PZN119" s="583"/>
      <c r="PZO119" s="590"/>
      <c r="PZP119" s="589"/>
      <c r="PZQ119" s="585"/>
      <c r="PZR119" s="577"/>
      <c r="PZS119" s="304"/>
      <c r="PZT119" s="572"/>
      <c r="PZU119" s="573"/>
      <c r="PZV119" s="574"/>
      <c r="PZW119" s="575"/>
      <c r="PZX119" s="583"/>
      <c r="PZY119" s="590"/>
      <c r="PZZ119" s="589"/>
      <c r="QAA119" s="585"/>
      <c r="QAB119" s="577"/>
      <c r="QAC119" s="304"/>
      <c r="QAD119" s="572"/>
      <c r="QAE119" s="573"/>
      <c r="QAF119" s="574"/>
      <c r="QAG119" s="575"/>
      <c r="QAH119" s="583"/>
      <c r="QAI119" s="590"/>
      <c r="QAJ119" s="589"/>
      <c r="QAK119" s="585"/>
      <c r="QAL119" s="577"/>
      <c r="QAM119" s="304"/>
      <c r="QAN119" s="572"/>
      <c r="QAO119" s="573"/>
      <c r="QAP119" s="574"/>
      <c r="QAQ119" s="575"/>
      <c r="QAR119" s="583"/>
      <c r="QAS119" s="590"/>
      <c r="QAT119" s="589"/>
      <c r="QAU119" s="585"/>
      <c r="QAV119" s="577"/>
      <c r="QAW119" s="304"/>
      <c r="QAX119" s="572"/>
      <c r="QAY119" s="573"/>
      <c r="QAZ119" s="574"/>
      <c r="QBA119" s="575"/>
      <c r="QBB119" s="583"/>
      <c r="QBC119" s="590"/>
      <c r="QBD119" s="589"/>
      <c r="QBE119" s="585"/>
      <c r="QBF119" s="577"/>
      <c r="QBG119" s="304"/>
      <c r="QBH119" s="572"/>
      <c r="QBI119" s="573"/>
      <c r="QBJ119" s="574"/>
      <c r="QBK119" s="575"/>
      <c r="QBL119" s="583"/>
      <c r="QBM119" s="590"/>
      <c r="QBN119" s="589"/>
      <c r="QBO119" s="585"/>
      <c r="QBP119" s="577"/>
      <c r="QBQ119" s="304"/>
      <c r="QBR119" s="572"/>
      <c r="QBS119" s="573"/>
      <c r="QBT119" s="574"/>
      <c r="QBU119" s="575"/>
      <c r="QBV119" s="583"/>
      <c r="QBW119" s="590"/>
      <c r="QBX119" s="589"/>
      <c r="QBY119" s="585"/>
      <c r="QBZ119" s="577"/>
      <c r="QCA119" s="304"/>
      <c r="QCB119" s="572"/>
      <c r="QCC119" s="573"/>
      <c r="QCD119" s="574"/>
      <c r="QCE119" s="575"/>
      <c r="QCF119" s="583"/>
      <c r="QCG119" s="590"/>
      <c r="QCH119" s="589"/>
      <c r="QCI119" s="585"/>
      <c r="QCJ119" s="577"/>
      <c r="QCK119" s="304"/>
      <c r="QCL119" s="572"/>
      <c r="QCM119" s="573"/>
      <c r="QCN119" s="574"/>
      <c r="QCO119" s="575"/>
      <c r="QCP119" s="583"/>
      <c r="QCQ119" s="590"/>
      <c r="QCR119" s="589"/>
      <c r="QCS119" s="585"/>
      <c r="QCT119" s="577"/>
      <c r="QCU119" s="304"/>
      <c r="QCV119" s="572"/>
      <c r="QCW119" s="573"/>
      <c r="QCX119" s="574"/>
      <c r="QCY119" s="575"/>
      <c r="QCZ119" s="583"/>
      <c r="QDA119" s="590"/>
      <c r="QDB119" s="589"/>
      <c r="QDC119" s="585"/>
      <c r="QDD119" s="577"/>
      <c r="QDE119" s="304"/>
      <c r="QDF119" s="572"/>
      <c r="QDG119" s="573"/>
      <c r="QDH119" s="574"/>
      <c r="QDI119" s="575"/>
      <c r="QDJ119" s="583"/>
      <c r="QDK119" s="590"/>
      <c r="QDL119" s="589"/>
      <c r="QDM119" s="585"/>
      <c r="QDN119" s="577"/>
      <c r="QDO119" s="304"/>
      <c r="QDP119" s="572"/>
      <c r="QDQ119" s="573"/>
      <c r="QDR119" s="574"/>
      <c r="QDS119" s="575"/>
      <c r="QDT119" s="583"/>
      <c r="QDU119" s="590"/>
      <c r="QDV119" s="589"/>
      <c r="QDW119" s="585"/>
      <c r="QDX119" s="577"/>
      <c r="QDY119" s="304"/>
      <c r="QDZ119" s="572"/>
      <c r="QEA119" s="573"/>
      <c r="QEB119" s="574"/>
      <c r="QEC119" s="575"/>
      <c r="QED119" s="583"/>
      <c r="QEE119" s="590"/>
      <c r="QEF119" s="589"/>
      <c r="QEG119" s="585"/>
      <c r="QEH119" s="577"/>
      <c r="QEI119" s="304"/>
      <c r="QEJ119" s="572"/>
      <c r="QEK119" s="573"/>
      <c r="QEL119" s="574"/>
      <c r="QEM119" s="575"/>
      <c r="QEN119" s="583"/>
      <c r="QEO119" s="590"/>
      <c r="QEP119" s="589"/>
      <c r="QEQ119" s="585"/>
      <c r="QER119" s="577"/>
      <c r="QES119" s="304"/>
      <c r="QET119" s="572"/>
      <c r="QEU119" s="573"/>
      <c r="QEV119" s="574"/>
      <c r="QEW119" s="575"/>
      <c r="QEX119" s="583"/>
      <c r="QEY119" s="590"/>
      <c r="QEZ119" s="589"/>
      <c r="QFA119" s="585"/>
      <c r="QFB119" s="577"/>
      <c r="QFC119" s="304"/>
      <c r="QFD119" s="572"/>
      <c r="QFE119" s="573"/>
      <c r="QFF119" s="574"/>
      <c r="QFG119" s="575"/>
      <c r="QFH119" s="583"/>
      <c r="QFI119" s="590"/>
      <c r="QFJ119" s="589"/>
      <c r="QFK119" s="585"/>
      <c r="QFL119" s="577"/>
      <c r="QFM119" s="304"/>
      <c r="QFN119" s="572"/>
      <c r="QFO119" s="573"/>
      <c r="QFP119" s="574"/>
      <c r="QFQ119" s="575"/>
      <c r="QFR119" s="583"/>
      <c r="QFS119" s="590"/>
      <c r="QFT119" s="589"/>
      <c r="QFU119" s="585"/>
      <c r="QFV119" s="577"/>
      <c r="QFW119" s="304"/>
      <c r="QFX119" s="572"/>
      <c r="QFY119" s="573"/>
      <c r="QFZ119" s="574"/>
      <c r="QGA119" s="575"/>
      <c r="QGB119" s="583"/>
      <c r="QGC119" s="590"/>
      <c r="QGD119" s="589"/>
      <c r="QGE119" s="585"/>
      <c r="QGF119" s="577"/>
      <c r="QGG119" s="304"/>
      <c r="QGH119" s="572"/>
      <c r="QGI119" s="573"/>
      <c r="QGJ119" s="574"/>
      <c r="QGK119" s="575"/>
      <c r="QGL119" s="583"/>
      <c r="QGM119" s="590"/>
      <c r="QGN119" s="589"/>
      <c r="QGO119" s="585"/>
      <c r="QGP119" s="577"/>
      <c r="QGQ119" s="304"/>
      <c r="QGR119" s="572"/>
      <c r="QGS119" s="573"/>
      <c r="QGT119" s="574"/>
      <c r="QGU119" s="575"/>
      <c r="QGV119" s="583"/>
      <c r="QGW119" s="590"/>
      <c r="QGX119" s="589"/>
      <c r="QGY119" s="585"/>
      <c r="QGZ119" s="577"/>
      <c r="QHA119" s="304"/>
      <c r="QHB119" s="572"/>
      <c r="QHC119" s="573"/>
      <c r="QHD119" s="574"/>
      <c r="QHE119" s="575"/>
      <c r="QHF119" s="583"/>
      <c r="QHG119" s="590"/>
      <c r="QHH119" s="589"/>
      <c r="QHI119" s="585"/>
      <c r="QHJ119" s="577"/>
      <c r="QHK119" s="304"/>
      <c r="QHL119" s="572"/>
      <c r="QHM119" s="573"/>
      <c r="QHN119" s="574"/>
      <c r="QHO119" s="575"/>
      <c r="QHP119" s="583"/>
      <c r="QHQ119" s="590"/>
      <c r="QHR119" s="589"/>
      <c r="QHS119" s="585"/>
      <c r="QHT119" s="577"/>
      <c r="QHU119" s="304"/>
      <c r="QHV119" s="572"/>
      <c r="QHW119" s="573"/>
      <c r="QHX119" s="574"/>
      <c r="QHY119" s="575"/>
      <c r="QHZ119" s="583"/>
      <c r="QIA119" s="590"/>
      <c r="QIB119" s="589"/>
      <c r="QIC119" s="585"/>
      <c r="QID119" s="577"/>
      <c r="QIE119" s="304"/>
      <c r="QIF119" s="572"/>
      <c r="QIG119" s="573"/>
      <c r="QIH119" s="574"/>
      <c r="QII119" s="575"/>
      <c r="QIJ119" s="583"/>
      <c r="QIK119" s="590"/>
      <c r="QIL119" s="589"/>
      <c r="QIM119" s="585"/>
      <c r="QIN119" s="577"/>
      <c r="QIO119" s="304"/>
      <c r="QIP119" s="572"/>
      <c r="QIQ119" s="573"/>
      <c r="QIR119" s="574"/>
      <c r="QIS119" s="575"/>
      <c r="QIT119" s="583"/>
      <c r="QIU119" s="590"/>
      <c r="QIV119" s="589"/>
      <c r="QIW119" s="585"/>
      <c r="QIX119" s="577"/>
      <c r="QIY119" s="304"/>
      <c r="QIZ119" s="572"/>
      <c r="QJA119" s="573"/>
      <c r="QJB119" s="574"/>
      <c r="QJC119" s="575"/>
      <c r="QJD119" s="583"/>
      <c r="QJE119" s="590"/>
      <c r="QJF119" s="589"/>
      <c r="QJG119" s="585"/>
      <c r="QJH119" s="577"/>
      <c r="QJI119" s="304"/>
      <c r="QJJ119" s="572"/>
      <c r="QJK119" s="573"/>
      <c r="QJL119" s="574"/>
      <c r="QJM119" s="575"/>
      <c r="QJN119" s="583"/>
      <c r="QJO119" s="590"/>
      <c r="QJP119" s="589"/>
      <c r="QJQ119" s="585"/>
      <c r="QJR119" s="577"/>
      <c r="QJS119" s="304"/>
      <c r="QJT119" s="572"/>
      <c r="QJU119" s="573"/>
      <c r="QJV119" s="574"/>
      <c r="QJW119" s="575"/>
      <c r="QJX119" s="583"/>
      <c r="QJY119" s="590"/>
      <c r="QJZ119" s="589"/>
      <c r="QKA119" s="585"/>
      <c r="QKB119" s="577"/>
      <c r="QKC119" s="304"/>
      <c r="QKD119" s="572"/>
      <c r="QKE119" s="573"/>
      <c r="QKF119" s="574"/>
      <c r="QKG119" s="575"/>
      <c r="QKH119" s="583"/>
      <c r="QKI119" s="590"/>
      <c r="QKJ119" s="589"/>
      <c r="QKK119" s="585"/>
      <c r="QKL119" s="577"/>
      <c r="QKM119" s="304"/>
      <c r="QKN119" s="572"/>
      <c r="QKO119" s="573"/>
      <c r="QKP119" s="574"/>
      <c r="QKQ119" s="575"/>
      <c r="QKR119" s="583"/>
      <c r="QKS119" s="590"/>
      <c r="QKT119" s="589"/>
      <c r="QKU119" s="585"/>
      <c r="QKV119" s="577"/>
      <c r="QKW119" s="304"/>
      <c r="QKX119" s="572"/>
      <c r="QKY119" s="573"/>
      <c r="QKZ119" s="574"/>
      <c r="QLA119" s="575"/>
      <c r="QLB119" s="583"/>
      <c r="QLC119" s="590"/>
      <c r="QLD119" s="589"/>
      <c r="QLE119" s="585"/>
      <c r="QLF119" s="577"/>
      <c r="QLG119" s="304"/>
      <c r="QLH119" s="572"/>
      <c r="QLI119" s="573"/>
      <c r="QLJ119" s="574"/>
      <c r="QLK119" s="575"/>
      <c r="QLL119" s="583"/>
      <c r="QLM119" s="590"/>
      <c r="QLN119" s="589"/>
      <c r="QLO119" s="585"/>
      <c r="QLP119" s="577"/>
      <c r="QLQ119" s="304"/>
      <c r="QLR119" s="572"/>
      <c r="QLS119" s="573"/>
      <c r="QLT119" s="574"/>
      <c r="QLU119" s="575"/>
      <c r="QLV119" s="583"/>
      <c r="QLW119" s="590"/>
      <c r="QLX119" s="589"/>
      <c r="QLY119" s="585"/>
      <c r="QLZ119" s="577"/>
      <c r="QMA119" s="304"/>
      <c r="QMB119" s="572"/>
      <c r="QMC119" s="573"/>
      <c r="QMD119" s="574"/>
      <c r="QME119" s="575"/>
      <c r="QMF119" s="583"/>
      <c r="QMG119" s="590"/>
      <c r="QMH119" s="589"/>
      <c r="QMI119" s="585"/>
      <c r="QMJ119" s="577"/>
      <c r="QMK119" s="304"/>
      <c r="QML119" s="572"/>
      <c r="QMM119" s="573"/>
      <c r="QMN119" s="574"/>
      <c r="QMO119" s="575"/>
      <c r="QMP119" s="583"/>
      <c r="QMQ119" s="590"/>
      <c r="QMR119" s="589"/>
      <c r="QMS119" s="585"/>
      <c r="QMT119" s="577"/>
      <c r="QMU119" s="304"/>
      <c r="QMV119" s="572"/>
      <c r="QMW119" s="573"/>
      <c r="QMX119" s="574"/>
      <c r="QMY119" s="575"/>
      <c r="QMZ119" s="583"/>
      <c r="QNA119" s="590"/>
      <c r="QNB119" s="589"/>
      <c r="QNC119" s="585"/>
      <c r="QND119" s="577"/>
      <c r="QNE119" s="304"/>
      <c r="QNF119" s="572"/>
      <c r="QNG119" s="573"/>
      <c r="QNH119" s="574"/>
      <c r="QNI119" s="575"/>
      <c r="QNJ119" s="583"/>
      <c r="QNK119" s="590"/>
      <c r="QNL119" s="589"/>
      <c r="QNM119" s="585"/>
      <c r="QNN119" s="577"/>
      <c r="QNO119" s="304"/>
      <c r="QNP119" s="572"/>
      <c r="QNQ119" s="573"/>
      <c r="QNR119" s="574"/>
      <c r="QNS119" s="575"/>
      <c r="QNT119" s="583"/>
      <c r="QNU119" s="590"/>
      <c r="QNV119" s="589"/>
      <c r="QNW119" s="585"/>
      <c r="QNX119" s="577"/>
      <c r="QNY119" s="304"/>
      <c r="QNZ119" s="572"/>
      <c r="QOA119" s="573"/>
      <c r="QOB119" s="574"/>
      <c r="QOC119" s="575"/>
      <c r="QOD119" s="583"/>
      <c r="QOE119" s="590"/>
      <c r="QOF119" s="589"/>
      <c r="QOG119" s="585"/>
      <c r="QOH119" s="577"/>
      <c r="QOI119" s="304"/>
      <c r="QOJ119" s="572"/>
      <c r="QOK119" s="573"/>
      <c r="QOL119" s="574"/>
      <c r="QOM119" s="575"/>
      <c r="QON119" s="583"/>
      <c r="QOO119" s="590"/>
      <c r="QOP119" s="589"/>
      <c r="QOQ119" s="585"/>
      <c r="QOR119" s="577"/>
      <c r="QOS119" s="304"/>
      <c r="QOT119" s="572"/>
      <c r="QOU119" s="573"/>
      <c r="QOV119" s="574"/>
      <c r="QOW119" s="575"/>
      <c r="QOX119" s="583"/>
      <c r="QOY119" s="590"/>
      <c r="QOZ119" s="589"/>
      <c r="QPA119" s="585"/>
      <c r="QPB119" s="577"/>
      <c r="QPC119" s="304"/>
      <c r="QPD119" s="572"/>
      <c r="QPE119" s="573"/>
      <c r="QPF119" s="574"/>
      <c r="QPG119" s="575"/>
      <c r="QPH119" s="583"/>
      <c r="QPI119" s="590"/>
      <c r="QPJ119" s="589"/>
      <c r="QPK119" s="585"/>
      <c r="QPL119" s="577"/>
      <c r="QPM119" s="304"/>
      <c r="QPN119" s="572"/>
      <c r="QPO119" s="573"/>
      <c r="QPP119" s="574"/>
      <c r="QPQ119" s="575"/>
      <c r="QPR119" s="583"/>
      <c r="QPS119" s="590"/>
      <c r="QPT119" s="589"/>
      <c r="QPU119" s="585"/>
      <c r="QPV119" s="577"/>
      <c r="QPW119" s="304"/>
      <c r="QPX119" s="572"/>
      <c r="QPY119" s="573"/>
      <c r="QPZ119" s="574"/>
      <c r="QQA119" s="575"/>
      <c r="QQB119" s="583"/>
      <c r="QQC119" s="590"/>
      <c r="QQD119" s="589"/>
      <c r="QQE119" s="585"/>
      <c r="QQF119" s="577"/>
      <c r="QQG119" s="304"/>
      <c r="QQH119" s="572"/>
      <c r="QQI119" s="573"/>
      <c r="QQJ119" s="574"/>
      <c r="QQK119" s="575"/>
      <c r="QQL119" s="583"/>
      <c r="QQM119" s="590"/>
      <c r="QQN119" s="589"/>
      <c r="QQO119" s="585"/>
      <c r="QQP119" s="577"/>
      <c r="QQQ119" s="304"/>
      <c r="QQR119" s="572"/>
      <c r="QQS119" s="573"/>
      <c r="QQT119" s="574"/>
      <c r="QQU119" s="575"/>
      <c r="QQV119" s="583"/>
      <c r="QQW119" s="590"/>
      <c r="QQX119" s="589"/>
      <c r="QQY119" s="585"/>
      <c r="QQZ119" s="577"/>
      <c r="QRA119" s="304"/>
      <c r="QRB119" s="572"/>
      <c r="QRC119" s="573"/>
      <c r="QRD119" s="574"/>
      <c r="QRE119" s="575"/>
      <c r="QRF119" s="583"/>
      <c r="QRG119" s="590"/>
      <c r="QRH119" s="589"/>
      <c r="QRI119" s="585"/>
      <c r="QRJ119" s="577"/>
      <c r="QRK119" s="304"/>
      <c r="QRL119" s="572"/>
      <c r="QRM119" s="573"/>
      <c r="QRN119" s="574"/>
      <c r="QRO119" s="575"/>
      <c r="QRP119" s="583"/>
      <c r="QRQ119" s="590"/>
      <c r="QRR119" s="589"/>
      <c r="QRS119" s="585"/>
      <c r="QRT119" s="577"/>
      <c r="QRU119" s="304"/>
      <c r="QRV119" s="572"/>
      <c r="QRW119" s="573"/>
      <c r="QRX119" s="574"/>
      <c r="QRY119" s="575"/>
      <c r="QRZ119" s="583"/>
      <c r="QSA119" s="590"/>
      <c r="QSB119" s="589"/>
      <c r="QSC119" s="585"/>
      <c r="QSD119" s="577"/>
      <c r="QSE119" s="304"/>
      <c r="QSF119" s="572"/>
      <c r="QSG119" s="573"/>
      <c r="QSH119" s="574"/>
      <c r="QSI119" s="575"/>
      <c r="QSJ119" s="583"/>
      <c r="QSK119" s="590"/>
      <c r="QSL119" s="589"/>
      <c r="QSM119" s="585"/>
      <c r="QSN119" s="577"/>
      <c r="QSO119" s="304"/>
      <c r="QSP119" s="572"/>
      <c r="QSQ119" s="573"/>
      <c r="QSR119" s="574"/>
      <c r="QSS119" s="575"/>
      <c r="QST119" s="583"/>
      <c r="QSU119" s="590"/>
      <c r="QSV119" s="589"/>
      <c r="QSW119" s="585"/>
      <c r="QSX119" s="577"/>
      <c r="QSY119" s="304"/>
      <c r="QSZ119" s="572"/>
      <c r="QTA119" s="573"/>
      <c r="QTB119" s="574"/>
      <c r="QTC119" s="575"/>
      <c r="QTD119" s="583"/>
      <c r="QTE119" s="590"/>
      <c r="QTF119" s="589"/>
      <c r="QTG119" s="585"/>
      <c r="QTH119" s="577"/>
      <c r="QTI119" s="304"/>
      <c r="QTJ119" s="572"/>
      <c r="QTK119" s="573"/>
      <c r="QTL119" s="574"/>
      <c r="QTM119" s="575"/>
      <c r="QTN119" s="583"/>
      <c r="QTO119" s="590"/>
      <c r="QTP119" s="589"/>
      <c r="QTQ119" s="585"/>
      <c r="QTR119" s="577"/>
      <c r="QTS119" s="304"/>
      <c r="QTT119" s="572"/>
      <c r="QTU119" s="573"/>
      <c r="QTV119" s="574"/>
      <c r="QTW119" s="575"/>
      <c r="QTX119" s="583"/>
      <c r="QTY119" s="590"/>
      <c r="QTZ119" s="589"/>
      <c r="QUA119" s="585"/>
      <c r="QUB119" s="577"/>
      <c r="QUC119" s="304"/>
      <c r="QUD119" s="572"/>
      <c r="QUE119" s="573"/>
      <c r="QUF119" s="574"/>
      <c r="QUG119" s="575"/>
      <c r="QUH119" s="583"/>
      <c r="QUI119" s="590"/>
      <c r="QUJ119" s="589"/>
      <c r="QUK119" s="585"/>
      <c r="QUL119" s="577"/>
      <c r="QUM119" s="304"/>
      <c r="QUN119" s="572"/>
      <c r="QUO119" s="573"/>
      <c r="QUP119" s="574"/>
      <c r="QUQ119" s="575"/>
      <c r="QUR119" s="583"/>
      <c r="QUS119" s="590"/>
      <c r="QUT119" s="589"/>
      <c r="QUU119" s="585"/>
      <c r="QUV119" s="577"/>
      <c r="QUW119" s="304"/>
      <c r="QUX119" s="572"/>
      <c r="QUY119" s="573"/>
      <c r="QUZ119" s="574"/>
      <c r="QVA119" s="575"/>
      <c r="QVB119" s="583"/>
      <c r="QVC119" s="590"/>
      <c r="QVD119" s="589"/>
      <c r="QVE119" s="585"/>
      <c r="QVF119" s="577"/>
      <c r="QVG119" s="304"/>
      <c r="QVH119" s="572"/>
      <c r="QVI119" s="573"/>
      <c r="QVJ119" s="574"/>
      <c r="QVK119" s="575"/>
      <c r="QVL119" s="583"/>
      <c r="QVM119" s="590"/>
      <c r="QVN119" s="589"/>
      <c r="QVO119" s="585"/>
      <c r="QVP119" s="577"/>
      <c r="QVQ119" s="304"/>
      <c r="QVR119" s="572"/>
      <c r="QVS119" s="573"/>
      <c r="QVT119" s="574"/>
      <c r="QVU119" s="575"/>
      <c r="QVV119" s="583"/>
      <c r="QVW119" s="590"/>
      <c r="QVX119" s="589"/>
      <c r="QVY119" s="585"/>
      <c r="QVZ119" s="577"/>
      <c r="QWA119" s="304"/>
      <c r="QWB119" s="572"/>
      <c r="QWC119" s="573"/>
      <c r="QWD119" s="574"/>
      <c r="QWE119" s="575"/>
      <c r="QWF119" s="583"/>
      <c r="QWG119" s="590"/>
      <c r="QWH119" s="589"/>
      <c r="QWI119" s="585"/>
      <c r="QWJ119" s="577"/>
      <c r="QWK119" s="304"/>
      <c r="QWL119" s="572"/>
      <c r="QWM119" s="573"/>
      <c r="QWN119" s="574"/>
      <c r="QWO119" s="575"/>
      <c r="QWP119" s="583"/>
      <c r="QWQ119" s="590"/>
      <c r="QWR119" s="589"/>
      <c r="QWS119" s="585"/>
      <c r="QWT119" s="577"/>
      <c r="QWU119" s="304"/>
      <c r="QWV119" s="572"/>
      <c r="QWW119" s="573"/>
      <c r="QWX119" s="574"/>
      <c r="QWY119" s="575"/>
      <c r="QWZ119" s="583"/>
      <c r="QXA119" s="590"/>
      <c r="QXB119" s="589"/>
      <c r="QXC119" s="585"/>
      <c r="QXD119" s="577"/>
      <c r="QXE119" s="304"/>
      <c r="QXF119" s="572"/>
      <c r="QXG119" s="573"/>
      <c r="QXH119" s="574"/>
      <c r="QXI119" s="575"/>
      <c r="QXJ119" s="583"/>
      <c r="QXK119" s="590"/>
      <c r="QXL119" s="589"/>
      <c r="QXM119" s="585"/>
      <c r="QXN119" s="577"/>
      <c r="QXO119" s="304"/>
      <c r="QXP119" s="572"/>
      <c r="QXQ119" s="573"/>
      <c r="QXR119" s="574"/>
      <c r="QXS119" s="575"/>
      <c r="QXT119" s="583"/>
      <c r="QXU119" s="590"/>
      <c r="QXV119" s="589"/>
      <c r="QXW119" s="585"/>
      <c r="QXX119" s="577"/>
      <c r="QXY119" s="304"/>
      <c r="QXZ119" s="572"/>
      <c r="QYA119" s="573"/>
      <c r="QYB119" s="574"/>
      <c r="QYC119" s="575"/>
      <c r="QYD119" s="583"/>
      <c r="QYE119" s="590"/>
      <c r="QYF119" s="589"/>
      <c r="QYG119" s="585"/>
      <c r="QYH119" s="577"/>
      <c r="QYI119" s="304"/>
      <c r="QYJ119" s="572"/>
      <c r="QYK119" s="573"/>
      <c r="QYL119" s="574"/>
      <c r="QYM119" s="575"/>
      <c r="QYN119" s="583"/>
      <c r="QYO119" s="590"/>
      <c r="QYP119" s="589"/>
      <c r="QYQ119" s="585"/>
      <c r="QYR119" s="577"/>
      <c r="QYS119" s="304"/>
      <c r="QYT119" s="572"/>
      <c r="QYU119" s="573"/>
      <c r="QYV119" s="574"/>
      <c r="QYW119" s="575"/>
      <c r="QYX119" s="583"/>
      <c r="QYY119" s="590"/>
      <c r="QYZ119" s="589"/>
      <c r="QZA119" s="585"/>
      <c r="QZB119" s="577"/>
      <c r="QZC119" s="304"/>
      <c r="QZD119" s="572"/>
      <c r="QZE119" s="573"/>
      <c r="QZF119" s="574"/>
      <c r="QZG119" s="575"/>
      <c r="QZH119" s="583"/>
      <c r="QZI119" s="590"/>
      <c r="QZJ119" s="589"/>
      <c r="QZK119" s="585"/>
      <c r="QZL119" s="577"/>
      <c r="QZM119" s="304"/>
      <c r="QZN119" s="572"/>
      <c r="QZO119" s="573"/>
      <c r="QZP119" s="574"/>
      <c r="QZQ119" s="575"/>
      <c r="QZR119" s="583"/>
      <c r="QZS119" s="590"/>
      <c r="QZT119" s="589"/>
      <c r="QZU119" s="585"/>
      <c r="QZV119" s="577"/>
      <c r="QZW119" s="304"/>
      <c r="QZX119" s="572"/>
      <c r="QZY119" s="573"/>
      <c r="QZZ119" s="574"/>
      <c r="RAA119" s="575"/>
      <c r="RAB119" s="583"/>
      <c r="RAC119" s="590"/>
      <c r="RAD119" s="589"/>
      <c r="RAE119" s="585"/>
      <c r="RAF119" s="577"/>
      <c r="RAG119" s="304"/>
      <c r="RAH119" s="572"/>
      <c r="RAI119" s="573"/>
      <c r="RAJ119" s="574"/>
      <c r="RAK119" s="575"/>
      <c r="RAL119" s="583"/>
      <c r="RAM119" s="590"/>
      <c r="RAN119" s="589"/>
      <c r="RAO119" s="585"/>
      <c r="RAP119" s="577"/>
      <c r="RAQ119" s="304"/>
      <c r="RAR119" s="572"/>
      <c r="RAS119" s="573"/>
      <c r="RAT119" s="574"/>
      <c r="RAU119" s="575"/>
      <c r="RAV119" s="583"/>
      <c r="RAW119" s="590"/>
      <c r="RAX119" s="589"/>
      <c r="RAY119" s="585"/>
      <c r="RAZ119" s="577"/>
      <c r="RBA119" s="304"/>
      <c r="RBB119" s="572"/>
      <c r="RBC119" s="573"/>
      <c r="RBD119" s="574"/>
      <c r="RBE119" s="575"/>
      <c r="RBF119" s="583"/>
      <c r="RBG119" s="590"/>
      <c r="RBH119" s="589"/>
      <c r="RBI119" s="585"/>
      <c r="RBJ119" s="577"/>
      <c r="RBK119" s="304"/>
      <c r="RBL119" s="572"/>
      <c r="RBM119" s="573"/>
      <c r="RBN119" s="574"/>
      <c r="RBO119" s="575"/>
      <c r="RBP119" s="583"/>
      <c r="RBQ119" s="590"/>
      <c r="RBR119" s="589"/>
      <c r="RBS119" s="585"/>
      <c r="RBT119" s="577"/>
      <c r="RBU119" s="304"/>
      <c r="RBV119" s="572"/>
      <c r="RBW119" s="573"/>
      <c r="RBX119" s="574"/>
      <c r="RBY119" s="575"/>
      <c r="RBZ119" s="583"/>
      <c r="RCA119" s="590"/>
      <c r="RCB119" s="589"/>
      <c r="RCC119" s="585"/>
      <c r="RCD119" s="577"/>
      <c r="RCE119" s="304"/>
      <c r="RCF119" s="572"/>
      <c r="RCG119" s="573"/>
      <c r="RCH119" s="574"/>
      <c r="RCI119" s="575"/>
      <c r="RCJ119" s="583"/>
      <c r="RCK119" s="590"/>
      <c r="RCL119" s="589"/>
      <c r="RCM119" s="585"/>
      <c r="RCN119" s="577"/>
      <c r="RCO119" s="304"/>
      <c r="RCP119" s="572"/>
      <c r="RCQ119" s="573"/>
      <c r="RCR119" s="574"/>
      <c r="RCS119" s="575"/>
      <c r="RCT119" s="583"/>
      <c r="RCU119" s="590"/>
      <c r="RCV119" s="589"/>
      <c r="RCW119" s="585"/>
      <c r="RCX119" s="577"/>
      <c r="RCY119" s="304"/>
      <c r="RCZ119" s="572"/>
      <c r="RDA119" s="573"/>
      <c r="RDB119" s="574"/>
      <c r="RDC119" s="575"/>
      <c r="RDD119" s="583"/>
      <c r="RDE119" s="590"/>
      <c r="RDF119" s="589"/>
      <c r="RDG119" s="585"/>
      <c r="RDH119" s="577"/>
      <c r="RDI119" s="304"/>
      <c r="RDJ119" s="572"/>
      <c r="RDK119" s="573"/>
      <c r="RDL119" s="574"/>
      <c r="RDM119" s="575"/>
      <c r="RDN119" s="583"/>
      <c r="RDO119" s="590"/>
      <c r="RDP119" s="589"/>
      <c r="RDQ119" s="585"/>
      <c r="RDR119" s="577"/>
      <c r="RDS119" s="304"/>
      <c r="RDT119" s="572"/>
      <c r="RDU119" s="573"/>
      <c r="RDV119" s="574"/>
      <c r="RDW119" s="575"/>
      <c r="RDX119" s="583"/>
      <c r="RDY119" s="590"/>
      <c r="RDZ119" s="589"/>
      <c r="REA119" s="585"/>
      <c r="REB119" s="577"/>
      <c r="REC119" s="304"/>
      <c r="RED119" s="572"/>
      <c r="REE119" s="573"/>
      <c r="REF119" s="574"/>
      <c r="REG119" s="575"/>
      <c r="REH119" s="583"/>
      <c r="REI119" s="590"/>
      <c r="REJ119" s="589"/>
      <c r="REK119" s="585"/>
      <c r="REL119" s="577"/>
      <c r="REM119" s="304"/>
      <c r="REN119" s="572"/>
      <c r="REO119" s="573"/>
      <c r="REP119" s="574"/>
      <c r="REQ119" s="575"/>
      <c r="RER119" s="583"/>
      <c r="RES119" s="590"/>
      <c r="RET119" s="589"/>
      <c r="REU119" s="585"/>
      <c r="REV119" s="577"/>
      <c r="REW119" s="304"/>
      <c r="REX119" s="572"/>
      <c r="REY119" s="573"/>
      <c r="REZ119" s="574"/>
      <c r="RFA119" s="575"/>
      <c r="RFB119" s="583"/>
      <c r="RFC119" s="590"/>
      <c r="RFD119" s="589"/>
      <c r="RFE119" s="585"/>
      <c r="RFF119" s="577"/>
      <c r="RFG119" s="304"/>
      <c r="RFH119" s="572"/>
      <c r="RFI119" s="573"/>
      <c r="RFJ119" s="574"/>
      <c r="RFK119" s="575"/>
      <c r="RFL119" s="583"/>
      <c r="RFM119" s="590"/>
      <c r="RFN119" s="589"/>
      <c r="RFO119" s="585"/>
      <c r="RFP119" s="577"/>
      <c r="RFQ119" s="304"/>
      <c r="RFR119" s="572"/>
      <c r="RFS119" s="573"/>
      <c r="RFT119" s="574"/>
      <c r="RFU119" s="575"/>
      <c r="RFV119" s="583"/>
      <c r="RFW119" s="590"/>
      <c r="RFX119" s="589"/>
      <c r="RFY119" s="585"/>
      <c r="RFZ119" s="577"/>
      <c r="RGA119" s="304"/>
      <c r="RGB119" s="572"/>
      <c r="RGC119" s="573"/>
      <c r="RGD119" s="574"/>
      <c r="RGE119" s="575"/>
      <c r="RGF119" s="583"/>
      <c r="RGG119" s="590"/>
      <c r="RGH119" s="589"/>
      <c r="RGI119" s="585"/>
      <c r="RGJ119" s="577"/>
      <c r="RGK119" s="304"/>
      <c r="RGL119" s="572"/>
      <c r="RGM119" s="573"/>
      <c r="RGN119" s="574"/>
      <c r="RGO119" s="575"/>
      <c r="RGP119" s="583"/>
      <c r="RGQ119" s="590"/>
      <c r="RGR119" s="589"/>
      <c r="RGS119" s="585"/>
      <c r="RGT119" s="577"/>
      <c r="RGU119" s="304"/>
      <c r="RGV119" s="572"/>
      <c r="RGW119" s="573"/>
      <c r="RGX119" s="574"/>
      <c r="RGY119" s="575"/>
      <c r="RGZ119" s="583"/>
      <c r="RHA119" s="590"/>
      <c r="RHB119" s="589"/>
      <c r="RHC119" s="585"/>
      <c r="RHD119" s="577"/>
      <c r="RHE119" s="304"/>
      <c r="RHF119" s="572"/>
      <c r="RHG119" s="573"/>
      <c r="RHH119" s="574"/>
      <c r="RHI119" s="575"/>
      <c r="RHJ119" s="583"/>
      <c r="RHK119" s="590"/>
      <c r="RHL119" s="589"/>
      <c r="RHM119" s="585"/>
      <c r="RHN119" s="577"/>
      <c r="RHO119" s="304"/>
      <c r="RHP119" s="572"/>
      <c r="RHQ119" s="573"/>
      <c r="RHR119" s="574"/>
      <c r="RHS119" s="575"/>
      <c r="RHT119" s="583"/>
      <c r="RHU119" s="590"/>
      <c r="RHV119" s="589"/>
      <c r="RHW119" s="585"/>
      <c r="RHX119" s="577"/>
      <c r="RHY119" s="304"/>
      <c r="RHZ119" s="572"/>
      <c r="RIA119" s="573"/>
      <c r="RIB119" s="574"/>
      <c r="RIC119" s="575"/>
      <c r="RID119" s="583"/>
      <c r="RIE119" s="590"/>
      <c r="RIF119" s="589"/>
      <c r="RIG119" s="585"/>
      <c r="RIH119" s="577"/>
      <c r="RII119" s="304"/>
      <c r="RIJ119" s="572"/>
      <c r="RIK119" s="573"/>
      <c r="RIL119" s="574"/>
      <c r="RIM119" s="575"/>
      <c r="RIN119" s="583"/>
      <c r="RIO119" s="590"/>
      <c r="RIP119" s="589"/>
      <c r="RIQ119" s="585"/>
      <c r="RIR119" s="577"/>
      <c r="RIS119" s="304"/>
      <c r="RIT119" s="572"/>
      <c r="RIU119" s="573"/>
      <c r="RIV119" s="574"/>
      <c r="RIW119" s="575"/>
      <c r="RIX119" s="583"/>
      <c r="RIY119" s="590"/>
      <c r="RIZ119" s="589"/>
      <c r="RJA119" s="585"/>
      <c r="RJB119" s="577"/>
      <c r="RJC119" s="304"/>
      <c r="RJD119" s="572"/>
      <c r="RJE119" s="573"/>
      <c r="RJF119" s="574"/>
      <c r="RJG119" s="575"/>
      <c r="RJH119" s="583"/>
      <c r="RJI119" s="590"/>
      <c r="RJJ119" s="589"/>
      <c r="RJK119" s="585"/>
      <c r="RJL119" s="577"/>
      <c r="RJM119" s="304"/>
      <c r="RJN119" s="572"/>
      <c r="RJO119" s="573"/>
      <c r="RJP119" s="574"/>
      <c r="RJQ119" s="575"/>
      <c r="RJR119" s="583"/>
      <c r="RJS119" s="590"/>
      <c r="RJT119" s="589"/>
      <c r="RJU119" s="585"/>
      <c r="RJV119" s="577"/>
      <c r="RJW119" s="304"/>
      <c r="RJX119" s="572"/>
      <c r="RJY119" s="573"/>
      <c r="RJZ119" s="574"/>
      <c r="RKA119" s="575"/>
      <c r="RKB119" s="583"/>
      <c r="RKC119" s="590"/>
      <c r="RKD119" s="589"/>
      <c r="RKE119" s="585"/>
      <c r="RKF119" s="577"/>
      <c r="RKG119" s="304"/>
      <c r="RKH119" s="572"/>
      <c r="RKI119" s="573"/>
      <c r="RKJ119" s="574"/>
      <c r="RKK119" s="575"/>
      <c r="RKL119" s="583"/>
      <c r="RKM119" s="590"/>
      <c r="RKN119" s="589"/>
      <c r="RKO119" s="585"/>
      <c r="RKP119" s="577"/>
      <c r="RKQ119" s="304"/>
      <c r="RKR119" s="572"/>
      <c r="RKS119" s="573"/>
      <c r="RKT119" s="574"/>
      <c r="RKU119" s="575"/>
      <c r="RKV119" s="583"/>
      <c r="RKW119" s="590"/>
      <c r="RKX119" s="589"/>
      <c r="RKY119" s="585"/>
      <c r="RKZ119" s="577"/>
      <c r="RLA119" s="304"/>
      <c r="RLB119" s="572"/>
      <c r="RLC119" s="573"/>
      <c r="RLD119" s="574"/>
      <c r="RLE119" s="575"/>
      <c r="RLF119" s="583"/>
      <c r="RLG119" s="590"/>
      <c r="RLH119" s="589"/>
      <c r="RLI119" s="585"/>
      <c r="RLJ119" s="577"/>
      <c r="RLK119" s="304"/>
      <c r="RLL119" s="572"/>
      <c r="RLM119" s="573"/>
      <c r="RLN119" s="574"/>
      <c r="RLO119" s="575"/>
      <c r="RLP119" s="583"/>
      <c r="RLQ119" s="590"/>
      <c r="RLR119" s="589"/>
      <c r="RLS119" s="585"/>
      <c r="RLT119" s="577"/>
      <c r="RLU119" s="304"/>
      <c r="RLV119" s="572"/>
      <c r="RLW119" s="573"/>
      <c r="RLX119" s="574"/>
      <c r="RLY119" s="575"/>
      <c r="RLZ119" s="583"/>
      <c r="RMA119" s="590"/>
      <c r="RMB119" s="589"/>
      <c r="RMC119" s="585"/>
      <c r="RMD119" s="577"/>
      <c r="RME119" s="304"/>
      <c r="RMF119" s="572"/>
      <c r="RMG119" s="573"/>
      <c r="RMH119" s="574"/>
      <c r="RMI119" s="575"/>
      <c r="RMJ119" s="583"/>
      <c r="RMK119" s="590"/>
      <c r="RML119" s="589"/>
      <c r="RMM119" s="585"/>
      <c r="RMN119" s="577"/>
      <c r="RMO119" s="304"/>
      <c r="RMP119" s="572"/>
      <c r="RMQ119" s="573"/>
      <c r="RMR119" s="574"/>
      <c r="RMS119" s="575"/>
      <c r="RMT119" s="583"/>
      <c r="RMU119" s="590"/>
      <c r="RMV119" s="589"/>
      <c r="RMW119" s="585"/>
      <c r="RMX119" s="577"/>
      <c r="RMY119" s="304"/>
      <c r="RMZ119" s="572"/>
      <c r="RNA119" s="573"/>
      <c r="RNB119" s="574"/>
      <c r="RNC119" s="575"/>
      <c r="RND119" s="583"/>
      <c r="RNE119" s="590"/>
      <c r="RNF119" s="589"/>
      <c r="RNG119" s="585"/>
      <c r="RNH119" s="577"/>
      <c r="RNI119" s="304"/>
      <c r="RNJ119" s="572"/>
      <c r="RNK119" s="573"/>
      <c r="RNL119" s="574"/>
      <c r="RNM119" s="575"/>
      <c r="RNN119" s="583"/>
      <c r="RNO119" s="590"/>
      <c r="RNP119" s="589"/>
      <c r="RNQ119" s="585"/>
      <c r="RNR119" s="577"/>
      <c r="RNS119" s="304"/>
      <c r="RNT119" s="572"/>
      <c r="RNU119" s="573"/>
      <c r="RNV119" s="574"/>
      <c r="RNW119" s="575"/>
      <c r="RNX119" s="583"/>
      <c r="RNY119" s="590"/>
      <c r="RNZ119" s="589"/>
      <c r="ROA119" s="585"/>
      <c r="ROB119" s="577"/>
      <c r="ROC119" s="304"/>
      <c r="ROD119" s="572"/>
      <c r="ROE119" s="573"/>
      <c r="ROF119" s="574"/>
      <c r="ROG119" s="575"/>
      <c r="ROH119" s="583"/>
      <c r="ROI119" s="590"/>
      <c r="ROJ119" s="589"/>
      <c r="ROK119" s="585"/>
      <c r="ROL119" s="577"/>
      <c r="ROM119" s="304"/>
      <c r="RON119" s="572"/>
      <c r="ROO119" s="573"/>
      <c r="ROP119" s="574"/>
      <c r="ROQ119" s="575"/>
      <c r="ROR119" s="583"/>
      <c r="ROS119" s="590"/>
      <c r="ROT119" s="589"/>
      <c r="ROU119" s="585"/>
      <c r="ROV119" s="577"/>
      <c r="ROW119" s="304"/>
      <c r="ROX119" s="572"/>
      <c r="ROY119" s="573"/>
      <c r="ROZ119" s="574"/>
      <c r="RPA119" s="575"/>
      <c r="RPB119" s="583"/>
      <c r="RPC119" s="590"/>
      <c r="RPD119" s="589"/>
      <c r="RPE119" s="585"/>
      <c r="RPF119" s="577"/>
      <c r="RPG119" s="304"/>
      <c r="RPH119" s="572"/>
      <c r="RPI119" s="573"/>
      <c r="RPJ119" s="574"/>
      <c r="RPK119" s="575"/>
      <c r="RPL119" s="583"/>
      <c r="RPM119" s="590"/>
      <c r="RPN119" s="589"/>
      <c r="RPO119" s="585"/>
      <c r="RPP119" s="577"/>
      <c r="RPQ119" s="304"/>
      <c r="RPR119" s="572"/>
      <c r="RPS119" s="573"/>
      <c r="RPT119" s="574"/>
      <c r="RPU119" s="575"/>
      <c r="RPV119" s="583"/>
      <c r="RPW119" s="590"/>
      <c r="RPX119" s="589"/>
      <c r="RPY119" s="585"/>
      <c r="RPZ119" s="577"/>
      <c r="RQA119" s="304"/>
      <c r="RQB119" s="572"/>
      <c r="RQC119" s="573"/>
      <c r="RQD119" s="574"/>
      <c r="RQE119" s="575"/>
      <c r="RQF119" s="583"/>
      <c r="RQG119" s="590"/>
      <c r="RQH119" s="589"/>
      <c r="RQI119" s="585"/>
      <c r="RQJ119" s="577"/>
      <c r="RQK119" s="304"/>
      <c r="RQL119" s="572"/>
      <c r="RQM119" s="573"/>
      <c r="RQN119" s="574"/>
      <c r="RQO119" s="575"/>
      <c r="RQP119" s="583"/>
      <c r="RQQ119" s="590"/>
      <c r="RQR119" s="589"/>
      <c r="RQS119" s="585"/>
      <c r="RQT119" s="577"/>
      <c r="RQU119" s="304"/>
      <c r="RQV119" s="572"/>
      <c r="RQW119" s="573"/>
      <c r="RQX119" s="574"/>
      <c r="RQY119" s="575"/>
      <c r="RQZ119" s="583"/>
      <c r="RRA119" s="590"/>
      <c r="RRB119" s="589"/>
      <c r="RRC119" s="585"/>
      <c r="RRD119" s="577"/>
      <c r="RRE119" s="304"/>
      <c r="RRF119" s="572"/>
      <c r="RRG119" s="573"/>
      <c r="RRH119" s="574"/>
      <c r="RRI119" s="575"/>
      <c r="RRJ119" s="583"/>
      <c r="RRK119" s="590"/>
      <c r="RRL119" s="589"/>
      <c r="RRM119" s="585"/>
      <c r="RRN119" s="577"/>
      <c r="RRO119" s="304"/>
      <c r="RRP119" s="572"/>
      <c r="RRQ119" s="573"/>
      <c r="RRR119" s="574"/>
      <c r="RRS119" s="575"/>
      <c r="RRT119" s="583"/>
      <c r="RRU119" s="590"/>
      <c r="RRV119" s="589"/>
      <c r="RRW119" s="585"/>
      <c r="RRX119" s="577"/>
      <c r="RRY119" s="304"/>
      <c r="RRZ119" s="572"/>
      <c r="RSA119" s="573"/>
      <c r="RSB119" s="574"/>
      <c r="RSC119" s="575"/>
      <c r="RSD119" s="583"/>
      <c r="RSE119" s="590"/>
      <c r="RSF119" s="589"/>
      <c r="RSG119" s="585"/>
      <c r="RSH119" s="577"/>
      <c r="RSI119" s="304"/>
      <c r="RSJ119" s="572"/>
      <c r="RSK119" s="573"/>
      <c r="RSL119" s="574"/>
      <c r="RSM119" s="575"/>
      <c r="RSN119" s="583"/>
      <c r="RSO119" s="590"/>
      <c r="RSP119" s="589"/>
      <c r="RSQ119" s="585"/>
      <c r="RSR119" s="577"/>
      <c r="RSS119" s="304"/>
      <c r="RST119" s="572"/>
      <c r="RSU119" s="573"/>
      <c r="RSV119" s="574"/>
      <c r="RSW119" s="575"/>
      <c r="RSX119" s="583"/>
      <c r="RSY119" s="590"/>
      <c r="RSZ119" s="589"/>
      <c r="RTA119" s="585"/>
      <c r="RTB119" s="577"/>
      <c r="RTC119" s="304"/>
      <c r="RTD119" s="572"/>
      <c r="RTE119" s="573"/>
      <c r="RTF119" s="574"/>
      <c r="RTG119" s="575"/>
      <c r="RTH119" s="583"/>
      <c r="RTI119" s="590"/>
      <c r="RTJ119" s="589"/>
      <c r="RTK119" s="585"/>
      <c r="RTL119" s="577"/>
      <c r="RTM119" s="304"/>
      <c r="RTN119" s="572"/>
      <c r="RTO119" s="573"/>
      <c r="RTP119" s="574"/>
      <c r="RTQ119" s="575"/>
      <c r="RTR119" s="583"/>
      <c r="RTS119" s="590"/>
      <c r="RTT119" s="589"/>
      <c r="RTU119" s="585"/>
      <c r="RTV119" s="577"/>
      <c r="RTW119" s="304"/>
      <c r="RTX119" s="572"/>
      <c r="RTY119" s="573"/>
      <c r="RTZ119" s="574"/>
      <c r="RUA119" s="575"/>
      <c r="RUB119" s="583"/>
      <c r="RUC119" s="590"/>
      <c r="RUD119" s="589"/>
      <c r="RUE119" s="585"/>
      <c r="RUF119" s="577"/>
      <c r="RUG119" s="304"/>
      <c r="RUH119" s="572"/>
      <c r="RUI119" s="573"/>
      <c r="RUJ119" s="574"/>
      <c r="RUK119" s="575"/>
      <c r="RUL119" s="583"/>
      <c r="RUM119" s="590"/>
      <c r="RUN119" s="589"/>
      <c r="RUO119" s="585"/>
      <c r="RUP119" s="577"/>
      <c r="RUQ119" s="304"/>
      <c r="RUR119" s="572"/>
      <c r="RUS119" s="573"/>
      <c r="RUT119" s="574"/>
      <c r="RUU119" s="575"/>
      <c r="RUV119" s="583"/>
      <c r="RUW119" s="590"/>
      <c r="RUX119" s="589"/>
      <c r="RUY119" s="585"/>
      <c r="RUZ119" s="577"/>
      <c r="RVA119" s="304"/>
      <c r="RVB119" s="572"/>
      <c r="RVC119" s="573"/>
      <c r="RVD119" s="574"/>
      <c r="RVE119" s="575"/>
      <c r="RVF119" s="583"/>
      <c r="RVG119" s="590"/>
      <c r="RVH119" s="589"/>
      <c r="RVI119" s="585"/>
      <c r="RVJ119" s="577"/>
      <c r="RVK119" s="304"/>
      <c r="RVL119" s="572"/>
      <c r="RVM119" s="573"/>
      <c r="RVN119" s="574"/>
      <c r="RVO119" s="575"/>
      <c r="RVP119" s="583"/>
      <c r="RVQ119" s="590"/>
      <c r="RVR119" s="589"/>
      <c r="RVS119" s="585"/>
      <c r="RVT119" s="577"/>
      <c r="RVU119" s="304"/>
      <c r="RVV119" s="572"/>
      <c r="RVW119" s="573"/>
      <c r="RVX119" s="574"/>
      <c r="RVY119" s="575"/>
      <c r="RVZ119" s="583"/>
      <c r="RWA119" s="590"/>
      <c r="RWB119" s="589"/>
      <c r="RWC119" s="585"/>
      <c r="RWD119" s="577"/>
      <c r="RWE119" s="304"/>
      <c r="RWF119" s="572"/>
      <c r="RWG119" s="573"/>
      <c r="RWH119" s="574"/>
      <c r="RWI119" s="575"/>
      <c r="RWJ119" s="583"/>
      <c r="RWK119" s="590"/>
      <c r="RWL119" s="589"/>
      <c r="RWM119" s="585"/>
      <c r="RWN119" s="577"/>
      <c r="RWO119" s="304"/>
      <c r="RWP119" s="572"/>
      <c r="RWQ119" s="573"/>
      <c r="RWR119" s="574"/>
      <c r="RWS119" s="575"/>
      <c r="RWT119" s="583"/>
      <c r="RWU119" s="590"/>
      <c r="RWV119" s="589"/>
      <c r="RWW119" s="585"/>
      <c r="RWX119" s="577"/>
      <c r="RWY119" s="304"/>
      <c r="RWZ119" s="572"/>
      <c r="RXA119" s="573"/>
      <c r="RXB119" s="574"/>
      <c r="RXC119" s="575"/>
      <c r="RXD119" s="583"/>
      <c r="RXE119" s="590"/>
      <c r="RXF119" s="589"/>
      <c r="RXG119" s="585"/>
      <c r="RXH119" s="577"/>
      <c r="RXI119" s="304"/>
      <c r="RXJ119" s="572"/>
      <c r="RXK119" s="573"/>
      <c r="RXL119" s="574"/>
      <c r="RXM119" s="575"/>
      <c r="RXN119" s="583"/>
      <c r="RXO119" s="590"/>
      <c r="RXP119" s="589"/>
      <c r="RXQ119" s="585"/>
      <c r="RXR119" s="577"/>
      <c r="RXS119" s="304"/>
      <c r="RXT119" s="572"/>
      <c r="RXU119" s="573"/>
      <c r="RXV119" s="574"/>
      <c r="RXW119" s="575"/>
      <c r="RXX119" s="583"/>
      <c r="RXY119" s="590"/>
      <c r="RXZ119" s="589"/>
      <c r="RYA119" s="585"/>
      <c r="RYB119" s="577"/>
      <c r="RYC119" s="304"/>
      <c r="RYD119" s="572"/>
      <c r="RYE119" s="573"/>
      <c r="RYF119" s="574"/>
      <c r="RYG119" s="575"/>
      <c r="RYH119" s="583"/>
      <c r="RYI119" s="590"/>
      <c r="RYJ119" s="589"/>
      <c r="RYK119" s="585"/>
      <c r="RYL119" s="577"/>
      <c r="RYM119" s="304"/>
      <c r="RYN119" s="572"/>
      <c r="RYO119" s="573"/>
      <c r="RYP119" s="574"/>
      <c r="RYQ119" s="575"/>
      <c r="RYR119" s="583"/>
      <c r="RYS119" s="590"/>
      <c r="RYT119" s="589"/>
      <c r="RYU119" s="585"/>
      <c r="RYV119" s="577"/>
      <c r="RYW119" s="304"/>
      <c r="RYX119" s="572"/>
      <c r="RYY119" s="573"/>
      <c r="RYZ119" s="574"/>
      <c r="RZA119" s="575"/>
      <c r="RZB119" s="583"/>
      <c r="RZC119" s="590"/>
      <c r="RZD119" s="589"/>
      <c r="RZE119" s="585"/>
      <c r="RZF119" s="577"/>
      <c r="RZG119" s="304"/>
      <c r="RZH119" s="572"/>
      <c r="RZI119" s="573"/>
      <c r="RZJ119" s="574"/>
      <c r="RZK119" s="575"/>
      <c r="RZL119" s="583"/>
      <c r="RZM119" s="590"/>
      <c r="RZN119" s="589"/>
      <c r="RZO119" s="585"/>
      <c r="RZP119" s="577"/>
      <c r="RZQ119" s="304"/>
      <c r="RZR119" s="572"/>
      <c r="RZS119" s="573"/>
      <c r="RZT119" s="574"/>
      <c r="RZU119" s="575"/>
      <c r="RZV119" s="583"/>
      <c r="RZW119" s="590"/>
      <c r="RZX119" s="589"/>
      <c r="RZY119" s="585"/>
      <c r="RZZ119" s="577"/>
      <c r="SAA119" s="304"/>
      <c r="SAB119" s="572"/>
      <c r="SAC119" s="573"/>
      <c r="SAD119" s="574"/>
      <c r="SAE119" s="575"/>
      <c r="SAF119" s="583"/>
      <c r="SAG119" s="590"/>
      <c r="SAH119" s="589"/>
      <c r="SAI119" s="585"/>
      <c r="SAJ119" s="577"/>
      <c r="SAK119" s="304"/>
      <c r="SAL119" s="572"/>
      <c r="SAM119" s="573"/>
      <c r="SAN119" s="574"/>
      <c r="SAO119" s="575"/>
      <c r="SAP119" s="583"/>
      <c r="SAQ119" s="590"/>
      <c r="SAR119" s="589"/>
      <c r="SAS119" s="585"/>
      <c r="SAT119" s="577"/>
      <c r="SAU119" s="304"/>
      <c r="SAV119" s="572"/>
      <c r="SAW119" s="573"/>
      <c r="SAX119" s="574"/>
      <c r="SAY119" s="575"/>
      <c r="SAZ119" s="583"/>
      <c r="SBA119" s="590"/>
      <c r="SBB119" s="589"/>
      <c r="SBC119" s="585"/>
      <c r="SBD119" s="577"/>
      <c r="SBE119" s="304"/>
      <c r="SBF119" s="572"/>
      <c r="SBG119" s="573"/>
      <c r="SBH119" s="574"/>
      <c r="SBI119" s="575"/>
      <c r="SBJ119" s="583"/>
      <c r="SBK119" s="590"/>
      <c r="SBL119" s="589"/>
      <c r="SBM119" s="585"/>
      <c r="SBN119" s="577"/>
      <c r="SBO119" s="304"/>
      <c r="SBP119" s="572"/>
      <c r="SBQ119" s="573"/>
      <c r="SBR119" s="574"/>
      <c r="SBS119" s="575"/>
      <c r="SBT119" s="583"/>
      <c r="SBU119" s="590"/>
      <c r="SBV119" s="589"/>
      <c r="SBW119" s="585"/>
      <c r="SBX119" s="577"/>
      <c r="SBY119" s="304"/>
      <c r="SBZ119" s="572"/>
      <c r="SCA119" s="573"/>
      <c r="SCB119" s="574"/>
      <c r="SCC119" s="575"/>
      <c r="SCD119" s="583"/>
      <c r="SCE119" s="590"/>
      <c r="SCF119" s="589"/>
      <c r="SCG119" s="585"/>
      <c r="SCH119" s="577"/>
      <c r="SCI119" s="304"/>
      <c r="SCJ119" s="572"/>
      <c r="SCK119" s="573"/>
      <c r="SCL119" s="574"/>
      <c r="SCM119" s="575"/>
      <c r="SCN119" s="583"/>
      <c r="SCO119" s="590"/>
      <c r="SCP119" s="589"/>
      <c r="SCQ119" s="585"/>
      <c r="SCR119" s="577"/>
      <c r="SCS119" s="304"/>
      <c r="SCT119" s="572"/>
      <c r="SCU119" s="573"/>
      <c r="SCV119" s="574"/>
      <c r="SCW119" s="575"/>
      <c r="SCX119" s="583"/>
      <c r="SCY119" s="590"/>
      <c r="SCZ119" s="589"/>
      <c r="SDA119" s="585"/>
      <c r="SDB119" s="577"/>
      <c r="SDC119" s="304"/>
      <c r="SDD119" s="572"/>
      <c r="SDE119" s="573"/>
      <c r="SDF119" s="574"/>
      <c r="SDG119" s="575"/>
      <c r="SDH119" s="583"/>
      <c r="SDI119" s="590"/>
      <c r="SDJ119" s="589"/>
      <c r="SDK119" s="585"/>
      <c r="SDL119" s="577"/>
      <c r="SDM119" s="304"/>
      <c r="SDN119" s="572"/>
      <c r="SDO119" s="573"/>
      <c r="SDP119" s="574"/>
      <c r="SDQ119" s="575"/>
      <c r="SDR119" s="583"/>
      <c r="SDS119" s="590"/>
      <c r="SDT119" s="589"/>
      <c r="SDU119" s="585"/>
      <c r="SDV119" s="577"/>
      <c r="SDW119" s="304"/>
      <c r="SDX119" s="572"/>
      <c r="SDY119" s="573"/>
      <c r="SDZ119" s="574"/>
      <c r="SEA119" s="575"/>
      <c r="SEB119" s="583"/>
      <c r="SEC119" s="590"/>
      <c r="SED119" s="589"/>
      <c r="SEE119" s="585"/>
      <c r="SEF119" s="577"/>
      <c r="SEG119" s="304"/>
      <c r="SEH119" s="572"/>
      <c r="SEI119" s="573"/>
      <c r="SEJ119" s="574"/>
      <c r="SEK119" s="575"/>
      <c r="SEL119" s="583"/>
      <c r="SEM119" s="590"/>
      <c r="SEN119" s="589"/>
      <c r="SEO119" s="585"/>
      <c r="SEP119" s="577"/>
      <c r="SEQ119" s="304"/>
      <c r="SER119" s="572"/>
      <c r="SES119" s="573"/>
      <c r="SET119" s="574"/>
      <c r="SEU119" s="575"/>
      <c r="SEV119" s="583"/>
      <c r="SEW119" s="590"/>
      <c r="SEX119" s="589"/>
      <c r="SEY119" s="585"/>
      <c r="SEZ119" s="577"/>
      <c r="SFA119" s="304"/>
      <c r="SFB119" s="572"/>
      <c r="SFC119" s="573"/>
      <c r="SFD119" s="574"/>
      <c r="SFE119" s="575"/>
      <c r="SFF119" s="583"/>
      <c r="SFG119" s="590"/>
      <c r="SFH119" s="589"/>
      <c r="SFI119" s="585"/>
      <c r="SFJ119" s="577"/>
      <c r="SFK119" s="304"/>
      <c r="SFL119" s="572"/>
      <c r="SFM119" s="573"/>
      <c r="SFN119" s="574"/>
      <c r="SFO119" s="575"/>
      <c r="SFP119" s="583"/>
      <c r="SFQ119" s="590"/>
      <c r="SFR119" s="589"/>
      <c r="SFS119" s="585"/>
      <c r="SFT119" s="577"/>
      <c r="SFU119" s="304"/>
      <c r="SFV119" s="572"/>
      <c r="SFW119" s="573"/>
      <c r="SFX119" s="574"/>
      <c r="SFY119" s="575"/>
      <c r="SFZ119" s="583"/>
      <c r="SGA119" s="590"/>
      <c r="SGB119" s="589"/>
      <c r="SGC119" s="585"/>
      <c r="SGD119" s="577"/>
      <c r="SGE119" s="304"/>
      <c r="SGF119" s="572"/>
      <c r="SGG119" s="573"/>
      <c r="SGH119" s="574"/>
      <c r="SGI119" s="575"/>
      <c r="SGJ119" s="583"/>
      <c r="SGK119" s="590"/>
      <c r="SGL119" s="589"/>
      <c r="SGM119" s="585"/>
      <c r="SGN119" s="577"/>
      <c r="SGO119" s="304"/>
      <c r="SGP119" s="572"/>
      <c r="SGQ119" s="573"/>
      <c r="SGR119" s="574"/>
      <c r="SGS119" s="575"/>
      <c r="SGT119" s="583"/>
      <c r="SGU119" s="590"/>
      <c r="SGV119" s="589"/>
      <c r="SGW119" s="585"/>
      <c r="SGX119" s="577"/>
      <c r="SGY119" s="304"/>
      <c r="SGZ119" s="572"/>
      <c r="SHA119" s="573"/>
      <c r="SHB119" s="574"/>
      <c r="SHC119" s="575"/>
      <c r="SHD119" s="583"/>
      <c r="SHE119" s="590"/>
      <c r="SHF119" s="589"/>
      <c r="SHG119" s="585"/>
      <c r="SHH119" s="577"/>
      <c r="SHI119" s="304"/>
      <c r="SHJ119" s="572"/>
      <c r="SHK119" s="573"/>
      <c r="SHL119" s="574"/>
      <c r="SHM119" s="575"/>
      <c r="SHN119" s="583"/>
      <c r="SHO119" s="590"/>
      <c r="SHP119" s="589"/>
      <c r="SHQ119" s="585"/>
      <c r="SHR119" s="577"/>
      <c r="SHS119" s="304"/>
      <c r="SHT119" s="572"/>
      <c r="SHU119" s="573"/>
      <c r="SHV119" s="574"/>
      <c r="SHW119" s="575"/>
      <c r="SHX119" s="583"/>
      <c r="SHY119" s="590"/>
      <c r="SHZ119" s="589"/>
      <c r="SIA119" s="585"/>
      <c r="SIB119" s="577"/>
      <c r="SIC119" s="304"/>
      <c r="SID119" s="572"/>
      <c r="SIE119" s="573"/>
      <c r="SIF119" s="574"/>
      <c r="SIG119" s="575"/>
      <c r="SIH119" s="583"/>
      <c r="SII119" s="590"/>
      <c r="SIJ119" s="589"/>
      <c r="SIK119" s="585"/>
      <c r="SIL119" s="577"/>
      <c r="SIM119" s="304"/>
      <c r="SIN119" s="572"/>
      <c r="SIO119" s="573"/>
      <c r="SIP119" s="574"/>
      <c r="SIQ119" s="575"/>
      <c r="SIR119" s="583"/>
      <c r="SIS119" s="590"/>
      <c r="SIT119" s="589"/>
      <c r="SIU119" s="585"/>
      <c r="SIV119" s="577"/>
      <c r="SIW119" s="304"/>
      <c r="SIX119" s="572"/>
      <c r="SIY119" s="573"/>
      <c r="SIZ119" s="574"/>
      <c r="SJA119" s="575"/>
      <c r="SJB119" s="583"/>
      <c r="SJC119" s="590"/>
      <c r="SJD119" s="589"/>
      <c r="SJE119" s="585"/>
      <c r="SJF119" s="577"/>
      <c r="SJG119" s="304"/>
      <c r="SJH119" s="572"/>
      <c r="SJI119" s="573"/>
      <c r="SJJ119" s="574"/>
      <c r="SJK119" s="575"/>
      <c r="SJL119" s="583"/>
      <c r="SJM119" s="590"/>
      <c r="SJN119" s="589"/>
      <c r="SJO119" s="585"/>
      <c r="SJP119" s="577"/>
      <c r="SJQ119" s="304"/>
      <c r="SJR119" s="572"/>
      <c r="SJS119" s="573"/>
      <c r="SJT119" s="574"/>
      <c r="SJU119" s="575"/>
      <c r="SJV119" s="583"/>
      <c r="SJW119" s="590"/>
      <c r="SJX119" s="589"/>
      <c r="SJY119" s="585"/>
      <c r="SJZ119" s="577"/>
      <c r="SKA119" s="304"/>
      <c r="SKB119" s="572"/>
      <c r="SKC119" s="573"/>
      <c r="SKD119" s="574"/>
      <c r="SKE119" s="575"/>
      <c r="SKF119" s="583"/>
      <c r="SKG119" s="590"/>
      <c r="SKH119" s="589"/>
      <c r="SKI119" s="585"/>
      <c r="SKJ119" s="577"/>
      <c r="SKK119" s="304"/>
      <c r="SKL119" s="572"/>
      <c r="SKM119" s="573"/>
      <c r="SKN119" s="574"/>
      <c r="SKO119" s="575"/>
      <c r="SKP119" s="583"/>
      <c r="SKQ119" s="590"/>
      <c r="SKR119" s="589"/>
      <c r="SKS119" s="585"/>
      <c r="SKT119" s="577"/>
      <c r="SKU119" s="304"/>
      <c r="SKV119" s="572"/>
      <c r="SKW119" s="573"/>
      <c r="SKX119" s="574"/>
      <c r="SKY119" s="575"/>
      <c r="SKZ119" s="583"/>
      <c r="SLA119" s="590"/>
      <c r="SLB119" s="589"/>
      <c r="SLC119" s="585"/>
      <c r="SLD119" s="577"/>
      <c r="SLE119" s="304"/>
      <c r="SLF119" s="572"/>
      <c r="SLG119" s="573"/>
      <c r="SLH119" s="574"/>
      <c r="SLI119" s="575"/>
      <c r="SLJ119" s="583"/>
      <c r="SLK119" s="590"/>
      <c r="SLL119" s="589"/>
      <c r="SLM119" s="585"/>
      <c r="SLN119" s="577"/>
      <c r="SLO119" s="304"/>
      <c r="SLP119" s="572"/>
      <c r="SLQ119" s="573"/>
      <c r="SLR119" s="574"/>
      <c r="SLS119" s="575"/>
      <c r="SLT119" s="583"/>
      <c r="SLU119" s="590"/>
      <c r="SLV119" s="589"/>
      <c r="SLW119" s="585"/>
      <c r="SLX119" s="577"/>
      <c r="SLY119" s="304"/>
      <c r="SLZ119" s="572"/>
      <c r="SMA119" s="573"/>
      <c r="SMB119" s="574"/>
      <c r="SMC119" s="575"/>
      <c r="SMD119" s="583"/>
      <c r="SME119" s="590"/>
      <c r="SMF119" s="589"/>
      <c r="SMG119" s="585"/>
      <c r="SMH119" s="577"/>
      <c r="SMI119" s="304"/>
      <c r="SMJ119" s="572"/>
      <c r="SMK119" s="573"/>
      <c r="SML119" s="574"/>
      <c r="SMM119" s="575"/>
      <c r="SMN119" s="583"/>
      <c r="SMO119" s="590"/>
      <c r="SMP119" s="589"/>
      <c r="SMQ119" s="585"/>
      <c r="SMR119" s="577"/>
      <c r="SMS119" s="304"/>
      <c r="SMT119" s="572"/>
      <c r="SMU119" s="573"/>
      <c r="SMV119" s="574"/>
      <c r="SMW119" s="575"/>
      <c r="SMX119" s="583"/>
      <c r="SMY119" s="590"/>
      <c r="SMZ119" s="589"/>
      <c r="SNA119" s="585"/>
      <c r="SNB119" s="577"/>
      <c r="SNC119" s="304"/>
      <c r="SND119" s="572"/>
      <c r="SNE119" s="573"/>
      <c r="SNF119" s="574"/>
      <c r="SNG119" s="575"/>
      <c r="SNH119" s="583"/>
      <c r="SNI119" s="590"/>
      <c r="SNJ119" s="589"/>
      <c r="SNK119" s="585"/>
      <c r="SNL119" s="577"/>
      <c r="SNM119" s="304"/>
      <c r="SNN119" s="572"/>
      <c r="SNO119" s="573"/>
      <c r="SNP119" s="574"/>
      <c r="SNQ119" s="575"/>
      <c r="SNR119" s="583"/>
      <c r="SNS119" s="590"/>
      <c r="SNT119" s="589"/>
      <c r="SNU119" s="585"/>
      <c r="SNV119" s="577"/>
      <c r="SNW119" s="304"/>
      <c r="SNX119" s="572"/>
      <c r="SNY119" s="573"/>
      <c r="SNZ119" s="574"/>
      <c r="SOA119" s="575"/>
      <c r="SOB119" s="583"/>
      <c r="SOC119" s="590"/>
      <c r="SOD119" s="589"/>
      <c r="SOE119" s="585"/>
      <c r="SOF119" s="577"/>
      <c r="SOG119" s="304"/>
      <c r="SOH119" s="572"/>
      <c r="SOI119" s="573"/>
      <c r="SOJ119" s="574"/>
      <c r="SOK119" s="575"/>
      <c r="SOL119" s="583"/>
      <c r="SOM119" s="590"/>
      <c r="SON119" s="589"/>
      <c r="SOO119" s="585"/>
      <c r="SOP119" s="577"/>
      <c r="SOQ119" s="304"/>
      <c r="SOR119" s="572"/>
      <c r="SOS119" s="573"/>
      <c r="SOT119" s="574"/>
      <c r="SOU119" s="575"/>
      <c r="SOV119" s="583"/>
      <c r="SOW119" s="590"/>
      <c r="SOX119" s="589"/>
      <c r="SOY119" s="585"/>
      <c r="SOZ119" s="577"/>
      <c r="SPA119" s="304"/>
      <c r="SPB119" s="572"/>
      <c r="SPC119" s="573"/>
      <c r="SPD119" s="574"/>
      <c r="SPE119" s="575"/>
      <c r="SPF119" s="583"/>
      <c r="SPG119" s="590"/>
      <c r="SPH119" s="589"/>
      <c r="SPI119" s="585"/>
      <c r="SPJ119" s="577"/>
      <c r="SPK119" s="304"/>
      <c r="SPL119" s="572"/>
      <c r="SPM119" s="573"/>
      <c r="SPN119" s="574"/>
      <c r="SPO119" s="575"/>
      <c r="SPP119" s="583"/>
      <c r="SPQ119" s="590"/>
      <c r="SPR119" s="589"/>
      <c r="SPS119" s="585"/>
      <c r="SPT119" s="577"/>
      <c r="SPU119" s="304"/>
      <c r="SPV119" s="572"/>
      <c r="SPW119" s="573"/>
      <c r="SPX119" s="574"/>
      <c r="SPY119" s="575"/>
      <c r="SPZ119" s="583"/>
      <c r="SQA119" s="590"/>
      <c r="SQB119" s="589"/>
      <c r="SQC119" s="585"/>
      <c r="SQD119" s="577"/>
      <c r="SQE119" s="304"/>
      <c r="SQF119" s="572"/>
      <c r="SQG119" s="573"/>
      <c r="SQH119" s="574"/>
      <c r="SQI119" s="575"/>
      <c r="SQJ119" s="583"/>
      <c r="SQK119" s="590"/>
      <c r="SQL119" s="589"/>
      <c r="SQM119" s="585"/>
      <c r="SQN119" s="577"/>
      <c r="SQO119" s="304"/>
      <c r="SQP119" s="572"/>
      <c r="SQQ119" s="573"/>
      <c r="SQR119" s="574"/>
      <c r="SQS119" s="575"/>
      <c r="SQT119" s="583"/>
      <c r="SQU119" s="590"/>
      <c r="SQV119" s="589"/>
      <c r="SQW119" s="585"/>
      <c r="SQX119" s="577"/>
      <c r="SQY119" s="304"/>
      <c r="SQZ119" s="572"/>
      <c r="SRA119" s="573"/>
      <c r="SRB119" s="574"/>
      <c r="SRC119" s="575"/>
      <c r="SRD119" s="583"/>
      <c r="SRE119" s="590"/>
      <c r="SRF119" s="589"/>
      <c r="SRG119" s="585"/>
      <c r="SRH119" s="577"/>
      <c r="SRI119" s="304"/>
      <c r="SRJ119" s="572"/>
      <c r="SRK119" s="573"/>
      <c r="SRL119" s="574"/>
      <c r="SRM119" s="575"/>
      <c r="SRN119" s="583"/>
      <c r="SRO119" s="590"/>
      <c r="SRP119" s="589"/>
      <c r="SRQ119" s="585"/>
      <c r="SRR119" s="577"/>
      <c r="SRS119" s="304"/>
      <c r="SRT119" s="572"/>
      <c r="SRU119" s="573"/>
      <c r="SRV119" s="574"/>
      <c r="SRW119" s="575"/>
      <c r="SRX119" s="583"/>
      <c r="SRY119" s="590"/>
      <c r="SRZ119" s="589"/>
      <c r="SSA119" s="585"/>
      <c r="SSB119" s="577"/>
      <c r="SSC119" s="304"/>
      <c r="SSD119" s="572"/>
      <c r="SSE119" s="573"/>
      <c r="SSF119" s="574"/>
      <c r="SSG119" s="575"/>
      <c r="SSH119" s="583"/>
      <c r="SSI119" s="590"/>
      <c r="SSJ119" s="589"/>
      <c r="SSK119" s="585"/>
      <c r="SSL119" s="577"/>
      <c r="SSM119" s="304"/>
      <c r="SSN119" s="572"/>
      <c r="SSO119" s="573"/>
      <c r="SSP119" s="574"/>
      <c r="SSQ119" s="575"/>
      <c r="SSR119" s="583"/>
      <c r="SSS119" s="590"/>
      <c r="SST119" s="589"/>
      <c r="SSU119" s="585"/>
      <c r="SSV119" s="577"/>
      <c r="SSW119" s="304"/>
      <c r="SSX119" s="572"/>
      <c r="SSY119" s="573"/>
      <c r="SSZ119" s="574"/>
      <c r="STA119" s="575"/>
      <c r="STB119" s="583"/>
      <c r="STC119" s="590"/>
      <c r="STD119" s="589"/>
      <c r="STE119" s="585"/>
      <c r="STF119" s="577"/>
      <c r="STG119" s="304"/>
      <c r="STH119" s="572"/>
      <c r="STI119" s="573"/>
      <c r="STJ119" s="574"/>
      <c r="STK119" s="575"/>
      <c r="STL119" s="583"/>
      <c r="STM119" s="590"/>
      <c r="STN119" s="589"/>
      <c r="STO119" s="585"/>
      <c r="STP119" s="577"/>
      <c r="STQ119" s="304"/>
      <c r="STR119" s="572"/>
      <c r="STS119" s="573"/>
      <c r="STT119" s="574"/>
      <c r="STU119" s="575"/>
      <c r="STV119" s="583"/>
      <c r="STW119" s="590"/>
      <c r="STX119" s="589"/>
      <c r="STY119" s="585"/>
      <c r="STZ119" s="577"/>
      <c r="SUA119" s="304"/>
      <c r="SUB119" s="572"/>
      <c r="SUC119" s="573"/>
      <c r="SUD119" s="574"/>
      <c r="SUE119" s="575"/>
      <c r="SUF119" s="583"/>
      <c r="SUG119" s="590"/>
      <c r="SUH119" s="589"/>
      <c r="SUI119" s="585"/>
      <c r="SUJ119" s="577"/>
      <c r="SUK119" s="304"/>
      <c r="SUL119" s="572"/>
      <c r="SUM119" s="573"/>
      <c r="SUN119" s="574"/>
      <c r="SUO119" s="575"/>
      <c r="SUP119" s="583"/>
      <c r="SUQ119" s="590"/>
      <c r="SUR119" s="589"/>
      <c r="SUS119" s="585"/>
      <c r="SUT119" s="577"/>
      <c r="SUU119" s="304"/>
      <c r="SUV119" s="572"/>
      <c r="SUW119" s="573"/>
      <c r="SUX119" s="574"/>
      <c r="SUY119" s="575"/>
      <c r="SUZ119" s="583"/>
      <c r="SVA119" s="590"/>
      <c r="SVB119" s="589"/>
      <c r="SVC119" s="585"/>
      <c r="SVD119" s="577"/>
      <c r="SVE119" s="304"/>
      <c r="SVF119" s="572"/>
      <c r="SVG119" s="573"/>
      <c r="SVH119" s="574"/>
      <c r="SVI119" s="575"/>
      <c r="SVJ119" s="583"/>
      <c r="SVK119" s="590"/>
      <c r="SVL119" s="589"/>
      <c r="SVM119" s="585"/>
      <c r="SVN119" s="577"/>
      <c r="SVO119" s="304"/>
      <c r="SVP119" s="572"/>
      <c r="SVQ119" s="573"/>
      <c r="SVR119" s="574"/>
      <c r="SVS119" s="575"/>
      <c r="SVT119" s="583"/>
      <c r="SVU119" s="590"/>
      <c r="SVV119" s="589"/>
      <c r="SVW119" s="585"/>
      <c r="SVX119" s="577"/>
      <c r="SVY119" s="304"/>
      <c r="SVZ119" s="572"/>
      <c r="SWA119" s="573"/>
      <c r="SWB119" s="574"/>
      <c r="SWC119" s="575"/>
      <c r="SWD119" s="583"/>
      <c r="SWE119" s="590"/>
      <c r="SWF119" s="589"/>
      <c r="SWG119" s="585"/>
      <c r="SWH119" s="577"/>
      <c r="SWI119" s="304"/>
      <c r="SWJ119" s="572"/>
      <c r="SWK119" s="573"/>
      <c r="SWL119" s="574"/>
      <c r="SWM119" s="575"/>
      <c r="SWN119" s="583"/>
      <c r="SWO119" s="590"/>
      <c r="SWP119" s="589"/>
      <c r="SWQ119" s="585"/>
      <c r="SWR119" s="577"/>
      <c r="SWS119" s="304"/>
      <c r="SWT119" s="572"/>
      <c r="SWU119" s="573"/>
      <c r="SWV119" s="574"/>
      <c r="SWW119" s="575"/>
      <c r="SWX119" s="583"/>
      <c r="SWY119" s="590"/>
      <c r="SWZ119" s="589"/>
      <c r="SXA119" s="585"/>
      <c r="SXB119" s="577"/>
      <c r="SXC119" s="304"/>
      <c r="SXD119" s="572"/>
      <c r="SXE119" s="573"/>
      <c r="SXF119" s="574"/>
      <c r="SXG119" s="575"/>
      <c r="SXH119" s="583"/>
      <c r="SXI119" s="590"/>
      <c r="SXJ119" s="589"/>
      <c r="SXK119" s="585"/>
      <c r="SXL119" s="577"/>
      <c r="SXM119" s="304"/>
      <c r="SXN119" s="572"/>
      <c r="SXO119" s="573"/>
      <c r="SXP119" s="574"/>
      <c r="SXQ119" s="575"/>
      <c r="SXR119" s="583"/>
      <c r="SXS119" s="590"/>
      <c r="SXT119" s="589"/>
      <c r="SXU119" s="585"/>
      <c r="SXV119" s="577"/>
      <c r="SXW119" s="304"/>
      <c r="SXX119" s="572"/>
      <c r="SXY119" s="573"/>
      <c r="SXZ119" s="574"/>
      <c r="SYA119" s="575"/>
      <c r="SYB119" s="583"/>
      <c r="SYC119" s="590"/>
      <c r="SYD119" s="589"/>
      <c r="SYE119" s="585"/>
      <c r="SYF119" s="577"/>
      <c r="SYG119" s="304"/>
      <c r="SYH119" s="572"/>
      <c r="SYI119" s="573"/>
      <c r="SYJ119" s="574"/>
      <c r="SYK119" s="575"/>
      <c r="SYL119" s="583"/>
      <c r="SYM119" s="590"/>
      <c r="SYN119" s="589"/>
      <c r="SYO119" s="585"/>
      <c r="SYP119" s="577"/>
      <c r="SYQ119" s="304"/>
      <c r="SYR119" s="572"/>
      <c r="SYS119" s="573"/>
      <c r="SYT119" s="574"/>
      <c r="SYU119" s="575"/>
      <c r="SYV119" s="583"/>
      <c r="SYW119" s="590"/>
      <c r="SYX119" s="589"/>
      <c r="SYY119" s="585"/>
      <c r="SYZ119" s="577"/>
      <c r="SZA119" s="304"/>
      <c r="SZB119" s="572"/>
      <c r="SZC119" s="573"/>
      <c r="SZD119" s="574"/>
      <c r="SZE119" s="575"/>
      <c r="SZF119" s="583"/>
      <c r="SZG119" s="590"/>
      <c r="SZH119" s="589"/>
      <c r="SZI119" s="585"/>
      <c r="SZJ119" s="577"/>
      <c r="SZK119" s="304"/>
      <c r="SZL119" s="572"/>
      <c r="SZM119" s="573"/>
      <c r="SZN119" s="574"/>
      <c r="SZO119" s="575"/>
      <c r="SZP119" s="583"/>
      <c r="SZQ119" s="590"/>
      <c r="SZR119" s="589"/>
      <c r="SZS119" s="585"/>
      <c r="SZT119" s="577"/>
      <c r="SZU119" s="304"/>
      <c r="SZV119" s="572"/>
      <c r="SZW119" s="573"/>
      <c r="SZX119" s="574"/>
      <c r="SZY119" s="575"/>
      <c r="SZZ119" s="583"/>
      <c r="TAA119" s="590"/>
      <c r="TAB119" s="589"/>
      <c r="TAC119" s="585"/>
      <c r="TAD119" s="577"/>
      <c r="TAE119" s="304"/>
      <c r="TAF119" s="572"/>
      <c r="TAG119" s="573"/>
      <c r="TAH119" s="574"/>
      <c r="TAI119" s="575"/>
      <c r="TAJ119" s="583"/>
      <c r="TAK119" s="590"/>
      <c r="TAL119" s="589"/>
      <c r="TAM119" s="585"/>
      <c r="TAN119" s="577"/>
      <c r="TAO119" s="304"/>
      <c r="TAP119" s="572"/>
      <c r="TAQ119" s="573"/>
      <c r="TAR119" s="574"/>
      <c r="TAS119" s="575"/>
      <c r="TAT119" s="583"/>
      <c r="TAU119" s="590"/>
      <c r="TAV119" s="589"/>
      <c r="TAW119" s="585"/>
      <c r="TAX119" s="577"/>
      <c r="TAY119" s="304"/>
      <c r="TAZ119" s="572"/>
      <c r="TBA119" s="573"/>
      <c r="TBB119" s="574"/>
      <c r="TBC119" s="575"/>
      <c r="TBD119" s="583"/>
      <c r="TBE119" s="590"/>
      <c r="TBF119" s="589"/>
      <c r="TBG119" s="585"/>
      <c r="TBH119" s="577"/>
      <c r="TBI119" s="304"/>
      <c r="TBJ119" s="572"/>
      <c r="TBK119" s="573"/>
      <c r="TBL119" s="574"/>
      <c r="TBM119" s="575"/>
      <c r="TBN119" s="583"/>
      <c r="TBO119" s="590"/>
      <c r="TBP119" s="589"/>
      <c r="TBQ119" s="585"/>
      <c r="TBR119" s="577"/>
      <c r="TBS119" s="304"/>
      <c r="TBT119" s="572"/>
      <c r="TBU119" s="573"/>
      <c r="TBV119" s="574"/>
      <c r="TBW119" s="575"/>
      <c r="TBX119" s="583"/>
      <c r="TBY119" s="590"/>
      <c r="TBZ119" s="589"/>
      <c r="TCA119" s="585"/>
      <c r="TCB119" s="577"/>
      <c r="TCC119" s="304"/>
      <c r="TCD119" s="572"/>
      <c r="TCE119" s="573"/>
      <c r="TCF119" s="574"/>
      <c r="TCG119" s="575"/>
      <c r="TCH119" s="583"/>
      <c r="TCI119" s="590"/>
      <c r="TCJ119" s="589"/>
      <c r="TCK119" s="585"/>
      <c r="TCL119" s="577"/>
      <c r="TCM119" s="304"/>
      <c r="TCN119" s="572"/>
      <c r="TCO119" s="573"/>
      <c r="TCP119" s="574"/>
      <c r="TCQ119" s="575"/>
      <c r="TCR119" s="583"/>
      <c r="TCS119" s="590"/>
      <c r="TCT119" s="589"/>
      <c r="TCU119" s="585"/>
      <c r="TCV119" s="577"/>
      <c r="TCW119" s="304"/>
      <c r="TCX119" s="572"/>
      <c r="TCY119" s="573"/>
      <c r="TCZ119" s="574"/>
      <c r="TDA119" s="575"/>
      <c r="TDB119" s="583"/>
      <c r="TDC119" s="590"/>
      <c r="TDD119" s="589"/>
      <c r="TDE119" s="585"/>
      <c r="TDF119" s="577"/>
      <c r="TDG119" s="304"/>
      <c r="TDH119" s="572"/>
      <c r="TDI119" s="573"/>
      <c r="TDJ119" s="574"/>
      <c r="TDK119" s="575"/>
      <c r="TDL119" s="583"/>
      <c r="TDM119" s="590"/>
      <c r="TDN119" s="589"/>
      <c r="TDO119" s="585"/>
      <c r="TDP119" s="577"/>
      <c r="TDQ119" s="304"/>
      <c r="TDR119" s="572"/>
      <c r="TDS119" s="573"/>
      <c r="TDT119" s="574"/>
      <c r="TDU119" s="575"/>
      <c r="TDV119" s="583"/>
      <c r="TDW119" s="590"/>
      <c r="TDX119" s="589"/>
      <c r="TDY119" s="585"/>
      <c r="TDZ119" s="577"/>
      <c r="TEA119" s="304"/>
      <c r="TEB119" s="572"/>
      <c r="TEC119" s="573"/>
      <c r="TED119" s="574"/>
      <c r="TEE119" s="575"/>
      <c r="TEF119" s="583"/>
      <c r="TEG119" s="590"/>
      <c r="TEH119" s="589"/>
      <c r="TEI119" s="585"/>
      <c r="TEJ119" s="577"/>
      <c r="TEK119" s="304"/>
      <c r="TEL119" s="572"/>
      <c r="TEM119" s="573"/>
      <c r="TEN119" s="574"/>
      <c r="TEO119" s="575"/>
      <c r="TEP119" s="583"/>
      <c r="TEQ119" s="590"/>
      <c r="TER119" s="589"/>
      <c r="TES119" s="585"/>
      <c r="TET119" s="577"/>
      <c r="TEU119" s="304"/>
      <c r="TEV119" s="572"/>
      <c r="TEW119" s="573"/>
      <c r="TEX119" s="574"/>
      <c r="TEY119" s="575"/>
      <c r="TEZ119" s="583"/>
      <c r="TFA119" s="590"/>
      <c r="TFB119" s="589"/>
      <c r="TFC119" s="585"/>
      <c r="TFD119" s="577"/>
      <c r="TFE119" s="304"/>
      <c r="TFF119" s="572"/>
      <c r="TFG119" s="573"/>
      <c r="TFH119" s="574"/>
      <c r="TFI119" s="575"/>
      <c r="TFJ119" s="583"/>
      <c r="TFK119" s="590"/>
      <c r="TFL119" s="589"/>
      <c r="TFM119" s="585"/>
      <c r="TFN119" s="577"/>
      <c r="TFO119" s="304"/>
      <c r="TFP119" s="572"/>
      <c r="TFQ119" s="573"/>
      <c r="TFR119" s="574"/>
      <c r="TFS119" s="575"/>
      <c r="TFT119" s="583"/>
      <c r="TFU119" s="590"/>
      <c r="TFV119" s="589"/>
      <c r="TFW119" s="585"/>
      <c r="TFX119" s="577"/>
      <c r="TFY119" s="304"/>
      <c r="TFZ119" s="572"/>
      <c r="TGA119" s="573"/>
      <c r="TGB119" s="574"/>
      <c r="TGC119" s="575"/>
      <c r="TGD119" s="583"/>
      <c r="TGE119" s="590"/>
      <c r="TGF119" s="589"/>
      <c r="TGG119" s="585"/>
      <c r="TGH119" s="577"/>
      <c r="TGI119" s="304"/>
      <c r="TGJ119" s="572"/>
      <c r="TGK119" s="573"/>
      <c r="TGL119" s="574"/>
      <c r="TGM119" s="575"/>
      <c r="TGN119" s="583"/>
      <c r="TGO119" s="590"/>
      <c r="TGP119" s="589"/>
      <c r="TGQ119" s="585"/>
      <c r="TGR119" s="577"/>
      <c r="TGS119" s="304"/>
      <c r="TGT119" s="572"/>
      <c r="TGU119" s="573"/>
      <c r="TGV119" s="574"/>
      <c r="TGW119" s="575"/>
      <c r="TGX119" s="583"/>
      <c r="TGY119" s="590"/>
      <c r="TGZ119" s="589"/>
      <c r="THA119" s="585"/>
      <c r="THB119" s="577"/>
      <c r="THC119" s="304"/>
      <c r="THD119" s="572"/>
      <c r="THE119" s="573"/>
      <c r="THF119" s="574"/>
      <c r="THG119" s="575"/>
      <c r="THH119" s="583"/>
      <c r="THI119" s="590"/>
      <c r="THJ119" s="589"/>
      <c r="THK119" s="585"/>
      <c r="THL119" s="577"/>
      <c r="THM119" s="304"/>
      <c r="THN119" s="572"/>
      <c r="THO119" s="573"/>
      <c r="THP119" s="574"/>
      <c r="THQ119" s="575"/>
      <c r="THR119" s="583"/>
      <c r="THS119" s="590"/>
      <c r="THT119" s="589"/>
      <c r="THU119" s="585"/>
      <c r="THV119" s="577"/>
      <c r="THW119" s="304"/>
      <c r="THX119" s="572"/>
      <c r="THY119" s="573"/>
      <c r="THZ119" s="574"/>
      <c r="TIA119" s="575"/>
      <c r="TIB119" s="583"/>
      <c r="TIC119" s="590"/>
      <c r="TID119" s="589"/>
      <c r="TIE119" s="585"/>
      <c r="TIF119" s="577"/>
      <c r="TIG119" s="304"/>
      <c r="TIH119" s="572"/>
      <c r="TII119" s="573"/>
      <c r="TIJ119" s="574"/>
      <c r="TIK119" s="575"/>
      <c r="TIL119" s="583"/>
      <c r="TIM119" s="590"/>
      <c r="TIN119" s="589"/>
      <c r="TIO119" s="585"/>
      <c r="TIP119" s="577"/>
      <c r="TIQ119" s="304"/>
      <c r="TIR119" s="572"/>
      <c r="TIS119" s="573"/>
      <c r="TIT119" s="574"/>
      <c r="TIU119" s="575"/>
      <c r="TIV119" s="583"/>
      <c r="TIW119" s="590"/>
      <c r="TIX119" s="589"/>
      <c r="TIY119" s="585"/>
      <c r="TIZ119" s="577"/>
      <c r="TJA119" s="304"/>
      <c r="TJB119" s="572"/>
      <c r="TJC119" s="573"/>
      <c r="TJD119" s="574"/>
      <c r="TJE119" s="575"/>
      <c r="TJF119" s="583"/>
      <c r="TJG119" s="590"/>
      <c r="TJH119" s="589"/>
      <c r="TJI119" s="585"/>
      <c r="TJJ119" s="577"/>
      <c r="TJK119" s="304"/>
      <c r="TJL119" s="572"/>
      <c r="TJM119" s="573"/>
      <c r="TJN119" s="574"/>
      <c r="TJO119" s="575"/>
      <c r="TJP119" s="583"/>
      <c r="TJQ119" s="590"/>
      <c r="TJR119" s="589"/>
      <c r="TJS119" s="585"/>
      <c r="TJT119" s="577"/>
      <c r="TJU119" s="304"/>
      <c r="TJV119" s="572"/>
      <c r="TJW119" s="573"/>
      <c r="TJX119" s="574"/>
      <c r="TJY119" s="575"/>
      <c r="TJZ119" s="583"/>
      <c r="TKA119" s="590"/>
      <c r="TKB119" s="589"/>
      <c r="TKC119" s="585"/>
      <c r="TKD119" s="577"/>
      <c r="TKE119" s="304"/>
      <c r="TKF119" s="572"/>
      <c r="TKG119" s="573"/>
      <c r="TKH119" s="574"/>
      <c r="TKI119" s="575"/>
      <c r="TKJ119" s="583"/>
      <c r="TKK119" s="590"/>
      <c r="TKL119" s="589"/>
      <c r="TKM119" s="585"/>
      <c r="TKN119" s="577"/>
      <c r="TKO119" s="304"/>
      <c r="TKP119" s="572"/>
      <c r="TKQ119" s="573"/>
      <c r="TKR119" s="574"/>
      <c r="TKS119" s="575"/>
      <c r="TKT119" s="583"/>
      <c r="TKU119" s="590"/>
      <c r="TKV119" s="589"/>
      <c r="TKW119" s="585"/>
      <c r="TKX119" s="577"/>
      <c r="TKY119" s="304"/>
      <c r="TKZ119" s="572"/>
      <c r="TLA119" s="573"/>
      <c r="TLB119" s="574"/>
      <c r="TLC119" s="575"/>
      <c r="TLD119" s="583"/>
      <c r="TLE119" s="590"/>
      <c r="TLF119" s="589"/>
      <c r="TLG119" s="585"/>
      <c r="TLH119" s="577"/>
      <c r="TLI119" s="304"/>
      <c r="TLJ119" s="572"/>
      <c r="TLK119" s="573"/>
      <c r="TLL119" s="574"/>
      <c r="TLM119" s="575"/>
      <c r="TLN119" s="583"/>
      <c r="TLO119" s="590"/>
      <c r="TLP119" s="589"/>
      <c r="TLQ119" s="585"/>
      <c r="TLR119" s="577"/>
      <c r="TLS119" s="304"/>
      <c r="TLT119" s="572"/>
      <c r="TLU119" s="573"/>
      <c r="TLV119" s="574"/>
      <c r="TLW119" s="575"/>
      <c r="TLX119" s="583"/>
      <c r="TLY119" s="590"/>
      <c r="TLZ119" s="589"/>
      <c r="TMA119" s="585"/>
      <c r="TMB119" s="577"/>
      <c r="TMC119" s="304"/>
      <c r="TMD119" s="572"/>
      <c r="TME119" s="573"/>
      <c r="TMF119" s="574"/>
      <c r="TMG119" s="575"/>
      <c r="TMH119" s="583"/>
      <c r="TMI119" s="590"/>
      <c r="TMJ119" s="589"/>
      <c r="TMK119" s="585"/>
      <c r="TML119" s="577"/>
      <c r="TMM119" s="304"/>
      <c r="TMN119" s="572"/>
      <c r="TMO119" s="573"/>
      <c r="TMP119" s="574"/>
      <c r="TMQ119" s="575"/>
      <c r="TMR119" s="583"/>
      <c r="TMS119" s="590"/>
      <c r="TMT119" s="589"/>
      <c r="TMU119" s="585"/>
      <c r="TMV119" s="577"/>
      <c r="TMW119" s="304"/>
      <c r="TMX119" s="572"/>
      <c r="TMY119" s="573"/>
      <c r="TMZ119" s="574"/>
      <c r="TNA119" s="575"/>
      <c r="TNB119" s="583"/>
      <c r="TNC119" s="590"/>
      <c r="TND119" s="589"/>
      <c r="TNE119" s="585"/>
      <c r="TNF119" s="577"/>
      <c r="TNG119" s="304"/>
      <c r="TNH119" s="572"/>
      <c r="TNI119" s="573"/>
      <c r="TNJ119" s="574"/>
      <c r="TNK119" s="575"/>
      <c r="TNL119" s="583"/>
      <c r="TNM119" s="590"/>
      <c r="TNN119" s="589"/>
      <c r="TNO119" s="585"/>
      <c r="TNP119" s="577"/>
      <c r="TNQ119" s="304"/>
      <c r="TNR119" s="572"/>
      <c r="TNS119" s="573"/>
      <c r="TNT119" s="574"/>
      <c r="TNU119" s="575"/>
      <c r="TNV119" s="583"/>
      <c r="TNW119" s="590"/>
      <c r="TNX119" s="589"/>
      <c r="TNY119" s="585"/>
      <c r="TNZ119" s="577"/>
      <c r="TOA119" s="304"/>
      <c r="TOB119" s="572"/>
      <c r="TOC119" s="573"/>
      <c r="TOD119" s="574"/>
      <c r="TOE119" s="575"/>
      <c r="TOF119" s="583"/>
      <c r="TOG119" s="590"/>
      <c r="TOH119" s="589"/>
      <c r="TOI119" s="585"/>
      <c r="TOJ119" s="577"/>
      <c r="TOK119" s="304"/>
      <c r="TOL119" s="572"/>
      <c r="TOM119" s="573"/>
      <c r="TON119" s="574"/>
      <c r="TOO119" s="575"/>
      <c r="TOP119" s="583"/>
      <c r="TOQ119" s="590"/>
      <c r="TOR119" s="589"/>
      <c r="TOS119" s="585"/>
      <c r="TOT119" s="577"/>
      <c r="TOU119" s="304"/>
      <c r="TOV119" s="572"/>
      <c r="TOW119" s="573"/>
      <c r="TOX119" s="574"/>
      <c r="TOY119" s="575"/>
      <c r="TOZ119" s="583"/>
      <c r="TPA119" s="590"/>
      <c r="TPB119" s="589"/>
      <c r="TPC119" s="585"/>
      <c r="TPD119" s="577"/>
      <c r="TPE119" s="304"/>
      <c r="TPF119" s="572"/>
      <c r="TPG119" s="573"/>
      <c r="TPH119" s="574"/>
      <c r="TPI119" s="575"/>
      <c r="TPJ119" s="583"/>
      <c r="TPK119" s="590"/>
      <c r="TPL119" s="589"/>
      <c r="TPM119" s="585"/>
      <c r="TPN119" s="577"/>
      <c r="TPO119" s="304"/>
      <c r="TPP119" s="572"/>
      <c r="TPQ119" s="573"/>
      <c r="TPR119" s="574"/>
      <c r="TPS119" s="575"/>
      <c r="TPT119" s="583"/>
      <c r="TPU119" s="590"/>
      <c r="TPV119" s="589"/>
      <c r="TPW119" s="585"/>
      <c r="TPX119" s="577"/>
      <c r="TPY119" s="304"/>
      <c r="TPZ119" s="572"/>
      <c r="TQA119" s="573"/>
      <c r="TQB119" s="574"/>
      <c r="TQC119" s="575"/>
      <c r="TQD119" s="583"/>
      <c r="TQE119" s="590"/>
      <c r="TQF119" s="589"/>
      <c r="TQG119" s="585"/>
      <c r="TQH119" s="577"/>
      <c r="TQI119" s="304"/>
      <c r="TQJ119" s="572"/>
      <c r="TQK119" s="573"/>
      <c r="TQL119" s="574"/>
      <c r="TQM119" s="575"/>
      <c r="TQN119" s="583"/>
      <c r="TQO119" s="590"/>
      <c r="TQP119" s="589"/>
      <c r="TQQ119" s="585"/>
      <c r="TQR119" s="577"/>
      <c r="TQS119" s="304"/>
      <c r="TQT119" s="572"/>
      <c r="TQU119" s="573"/>
      <c r="TQV119" s="574"/>
      <c r="TQW119" s="575"/>
      <c r="TQX119" s="583"/>
      <c r="TQY119" s="590"/>
      <c r="TQZ119" s="589"/>
      <c r="TRA119" s="585"/>
      <c r="TRB119" s="577"/>
      <c r="TRC119" s="304"/>
      <c r="TRD119" s="572"/>
      <c r="TRE119" s="573"/>
      <c r="TRF119" s="574"/>
      <c r="TRG119" s="575"/>
      <c r="TRH119" s="583"/>
      <c r="TRI119" s="590"/>
      <c r="TRJ119" s="589"/>
      <c r="TRK119" s="585"/>
      <c r="TRL119" s="577"/>
      <c r="TRM119" s="304"/>
      <c r="TRN119" s="572"/>
      <c r="TRO119" s="573"/>
      <c r="TRP119" s="574"/>
      <c r="TRQ119" s="575"/>
      <c r="TRR119" s="583"/>
      <c r="TRS119" s="590"/>
      <c r="TRT119" s="589"/>
      <c r="TRU119" s="585"/>
      <c r="TRV119" s="577"/>
      <c r="TRW119" s="304"/>
      <c r="TRX119" s="572"/>
      <c r="TRY119" s="573"/>
      <c r="TRZ119" s="574"/>
      <c r="TSA119" s="575"/>
      <c r="TSB119" s="583"/>
      <c r="TSC119" s="590"/>
      <c r="TSD119" s="589"/>
      <c r="TSE119" s="585"/>
      <c r="TSF119" s="577"/>
      <c r="TSG119" s="304"/>
      <c r="TSH119" s="572"/>
      <c r="TSI119" s="573"/>
      <c r="TSJ119" s="574"/>
      <c r="TSK119" s="575"/>
      <c r="TSL119" s="583"/>
      <c r="TSM119" s="590"/>
      <c r="TSN119" s="589"/>
      <c r="TSO119" s="585"/>
      <c r="TSP119" s="577"/>
      <c r="TSQ119" s="304"/>
      <c r="TSR119" s="572"/>
      <c r="TSS119" s="573"/>
      <c r="TST119" s="574"/>
      <c r="TSU119" s="575"/>
      <c r="TSV119" s="583"/>
      <c r="TSW119" s="590"/>
      <c r="TSX119" s="589"/>
      <c r="TSY119" s="585"/>
      <c r="TSZ119" s="577"/>
      <c r="TTA119" s="304"/>
      <c r="TTB119" s="572"/>
      <c r="TTC119" s="573"/>
      <c r="TTD119" s="574"/>
      <c r="TTE119" s="575"/>
      <c r="TTF119" s="583"/>
      <c r="TTG119" s="590"/>
      <c r="TTH119" s="589"/>
      <c r="TTI119" s="585"/>
      <c r="TTJ119" s="577"/>
      <c r="TTK119" s="304"/>
      <c r="TTL119" s="572"/>
      <c r="TTM119" s="573"/>
      <c r="TTN119" s="574"/>
      <c r="TTO119" s="575"/>
      <c r="TTP119" s="583"/>
      <c r="TTQ119" s="590"/>
      <c r="TTR119" s="589"/>
      <c r="TTS119" s="585"/>
      <c r="TTT119" s="577"/>
      <c r="TTU119" s="304"/>
      <c r="TTV119" s="572"/>
      <c r="TTW119" s="573"/>
      <c r="TTX119" s="574"/>
      <c r="TTY119" s="575"/>
      <c r="TTZ119" s="583"/>
      <c r="TUA119" s="590"/>
      <c r="TUB119" s="589"/>
      <c r="TUC119" s="585"/>
      <c r="TUD119" s="577"/>
      <c r="TUE119" s="304"/>
      <c r="TUF119" s="572"/>
      <c r="TUG119" s="573"/>
      <c r="TUH119" s="574"/>
      <c r="TUI119" s="575"/>
      <c r="TUJ119" s="583"/>
      <c r="TUK119" s="590"/>
      <c r="TUL119" s="589"/>
      <c r="TUM119" s="585"/>
      <c r="TUN119" s="577"/>
      <c r="TUO119" s="304"/>
      <c r="TUP119" s="572"/>
      <c r="TUQ119" s="573"/>
      <c r="TUR119" s="574"/>
      <c r="TUS119" s="575"/>
      <c r="TUT119" s="583"/>
      <c r="TUU119" s="590"/>
      <c r="TUV119" s="589"/>
      <c r="TUW119" s="585"/>
      <c r="TUX119" s="577"/>
      <c r="TUY119" s="304"/>
      <c r="TUZ119" s="572"/>
      <c r="TVA119" s="573"/>
      <c r="TVB119" s="574"/>
      <c r="TVC119" s="575"/>
      <c r="TVD119" s="583"/>
      <c r="TVE119" s="590"/>
      <c r="TVF119" s="589"/>
      <c r="TVG119" s="585"/>
      <c r="TVH119" s="577"/>
      <c r="TVI119" s="304"/>
      <c r="TVJ119" s="572"/>
      <c r="TVK119" s="573"/>
      <c r="TVL119" s="574"/>
      <c r="TVM119" s="575"/>
      <c r="TVN119" s="583"/>
      <c r="TVO119" s="590"/>
      <c r="TVP119" s="589"/>
      <c r="TVQ119" s="585"/>
      <c r="TVR119" s="577"/>
      <c r="TVS119" s="304"/>
      <c r="TVT119" s="572"/>
      <c r="TVU119" s="573"/>
      <c r="TVV119" s="574"/>
      <c r="TVW119" s="575"/>
      <c r="TVX119" s="583"/>
      <c r="TVY119" s="590"/>
      <c r="TVZ119" s="589"/>
      <c r="TWA119" s="585"/>
      <c r="TWB119" s="577"/>
      <c r="TWC119" s="304"/>
      <c r="TWD119" s="572"/>
      <c r="TWE119" s="573"/>
      <c r="TWF119" s="574"/>
      <c r="TWG119" s="575"/>
      <c r="TWH119" s="583"/>
      <c r="TWI119" s="590"/>
      <c r="TWJ119" s="589"/>
      <c r="TWK119" s="585"/>
      <c r="TWL119" s="577"/>
      <c r="TWM119" s="304"/>
      <c r="TWN119" s="572"/>
      <c r="TWO119" s="573"/>
      <c r="TWP119" s="574"/>
      <c r="TWQ119" s="575"/>
      <c r="TWR119" s="583"/>
      <c r="TWS119" s="590"/>
      <c r="TWT119" s="589"/>
      <c r="TWU119" s="585"/>
      <c r="TWV119" s="577"/>
      <c r="TWW119" s="304"/>
      <c r="TWX119" s="572"/>
      <c r="TWY119" s="573"/>
      <c r="TWZ119" s="574"/>
      <c r="TXA119" s="575"/>
      <c r="TXB119" s="583"/>
      <c r="TXC119" s="590"/>
      <c r="TXD119" s="589"/>
      <c r="TXE119" s="585"/>
      <c r="TXF119" s="577"/>
      <c r="TXG119" s="304"/>
      <c r="TXH119" s="572"/>
      <c r="TXI119" s="573"/>
      <c r="TXJ119" s="574"/>
      <c r="TXK119" s="575"/>
      <c r="TXL119" s="583"/>
      <c r="TXM119" s="590"/>
      <c r="TXN119" s="589"/>
      <c r="TXO119" s="585"/>
      <c r="TXP119" s="577"/>
      <c r="TXQ119" s="304"/>
      <c r="TXR119" s="572"/>
      <c r="TXS119" s="573"/>
      <c r="TXT119" s="574"/>
      <c r="TXU119" s="575"/>
      <c r="TXV119" s="583"/>
      <c r="TXW119" s="590"/>
      <c r="TXX119" s="589"/>
      <c r="TXY119" s="585"/>
      <c r="TXZ119" s="577"/>
      <c r="TYA119" s="304"/>
      <c r="TYB119" s="572"/>
      <c r="TYC119" s="573"/>
      <c r="TYD119" s="574"/>
      <c r="TYE119" s="575"/>
      <c r="TYF119" s="583"/>
      <c r="TYG119" s="590"/>
      <c r="TYH119" s="589"/>
      <c r="TYI119" s="585"/>
      <c r="TYJ119" s="577"/>
      <c r="TYK119" s="304"/>
      <c r="TYL119" s="572"/>
      <c r="TYM119" s="573"/>
      <c r="TYN119" s="574"/>
      <c r="TYO119" s="575"/>
      <c r="TYP119" s="583"/>
      <c r="TYQ119" s="590"/>
      <c r="TYR119" s="589"/>
      <c r="TYS119" s="585"/>
      <c r="TYT119" s="577"/>
      <c r="TYU119" s="304"/>
      <c r="TYV119" s="572"/>
      <c r="TYW119" s="573"/>
      <c r="TYX119" s="574"/>
      <c r="TYY119" s="575"/>
      <c r="TYZ119" s="583"/>
      <c r="TZA119" s="590"/>
      <c r="TZB119" s="589"/>
      <c r="TZC119" s="585"/>
      <c r="TZD119" s="577"/>
      <c r="TZE119" s="304"/>
      <c r="TZF119" s="572"/>
      <c r="TZG119" s="573"/>
      <c r="TZH119" s="574"/>
      <c r="TZI119" s="575"/>
      <c r="TZJ119" s="583"/>
      <c r="TZK119" s="590"/>
      <c r="TZL119" s="589"/>
      <c r="TZM119" s="585"/>
      <c r="TZN119" s="577"/>
      <c r="TZO119" s="304"/>
      <c r="TZP119" s="572"/>
      <c r="TZQ119" s="573"/>
      <c r="TZR119" s="574"/>
      <c r="TZS119" s="575"/>
      <c r="TZT119" s="583"/>
      <c r="TZU119" s="590"/>
      <c r="TZV119" s="589"/>
      <c r="TZW119" s="585"/>
      <c r="TZX119" s="577"/>
      <c r="TZY119" s="304"/>
      <c r="TZZ119" s="572"/>
      <c r="UAA119" s="573"/>
      <c r="UAB119" s="574"/>
      <c r="UAC119" s="575"/>
      <c r="UAD119" s="583"/>
      <c r="UAE119" s="590"/>
      <c r="UAF119" s="589"/>
      <c r="UAG119" s="585"/>
      <c r="UAH119" s="577"/>
      <c r="UAI119" s="304"/>
      <c r="UAJ119" s="572"/>
      <c r="UAK119" s="573"/>
      <c r="UAL119" s="574"/>
      <c r="UAM119" s="575"/>
      <c r="UAN119" s="583"/>
      <c r="UAO119" s="590"/>
      <c r="UAP119" s="589"/>
      <c r="UAQ119" s="585"/>
      <c r="UAR119" s="577"/>
      <c r="UAS119" s="304"/>
      <c r="UAT119" s="572"/>
      <c r="UAU119" s="573"/>
      <c r="UAV119" s="574"/>
      <c r="UAW119" s="575"/>
      <c r="UAX119" s="583"/>
      <c r="UAY119" s="590"/>
      <c r="UAZ119" s="589"/>
      <c r="UBA119" s="585"/>
      <c r="UBB119" s="577"/>
      <c r="UBC119" s="304"/>
      <c r="UBD119" s="572"/>
      <c r="UBE119" s="573"/>
      <c r="UBF119" s="574"/>
      <c r="UBG119" s="575"/>
      <c r="UBH119" s="583"/>
      <c r="UBI119" s="590"/>
      <c r="UBJ119" s="589"/>
      <c r="UBK119" s="585"/>
      <c r="UBL119" s="577"/>
      <c r="UBM119" s="304"/>
      <c r="UBN119" s="572"/>
      <c r="UBO119" s="573"/>
      <c r="UBP119" s="574"/>
      <c r="UBQ119" s="575"/>
      <c r="UBR119" s="583"/>
      <c r="UBS119" s="590"/>
      <c r="UBT119" s="589"/>
      <c r="UBU119" s="585"/>
      <c r="UBV119" s="577"/>
      <c r="UBW119" s="304"/>
      <c r="UBX119" s="572"/>
      <c r="UBY119" s="573"/>
      <c r="UBZ119" s="574"/>
      <c r="UCA119" s="575"/>
      <c r="UCB119" s="583"/>
      <c r="UCC119" s="590"/>
      <c r="UCD119" s="589"/>
      <c r="UCE119" s="585"/>
      <c r="UCF119" s="577"/>
      <c r="UCG119" s="304"/>
      <c r="UCH119" s="572"/>
      <c r="UCI119" s="573"/>
      <c r="UCJ119" s="574"/>
      <c r="UCK119" s="575"/>
      <c r="UCL119" s="583"/>
      <c r="UCM119" s="590"/>
      <c r="UCN119" s="589"/>
      <c r="UCO119" s="585"/>
      <c r="UCP119" s="577"/>
      <c r="UCQ119" s="304"/>
      <c r="UCR119" s="572"/>
      <c r="UCS119" s="573"/>
      <c r="UCT119" s="574"/>
      <c r="UCU119" s="575"/>
      <c r="UCV119" s="583"/>
      <c r="UCW119" s="590"/>
      <c r="UCX119" s="589"/>
      <c r="UCY119" s="585"/>
      <c r="UCZ119" s="577"/>
      <c r="UDA119" s="304"/>
      <c r="UDB119" s="572"/>
      <c r="UDC119" s="573"/>
      <c r="UDD119" s="574"/>
      <c r="UDE119" s="575"/>
      <c r="UDF119" s="583"/>
      <c r="UDG119" s="590"/>
      <c r="UDH119" s="589"/>
      <c r="UDI119" s="585"/>
      <c r="UDJ119" s="577"/>
      <c r="UDK119" s="304"/>
      <c r="UDL119" s="572"/>
      <c r="UDM119" s="573"/>
      <c r="UDN119" s="574"/>
      <c r="UDO119" s="575"/>
      <c r="UDP119" s="583"/>
      <c r="UDQ119" s="590"/>
      <c r="UDR119" s="589"/>
      <c r="UDS119" s="585"/>
      <c r="UDT119" s="577"/>
      <c r="UDU119" s="304"/>
      <c r="UDV119" s="572"/>
      <c r="UDW119" s="573"/>
      <c r="UDX119" s="574"/>
      <c r="UDY119" s="575"/>
      <c r="UDZ119" s="583"/>
      <c r="UEA119" s="590"/>
      <c r="UEB119" s="589"/>
      <c r="UEC119" s="585"/>
      <c r="UED119" s="577"/>
      <c r="UEE119" s="304"/>
      <c r="UEF119" s="572"/>
      <c r="UEG119" s="573"/>
      <c r="UEH119" s="574"/>
      <c r="UEI119" s="575"/>
      <c r="UEJ119" s="583"/>
      <c r="UEK119" s="590"/>
      <c r="UEL119" s="589"/>
      <c r="UEM119" s="585"/>
      <c r="UEN119" s="577"/>
      <c r="UEO119" s="304"/>
      <c r="UEP119" s="572"/>
      <c r="UEQ119" s="573"/>
      <c r="UER119" s="574"/>
      <c r="UES119" s="575"/>
      <c r="UET119" s="583"/>
      <c r="UEU119" s="590"/>
      <c r="UEV119" s="589"/>
      <c r="UEW119" s="585"/>
      <c r="UEX119" s="577"/>
      <c r="UEY119" s="304"/>
      <c r="UEZ119" s="572"/>
      <c r="UFA119" s="573"/>
      <c r="UFB119" s="574"/>
      <c r="UFC119" s="575"/>
      <c r="UFD119" s="583"/>
      <c r="UFE119" s="590"/>
      <c r="UFF119" s="589"/>
      <c r="UFG119" s="585"/>
      <c r="UFH119" s="577"/>
      <c r="UFI119" s="304"/>
      <c r="UFJ119" s="572"/>
      <c r="UFK119" s="573"/>
      <c r="UFL119" s="574"/>
      <c r="UFM119" s="575"/>
      <c r="UFN119" s="583"/>
      <c r="UFO119" s="590"/>
      <c r="UFP119" s="589"/>
      <c r="UFQ119" s="585"/>
      <c r="UFR119" s="577"/>
      <c r="UFS119" s="304"/>
      <c r="UFT119" s="572"/>
      <c r="UFU119" s="573"/>
      <c r="UFV119" s="574"/>
      <c r="UFW119" s="575"/>
      <c r="UFX119" s="583"/>
      <c r="UFY119" s="590"/>
      <c r="UFZ119" s="589"/>
      <c r="UGA119" s="585"/>
      <c r="UGB119" s="577"/>
      <c r="UGC119" s="304"/>
      <c r="UGD119" s="572"/>
      <c r="UGE119" s="573"/>
      <c r="UGF119" s="574"/>
      <c r="UGG119" s="575"/>
      <c r="UGH119" s="583"/>
      <c r="UGI119" s="590"/>
      <c r="UGJ119" s="589"/>
      <c r="UGK119" s="585"/>
      <c r="UGL119" s="577"/>
      <c r="UGM119" s="304"/>
      <c r="UGN119" s="572"/>
      <c r="UGO119" s="573"/>
      <c r="UGP119" s="574"/>
      <c r="UGQ119" s="575"/>
      <c r="UGR119" s="583"/>
      <c r="UGS119" s="590"/>
      <c r="UGT119" s="589"/>
      <c r="UGU119" s="585"/>
      <c r="UGV119" s="577"/>
      <c r="UGW119" s="304"/>
      <c r="UGX119" s="572"/>
      <c r="UGY119" s="573"/>
      <c r="UGZ119" s="574"/>
      <c r="UHA119" s="575"/>
      <c r="UHB119" s="583"/>
      <c r="UHC119" s="590"/>
      <c r="UHD119" s="589"/>
      <c r="UHE119" s="585"/>
      <c r="UHF119" s="577"/>
      <c r="UHG119" s="304"/>
      <c r="UHH119" s="572"/>
      <c r="UHI119" s="573"/>
      <c r="UHJ119" s="574"/>
      <c r="UHK119" s="575"/>
      <c r="UHL119" s="583"/>
      <c r="UHM119" s="590"/>
      <c r="UHN119" s="589"/>
      <c r="UHO119" s="585"/>
      <c r="UHP119" s="577"/>
      <c r="UHQ119" s="304"/>
      <c r="UHR119" s="572"/>
      <c r="UHS119" s="573"/>
      <c r="UHT119" s="574"/>
      <c r="UHU119" s="575"/>
      <c r="UHV119" s="583"/>
      <c r="UHW119" s="590"/>
      <c r="UHX119" s="589"/>
      <c r="UHY119" s="585"/>
      <c r="UHZ119" s="577"/>
      <c r="UIA119" s="304"/>
      <c r="UIB119" s="572"/>
      <c r="UIC119" s="573"/>
      <c r="UID119" s="574"/>
      <c r="UIE119" s="575"/>
      <c r="UIF119" s="583"/>
      <c r="UIG119" s="590"/>
      <c r="UIH119" s="589"/>
      <c r="UII119" s="585"/>
      <c r="UIJ119" s="577"/>
      <c r="UIK119" s="304"/>
      <c r="UIL119" s="572"/>
      <c r="UIM119" s="573"/>
      <c r="UIN119" s="574"/>
      <c r="UIO119" s="575"/>
      <c r="UIP119" s="583"/>
      <c r="UIQ119" s="590"/>
      <c r="UIR119" s="589"/>
      <c r="UIS119" s="585"/>
      <c r="UIT119" s="577"/>
      <c r="UIU119" s="304"/>
      <c r="UIV119" s="572"/>
      <c r="UIW119" s="573"/>
      <c r="UIX119" s="574"/>
      <c r="UIY119" s="575"/>
      <c r="UIZ119" s="583"/>
      <c r="UJA119" s="590"/>
      <c r="UJB119" s="589"/>
      <c r="UJC119" s="585"/>
      <c r="UJD119" s="577"/>
      <c r="UJE119" s="304"/>
      <c r="UJF119" s="572"/>
      <c r="UJG119" s="573"/>
      <c r="UJH119" s="574"/>
      <c r="UJI119" s="575"/>
      <c r="UJJ119" s="583"/>
      <c r="UJK119" s="590"/>
      <c r="UJL119" s="589"/>
      <c r="UJM119" s="585"/>
      <c r="UJN119" s="577"/>
      <c r="UJO119" s="304"/>
      <c r="UJP119" s="572"/>
      <c r="UJQ119" s="573"/>
      <c r="UJR119" s="574"/>
      <c r="UJS119" s="575"/>
      <c r="UJT119" s="583"/>
      <c r="UJU119" s="590"/>
      <c r="UJV119" s="589"/>
      <c r="UJW119" s="585"/>
      <c r="UJX119" s="577"/>
      <c r="UJY119" s="304"/>
      <c r="UJZ119" s="572"/>
      <c r="UKA119" s="573"/>
      <c r="UKB119" s="574"/>
      <c r="UKC119" s="575"/>
      <c r="UKD119" s="583"/>
      <c r="UKE119" s="590"/>
      <c r="UKF119" s="589"/>
      <c r="UKG119" s="585"/>
      <c r="UKH119" s="577"/>
      <c r="UKI119" s="304"/>
      <c r="UKJ119" s="572"/>
      <c r="UKK119" s="573"/>
      <c r="UKL119" s="574"/>
      <c r="UKM119" s="575"/>
      <c r="UKN119" s="583"/>
      <c r="UKO119" s="590"/>
      <c r="UKP119" s="589"/>
      <c r="UKQ119" s="585"/>
      <c r="UKR119" s="577"/>
      <c r="UKS119" s="304"/>
      <c r="UKT119" s="572"/>
      <c r="UKU119" s="573"/>
      <c r="UKV119" s="574"/>
      <c r="UKW119" s="575"/>
      <c r="UKX119" s="583"/>
      <c r="UKY119" s="590"/>
      <c r="UKZ119" s="589"/>
      <c r="ULA119" s="585"/>
      <c r="ULB119" s="577"/>
      <c r="ULC119" s="304"/>
      <c r="ULD119" s="572"/>
      <c r="ULE119" s="573"/>
      <c r="ULF119" s="574"/>
      <c r="ULG119" s="575"/>
      <c r="ULH119" s="583"/>
      <c r="ULI119" s="590"/>
      <c r="ULJ119" s="589"/>
      <c r="ULK119" s="585"/>
      <c r="ULL119" s="577"/>
      <c r="ULM119" s="304"/>
      <c r="ULN119" s="572"/>
      <c r="ULO119" s="573"/>
      <c r="ULP119" s="574"/>
      <c r="ULQ119" s="575"/>
      <c r="ULR119" s="583"/>
      <c r="ULS119" s="590"/>
      <c r="ULT119" s="589"/>
      <c r="ULU119" s="585"/>
      <c r="ULV119" s="577"/>
      <c r="ULW119" s="304"/>
      <c r="ULX119" s="572"/>
      <c r="ULY119" s="573"/>
      <c r="ULZ119" s="574"/>
      <c r="UMA119" s="575"/>
      <c r="UMB119" s="583"/>
      <c r="UMC119" s="590"/>
      <c r="UMD119" s="589"/>
      <c r="UME119" s="585"/>
      <c r="UMF119" s="577"/>
      <c r="UMG119" s="304"/>
      <c r="UMH119" s="572"/>
      <c r="UMI119" s="573"/>
      <c r="UMJ119" s="574"/>
      <c r="UMK119" s="575"/>
      <c r="UML119" s="583"/>
      <c r="UMM119" s="590"/>
      <c r="UMN119" s="589"/>
      <c r="UMO119" s="585"/>
      <c r="UMP119" s="577"/>
      <c r="UMQ119" s="304"/>
      <c r="UMR119" s="572"/>
      <c r="UMS119" s="573"/>
      <c r="UMT119" s="574"/>
      <c r="UMU119" s="575"/>
      <c r="UMV119" s="583"/>
      <c r="UMW119" s="590"/>
      <c r="UMX119" s="589"/>
      <c r="UMY119" s="585"/>
      <c r="UMZ119" s="577"/>
      <c r="UNA119" s="304"/>
      <c r="UNB119" s="572"/>
      <c r="UNC119" s="573"/>
      <c r="UND119" s="574"/>
      <c r="UNE119" s="575"/>
      <c r="UNF119" s="583"/>
      <c r="UNG119" s="590"/>
      <c r="UNH119" s="589"/>
      <c r="UNI119" s="585"/>
      <c r="UNJ119" s="577"/>
      <c r="UNK119" s="304"/>
      <c r="UNL119" s="572"/>
      <c r="UNM119" s="573"/>
      <c r="UNN119" s="574"/>
      <c r="UNO119" s="575"/>
      <c r="UNP119" s="583"/>
      <c r="UNQ119" s="590"/>
      <c r="UNR119" s="589"/>
      <c r="UNS119" s="585"/>
      <c r="UNT119" s="577"/>
      <c r="UNU119" s="304"/>
      <c r="UNV119" s="572"/>
      <c r="UNW119" s="573"/>
      <c r="UNX119" s="574"/>
      <c r="UNY119" s="575"/>
      <c r="UNZ119" s="583"/>
      <c r="UOA119" s="590"/>
      <c r="UOB119" s="589"/>
      <c r="UOC119" s="585"/>
      <c r="UOD119" s="577"/>
      <c r="UOE119" s="304"/>
      <c r="UOF119" s="572"/>
      <c r="UOG119" s="573"/>
      <c r="UOH119" s="574"/>
      <c r="UOI119" s="575"/>
      <c r="UOJ119" s="583"/>
      <c r="UOK119" s="590"/>
      <c r="UOL119" s="589"/>
      <c r="UOM119" s="585"/>
      <c r="UON119" s="577"/>
      <c r="UOO119" s="304"/>
      <c r="UOP119" s="572"/>
      <c r="UOQ119" s="573"/>
      <c r="UOR119" s="574"/>
      <c r="UOS119" s="575"/>
      <c r="UOT119" s="583"/>
      <c r="UOU119" s="590"/>
      <c r="UOV119" s="589"/>
      <c r="UOW119" s="585"/>
      <c r="UOX119" s="577"/>
      <c r="UOY119" s="304"/>
      <c r="UOZ119" s="572"/>
      <c r="UPA119" s="573"/>
      <c r="UPB119" s="574"/>
      <c r="UPC119" s="575"/>
      <c r="UPD119" s="583"/>
      <c r="UPE119" s="590"/>
      <c r="UPF119" s="589"/>
      <c r="UPG119" s="585"/>
      <c r="UPH119" s="577"/>
      <c r="UPI119" s="304"/>
      <c r="UPJ119" s="572"/>
      <c r="UPK119" s="573"/>
      <c r="UPL119" s="574"/>
      <c r="UPM119" s="575"/>
      <c r="UPN119" s="583"/>
      <c r="UPO119" s="590"/>
      <c r="UPP119" s="589"/>
      <c r="UPQ119" s="585"/>
      <c r="UPR119" s="577"/>
      <c r="UPS119" s="304"/>
      <c r="UPT119" s="572"/>
      <c r="UPU119" s="573"/>
      <c r="UPV119" s="574"/>
      <c r="UPW119" s="575"/>
      <c r="UPX119" s="583"/>
      <c r="UPY119" s="590"/>
      <c r="UPZ119" s="589"/>
      <c r="UQA119" s="585"/>
      <c r="UQB119" s="577"/>
      <c r="UQC119" s="304"/>
      <c r="UQD119" s="572"/>
      <c r="UQE119" s="573"/>
      <c r="UQF119" s="574"/>
      <c r="UQG119" s="575"/>
      <c r="UQH119" s="583"/>
      <c r="UQI119" s="590"/>
      <c r="UQJ119" s="589"/>
      <c r="UQK119" s="585"/>
      <c r="UQL119" s="577"/>
      <c r="UQM119" s="304"/>
      <c r="UQN119" s="572"/>
      <c r="UQO119" s="573"/>
      <c r="UQP119" s="574"/>
      <c r="UQQ119" s="575"/>
      <c r="UQR119" s="583"/>
      <c r="UQS119" s="590"/>
      <c r="UQT119" s="589"/>
      <c r="UQU119" s="585"/>
      <c r="UQV119" s="577"/>
      <c r="UQW119" s="304"/>
      <c r="UQX119" s="572"/>
      <c r="UQY119" s="573"/>
      <c r="UQZ119" s="574"/>
      <c r="URA119" s="575"/>
      <c r="URB119" s="583"/>
      <c r="URC119" s="590"/>
      <c r="URD119" s="589"/>
      <c r="URE119" s="585"/>
      <c r="URF119" s="577"/>
      <c r="URG119" s="304"/>
      <c r="URH119" s="572"/>
      <c r="URI119" s="573"/>
      <c r="URJ119" s="574"/>
      <c r="URK119" s="575"/>
      <c r="URL119" s="583"/>
      <c r="URM119" s="590"/>
      <c r="URN119" s="589"/>
      <c r="URO119" s="585"/>
      <c r="URP119" s="577"/>
      <c r="URQ119" s="304"/>
      <c r="URR119" s="572"/>
      <c r="URS119" s="573"/>
      <c r="URT119" s="574"/>
      <c r="URU119" s="575"/>
      <c r="URV119" s="583"/>
      <c r="URW119" s="590"/>
      <c r="URX119" s="589"/>
      <c r="URY119" s="585"/>
      <c r="URZ119" s="577"/>
      <c r="USA119" s="304"/>
      <c r="USB119" s="572"/>
      <c r="USC119" s="573"/>
      <c r="USD119" s="574"/>
      <c r="USE119" s="575"/>
      <c r="USF119" s="583"/>
      <c r="USG119" s="590"/>
      <c r="USH119" s="589"/>
      <c r="USI119" s="585"/>
      <c r="USJ119" s="577"/>
      <c r="USK119" s="304"/>
      <c r="USL119" s="572"/>
      <c r="USM119" s="573"/>
      <c r="USN119" s="574"/>
      <c r="USO119" s="575"/>
      <c r="USP119" s="583"/>
      <c r="USQ119" s="590"/>
      <c r="USR119" s="589"/>
      <c r="USS119" s="585"/>
      <c r="UST119" s="577"/>
      <c r="USU119" s="304"/>
      <c r="USV119" s="572"/>
      <c r="USW119" s="573"/>
      <c r="USX119" s="574"/>
      <c r="USY119" s="575"/>
      <c r="USZ119" s="583"/>
      <c r="UTA119" s="590"/>
      <c r="UTB119" s="589"/>
      <c r="UTC119" s="585"/>
      <c r="UTD119" s="577"/>
      <c r="UTE119" s="304"/>
      <c r="UTF119" s="572"/>
      <c r="UTG119" s="573"/>
      <c r="UTH119" s="574"/>
      <c r="UTI119" s="575"/>
      <c r="UTJ119" s="583"/>
      <c r="UTK119" s="590"/>
      <c r="UTL119" s="589"/>
      <c r="UTM119" s="585"/>
      <c r="UTN119" s="577"/>
      <c r="UTO119" s="304"/>
      <c r="UTP119" s="572"/>
      <c r="UTQ119" s="573"/>
      <c r="UTR119" s="574"/>
      <c r="UTS119" s="575"/>
      <c r="UTT119" s="583"/>
      <c r="UTU119" s="590"/>
      <c r="UTV119" s="589"/>
      <c r="UTW119" s="585"/>
      <c r="UTX119" s="577"/>
      <c r="UTY119" s="304"/>
      <c r="UTZ119" s="572"/>
      <c r="UUA119" s="573"/>
      <c r="UUB119" s="574"/>
      <c r="UUC119" s="575"/>
      <c r="UUD119" s="583"/>
      <c r="UUE119" s="590"/>
      <c r="UUF119" s="589"/>
      <c r="UUG119" s="585"/>
      <c r="UUH119" s="577"/>
      <c r="UUI119" s="304"/>
      <c r="UUJ119" s="572"/>
      <c r="UUK119" s="573"/>
      <c r="UUL119" s="574"/>
      <c r="UUM119" s="575"/>
      <c r="UUN119" s="583"/>
      <c r="UUO119" s="590"/>
      <c r="UUP119" s="589"/>
      <c r="UUQ119" s="585"/>
      <c r="UUR119" s="577"/>
      <c r="UUS119" s="304"/>
      <c r="UUT119" s="572"/>
      <c r="UUU119" s="573"/>
      <c r="UUV119" s="574"/>
      <c r="UUW119" s="575"/>
      <c r="UUX119" s="583"/>
      <c r="UUY119" s="590"/>
      <c r="UUZ119" s="589"/>
      <c r="UVA119" s="585"/>
      <c r="UVB119" s="577"/>
      <c r="UVC119" s="304"/>
      <c r="UVD119" s="572"/>
      <c r="UVE119" s="573"/>
      <c r="UVF119" s="574"/>
      <c r="UVG119" s="575"/>
      <c r="UVH119" s="583"/>
      <c r="UVI119" s="590"/>
      <c r="UVJ119" s="589"/>
      <c r="UVK119" s="585"/>
      <c r="UVL119" s="577"/>
      <c r="UVM119" s="304"/>
      <c r="UVN119" s="572"/>
      <c r="UVO119" s="573"/>
      <c r="UVP119" s="574"/>
      <c r="UVQ119" s="575"/>
      <c r="UVR119" s="583"/>
      <c r="UVS119" s="590"/>
      <c r="UVT119" s="589"/>
      <c r="UVU119" s="585"/>
      <c r="UVV119" s="577"/>
      <c r="UVW119" s="304"/>
      <c r="UVX119" s="572"/>
      <c r="UVY119" s="573"/>
      <c r="UVZ119" s="574"/>
      <c r="UWA119" s="575"/>
      <c r="UWB119" s="583"/>
      <c r="UWC119" s="590"/>
      <c r="UWD119" s="589"/>
      <c r="UWE119" s="585"/>
      <c r="UWF119" s="577"/>
      <c r="UWG119" s="304"/>
      <c r="UWH119" s="572"/>
      <c r="UWI119" s="573"/>
      <c r="UWJ119" s="574"/>
      <c r="UWK119" s="575"/>
      <c r="UWL119" s="583"/>
      <c r="UWM119" s="590"/>
      <c r="UWN119" s="589"/>
      <c r="UWO119" s="585"/>
      <c r="UWP119" s="577"/>
      <c r="UWQ119" s="304"/>
      <c r="UWR119" s="572"/>
      <c r="UWS119" s="573"/>
      <c r="UWT119" s="574"/>
      <c r="UWU119" s="575"/>
      <c r="UWV119" s="583"/>
      <c r="UWW119" s="590"/>
      <c r="UWX119" s="589"/>
      <c r="UWY119" s="585"/>
      <c r="UWZ119" s="577"/>
      <c r="UXA119" s="304"/>
      <c r="UXB119" s="572"/>
      <c r="UXC119" s="573"/>
      <c r="UXD119" s="574"/>
      <c r="UXE119" s="575"/>
      <c r="UXF119" s="583"/>
      <c r="UXG119" s="590"/>
      <c r="UXH119" s="589"/>
      <c r="UXI119" s="585"/>
      <c r="UXJ119" s="577"/>
      <c r="UXK119" s="304"/>
      <c r="UXL119" s="572"/>
      <c r="UXM119" s="573"/>
      <c r="UXN119" s="574"/>
      <c r="UXO119" s="575"/>
      <c r="UXP119" s="583"/>
      <c r="UXQ119" s="590"/>
      <c r="UXR119" s="589"/>
      <c r="UXS119" s="585"/>
      <c r="UXT119" s="577"/>
      <c r="UXU119" s="304"/>
      <c r="UXV119" s="572"/>
      <c r="UXW119" s="573"/>
      <c r="UXX119" s="574"/>
      <c r="UXY119" s="575"/>
      <c r="UXZ119" s="583"/>
      <c r="UYA119" s="590"/>
      <c r="UYB119" s="589"/>
      <c r="UYC119" s="585"/>
      <c r="UYD119" s="577"/>
      <c r="UYE119" s="304"/>
      <c r="UYF119" s="572"/>
      <c r="UYG119" s="573"/>
      <c r="UYH119" s="574"/>
      <c r="UYI119" s="575"/>
      <c r="UYJ119" s="583"/>
      <c r="UYK119" s="590"/>
      <c r="UYL119" s="589"/>
      <c r="UYM119" s="585"/>
      <c r="UYN119" s="577"/>
      <c r="UYO119" s="304"/>
      <c r="UYP119" s="572"/>
      <c r="UYQ119" s="573"/>
      <c r="UYR119" s="574"/>
      <c r="UYS119" s="575"/>
      <c r="UYT119" s="583"/>
      <c r="UYU119" s="590"/>
      <c r="UYV119" s="589"/>
      <c r="UYW119" s="585"/>
      <c r="UYX119" s="577"/>
      <c r="UYY119" s="304"/>
      <c r="UYZ119" s="572"/>
      <c r="UZA119" s="573"/>
      <c r="UZB119" s="574"/>
      <c r="UZC119" s="575"/>
      <c r="UZD119" s="583"/>
      <c r="UZE119" s="590"/>
      <c r="UZF119" s="589"/>
      <c r="UZG119" s="585"/>
      <c r="UZH119" s="577"/>
      <c r="UZI119" s="304"/>
      <c r="UZJ119" s="572"/>
      <c r="UZK119" s="573"/>
      <c r="UZL119" s="574"/>
      <c r="UZM119" s="575"/>
      <c r="UZN119" s="583"/>
      <c r="UZO119" s="590"/>
      <c r="UZP119" s="589"/>
      <c r="UZQ119" s="585"/>
      <c r="UZR119" s="577"/>
      <c r="UZS119" s="304"/>
      <c r="UZT119" s="572"/>
      <c r="UZU119" s="573"/>
      <c r="UZV119" s="574"/>
      <c r="UZW119" s="575"/>
      <c r="UZX119" s="583"/>
      <c r="UZY119" s="590"/>
      <c r="UZZ119" s="589"/>
      <c r="VAA119" s="585"/>
      <c r="VAB119" s="577"/>
      <c r="VAC119" s="304"/>
      <c r="VAD119" s="572"/>
      <c r="VAE119" s="573"/>
      <c r="VAF119" s="574"/>
      <c r="VAG119" s="575"/>
      <c r="VAH119" s="583"/>
      <c r="VAI119" s="590"/>
      <c r="VAJ119" s="589"/>
      <c r="VAK119" s="585"/>
      <c r="VAL119" s="577"/>
      <c r="VAM119" s="304"/>
      <c r="VAN119" s="572"/>
      <c r="VAO119" s="573"/>
      <c r="VAP119" s="574"/>
      <c r="VAQ119" s="575"/>
      <c r="VAR119" s="583"/>
      <c r="VAS119" s="590"/>
      <c r="VAT119" s="589"/>
      <c r="VAU119" s="585"/>
      <c r="VAV119" s="577"/>
      <c r="VAW119" s="304"/>
      <c r="VAX119" s="572"/>
      <c r="VAY119" s="573"/>
      <c r="VAZ119" s="574"/>
      <c r="VBA119" s="575"/>
      <c r="VBB119" s="583"/>
      <c r="VBC119" s="590"/>
      <c r="VBD119" s="589"/>
      <c r="VBE119" s="585"/>
      <c r="VBF119" s="577"/>
      <c r="VBG119" s="304"/>
      <c r="VBH119" s="572"/>
      <c r="VBI119" s="573"/>
      <c r="VBJ119" s="574"/>
      <c r="VBK119" s="575"/>
      <c r="VBL119" s="583"/>
      <c r="VBM119" s="590"/>
      <c r="VBN119" s="589"/>
      <c r="VBO119" s="585"/>
      <c r="VBP119" s="577"/>
      <c r="VBQ119" s="304"/>
      <c r="VBR119" s="572"/>
      <c r="VBS119" s="573"/>
      <c r="VBT119" s="574"/>
      <c r="VBU119" s="575"/>
      <c r="VBV119" s="583"/>
      <c r="VBW119" s="590"/>
      <c r="VBX119" s="589"/>
      <c r="VBY119" s="585"/>
      <c r="VBZ119" s="577"/>
      <c r="VCA119" s="304"/>
      <c r="VCB119" s="572"/>
      <c r="VCC119" s="573"/>
      <c r="VCD119" s="574"/>
      <c r="VCE119" s="575"/>
      <c r="VCF119" s="583"/>
      <c r="VCG119" s="590"/>
      <c r="VCH119" s="589"/>
      <c r="VCI119" s="585"/>
      <c r="VCJ119" s="577"/>
      <c r="VCK119" s="304"/>
      <c r="VCL119" s="572"/>
      <c r="VCM119" s="573"/>
      <c r="VCN119" s="574"/>
      <c r="VCO119" s="575"/>
      <c r="VCP119" s="583"/>
      <c r="VCQ119" s="590"/>
      <c r="VCR119" s="589"/>
      <c r="VCS119" s="585"/>
      <c r="VCT119" s="577"/>
      <c r="VCU119" s="304"/>
      <c r="VCV119" s="572"/>
      <c r="VCW119" s="573"/>
      <c r="VCX119" s="574"/>
      <c r="VCY119" s="575"/>
      <c r="VCZ119" s="583"/>
      <c r="VDA119" s="590"/>
      <c r="VDB119" s="589"/>
      <c r="VDC119" s="585"/>
      <c r="VDD119" s="577"/>
      <c r="VDE119" s="304"/>
      <c r="VDF119" s="572"/>
      <c r="VDG119" s="573"/>
      <c r="VDH119" s="574"/>
      <c r="VDI119" s="575"/>
      <c r="VDJ119" s="583"/>
      <c r="VDK119" s="590"/>
      <c r="VDL119" s="589"/>
      <c r="VDM119" s="585"/>
      <c r="VDN119" s="577"/>
      <c r="VDO119" s="304"/>
      <c r="VDP119" s="572"/>
      <c r="VDQ119" s="573"/>
      <c r="VDR119" s="574"/>
      <c r="VDS119" s="575"/>
      <c r="VDT119" s="583"/>
      <c r="VDU119" s="590"/>
      <c r="VDV119" s="589"/>
      <c r="VDW119" s="585"/>
      <c r="VDX119" s="577"/>
      <c r="VDY119" s="304"/>
      <c r="VDZ119" s="572"/>
      <c r="VEA119" s="573"/>
      <c r="VEB119" s="574"/>
      <c r="VEC119" s="575"/>
      <c r="VED119" s="583"/>
      <c r="VEE119" s="590"/>
      <c r="VEF119" s="589"/>
      <c r="VEG119" s="585"/>
      <c r="VEH119" s="577"/>
      <c r="VEI119" s="304"/>
      <c r="VEJ119" s="572"/>
      <c r="VEK119" s="573"/>
      <c r="VEL119" s="574"/>
      <c r="VEM119" s="575"/>
      <c r="VEN119" s="583"/>
      <c r="VEO119" s="590"/>
      <c r="VEP119" s="589"/>
      <c r="VEQ119" s="585"/>
      <c r="VER119" s="577"/>
      <c r="VES119" s="304"/>
      <c r="VET119" s="572"/>
      <c r="VEU119" s="573"/>
      <c r="VEV119" s="574"/>
      <c r="VEW119" s="575"/>
      <c r="VEX119" s="583"/>
      <c r="VEY119" s="590"/>
      <c r="VEZ119" s="589"/>
      <c r="VFA119" s="585"/>
      <c r="VFB119" s="577"/>
      <c r="VFC119" s="304"/>
      <c r="VFD119" s="572"/>
      <c r="VFE119" s="573"/>
      <c r="VFF119" s="574"/>
      <c r="VFG119" s="575"/>
      <c r="VFH119" s="583"/>
      <c r="VFI119" s="590"/>
      <c r="VFJ119" s="589"/>
      <c r="VFK119" s="585"/>
      <c r="VFL119" s="577"/>
      <c r="VFM119" s="304"/>
      <c r="VFN119" s="572"/>
      <c r="VFO119" s="573"/>
      <c r="VFP119" s="574"/>
      <c r="VFQ119" s="575"/>
      <c r="VFR119" s="583"/>
      <c r="VFS119" s="590"/>
      <c r="VFT119" s="589"/>
      <c r="VFU119" s="585"/>
      <c r="VFV119" s="577"/>
      <c r="VFW119" s="304"/>
      <c r="VFX119" s="572"/>
      <c r="VFY119" s="573"/>
      <c r="VFZ119" s="574"/>
      <c r="VGA119" s="575"/>
      <c r="VGB119" s="583"/>
      <c r="VGC119" s="590"/>
      <c r="VGD119" s="589"/>
      <c r="VGE119" s="585"/>
      <c r="VGF119" s="577"/>
      <c r="VGG119" s="304"/>
      <c r="VGH119" s="572"/>
      <c r="VGI119" s="573"/>
      <c r="VGJ119" s="574"/>
      <c r="VGK119" s="575"/>
      <c r="VGL119" s="583"/>
      <c r="VGM119" s="590"/>
      <c r="VGN119" s="589"/>
      <c r="VGO119" s="585"/>
      <c r="VGP119" s="577"/>
      <c r="VGQ119" s="304"/>
      <c r="VGR119" s="572"/>
      <c r="VGS119" s="573"/>
      <c r="VGT119" s="574"/>
      <c r="VGU119" s="575"/>
      <c r="VGV119" s="583"/>
      <c r="VGW119" s="590"/>
      <c r="VGX119" s="589"/>
      <c r="VGY119" s="585"/>
      <c r="VGZ119" s="577"/>
      <c r="VHA119" s="304"/>
      <c r="VHB119" s="572"/>
      <c r="VHC119" s="573"/>
      <c r="VHD119" s="574"/>
      <c r="VHE119" s="575"/>
      <c r="VHF119" s="583"/>
      <c r="VHG119" s="590"/>
      <c r="VHH119" s="589"/>
      <c r="VHI119" s="585"/>
      <c r="VHJ119" s="577"/>
      <c r="VHK119" s="304"/>
      <c r="VHL119" s="572"/>
      <c r="VHM119" s="573"/>
      <c r="VHN119" s="574"/>
      <c r="VHO119" s="575"/>
      <c r="VHP119" s="583"/>
      <c r="VHQ119" s="590"/>
      <c r="VHR119" s="589"/>
      <c r="VHS119" s="585"/>
      <c r="VHT119" s="577"/>
      <c r="VHU119" s="304"/>
      <c r="VHV119" s="572"/>
      <c r="VHW119" s="573"/>
      <c r="VHX119" s="574"/>
      <c r="VHY119" s="575"/>
      <c r="VHZ119" s="583"/>
      <c r="VIA119" s="590"/>
      <c r="VIB119" s="589"/>
      <c r="VIC119" s="585"/>
      <c r="VID119" s="577"/>
      <c r="VIE119" s="304"/>
      <c r="VIF119" s="572"/>
      <c r="VIG119" s="573"/>
      <c r="VIH119" s="574"/>
      <c r="VII119" s="575"/>
      <c r="VIJ119" s="583"/>
      <c r="VIK119" s="590"/>
      <c r="VIL119" s="589"/>
      <c r="VIM119" s="585"/>
      <c r="VIN119" s="577"/>
      <c r="VIO119" s="304"/>
      <c r="VIP119" s="572"/>
      <c r="VIQ119" s="573"/>
      <c r="VIR119" s="574"/>
      <c r="VIS119" s="575"/>
      <c r="VIT119" s="583"/>
      <c r="VIU119" s="590"/>
      <c r="VIV119" s="589"/>
      <c r="VIW119" s="585"/>
      <c r="VIX119" s="577"/>
      <c r="VIY119" s="304"/>
      <c r="VIZ119" s="572"/>
      <c r="VJA119" s="573"/>
      <c r="VJB119" s="574"/>
      <c r="VJC119" s="575"/>
      <c r="VJD119" s="583"/>
      <c r="VJE119" s="590"/>
      <c r="VJF119" s="589"/>
      <c r="VJG119" s="585"/>
      <c r="VJH119" s="577"/>
      <c r="VJI119" s="304"/>
      <c r="VJJ119" s="572"/>
      <c r="VJK119" s="573"/>
      <c r="VJL119" s="574"/>
      <c r="VJM119" s="575"/>
      <c r="VJN119" s="583"/>
      <c r="VJO119" s="590"/>
      <c r="VJP119" s="589"/>
      <c r="VJQ119" s="585"/>
      <c r="VJR119" s="577"/>
      <c r="VJS119" s="304"/>
      <c r="VJT119" s="572"/>
      <c r="VJU119" s="573"/>
      <c r="VJV119" s="574"/>
      <c r="VJW119" s="575"/>
      <c r="VJX119" s="583"/>
      <c r="VJY119" s="590"/>
      <c r="VJZ119" s="589"/>
      <c r="VKA119" s="585"/>
      <c r="VKB119" s="577"/>
      <c r="VKC119" s="304"/>
      <c r="VKD119" s="572"/>
      <c r="VKE119" s="573"/>
      <c r="VKF119" s="574"/>
      <c r="VKG119" s="575"/>
      <c r="VKH119" s="583"/>
      <c r="VKI119" s="590"/>
      <c r="VKJ119" s="589"/>
      <c r="VKK119" s="585"/>
      <c r="VKL119" s="577"/>
      <c r="VKM119" s="304"/>
      <c r="VKN119" s="572"/>
      <c r="VKO119" s="573"/>
      <c r="VKP119" s="574"/>
      <c r="VKQ119" s="575"/>
      <c r="VKR119" s="583"/>
      <c r="VKS119" s="590"/>
      <c r="VKT119" s="589"/>
      <c r="VKU119" s="585"/>
      <c r="VKV119" s="577"/>
      <c r="VKW119" s="304"/>
      <c r="VKX119" s="572"/>
      <c r="VKY119" s="573"/>
      <c r="VKZ119" s="574"/>
      <c r="VLA119" s="575"/>
      <c r="VLB119" s="583"/>
      <c r="VLC119" s="590"/>
      <c r="VLD119" s="589"/>
      <c r="VLE119" s="585"/>
      <c r="VLF119" s="577"/>
      <c r="VLG119" s="304"/>
      <c r="VLH119" s="572"/>
      <c r="VLI119" s="573"/>
      <c r="VLJ119" s="574"/>
      <c r="VLK119" s="575"/>
      <c r="VLL119" s="583"/>
      <c r="VLM119" s="590"/>
      <c r="VLN119" s="589"/>
      <c r="VLO119" s="585"/>
      <c r="VLP119" s="577"/>
      <c r="VLQ119" s="304"/>
      <c r="VLR119" s="572"/>
      <c r="VLS119" s="573"/>
      <c r="VLT119" s="574"/>
      <c r="VLU119" s="575"/>
      <c r="VLV119" s="583"/>
      <c r="VLW119" s="590"/>
      <c r="VLX119" s="589"/>
      <c r="VLY119" s="585"/>
      <c r="VLZ119" s="577"/>
      <c r="VMA119" s="304"/>
      <c r="VMB119" s="572"/>
      <c r="VMC119" s="573"/>
      <c r="VMD119" s="574"/>
      <c r="VME119" s="575"/>
      <c r="VMF119" s="583"/>
      <c r="VMG119" s="590"/>
      <c r="VMH119" s="589"/>
      <c r="VMI119" s="585"/>
      <c r="VMJ119" s="577"/>
      <c r="VMK119" s="304"/>
      <c r="VML119" s="572"/>
      <c r="VMM119" s="573"/>
      <c r="VMN119" s="574"/>
      <c r="VMO119" s="575"/>
      <c r="VMP119" s="583"/>
      <c r="VMQ119" s="590"/>
      <c r="VMR119" s="589"/>
      <c r="VMS119" s="585"/>
      <c r="VMT119" s="577"/>
      <c r="VMU119" s="304"/>
      <c r="VMV119" s="572"/>
      <c r="VMW119" s="573"/>
      <c r="VMX119" s="574"/>
      <c r="VMY119" s="575"/>
      <c r="VMZ119" s="583"/>
      <c r="VNA119" s="590"/>
      <c r="VNB119" s="589"/>
      <c r="VNC119" s="585"/>
      <c r="VND119" s="577"/>
      <c r="VNE119" s="304"/>
      <c r="VNF119" s="572"/>
      <c r="VNG119" s="573"/>
      <c r="VNH119" s="574"/>
      <c r="VNI119" s="575"/>
      <c r="VNJ119" s="583"/>
      <c r="VNK119" s="590"/>
      <c r="VNL119" s="589"/>
      <c r="VNM119" s="585"/>
      <c r="VNN119" s="577"/>
      <c r="VNO119" s="304"/>
      <c r="VNP119" s="572"/>
      <c r="VNQ119" s="573"/>
      <c r="VNR119" s="574"/>
      <c r="VNS119" s="575"/>
      <c r="VNT119" s="583"/>
      <c r="VNU119" s="590"/>
      <c r="VNV119" s="589"/>
      <c r="VNW119" s="585"/>
      <c r="VNX119" s="577"/>
      <c r="VNY119" s="304"/>
      <c r="VNZ119" s="572"/>
      <c r="VOA119" s="573"/>
      <c r="VOB119" s="574"/>
      <c r="VOC119" s="575"/>
      <c r="VOD119" s="583"/>
      <c r="VOE119" s="590"/>
      <c r="VOF119" s="589"/>
      <c r="VOG119" s="585"/>
      <c r="VOH119" s="577"/>
      <c r="VOI119" s="304"/>
      <c r="VOJ119" s="572"/>
      <c r="VOK119" s="573"/>
      <c r="VOL119" s="574"/>
      <c r="VOM119" s="575"/>
      <c r="VON119" s="583"/>
      <c r="VOO119" s="590"/>
      <c r="VOP119" s="589"/>
      <c r="VOQ119" s="585"/>
      <c r="VOR119" s="577"/>
      <c r="VOS119" s="304"/>
      <c r="VOT119" s="572"/>
      <c r="VOU119" s="573"/>
      <c r="VOV119" s="574"/>
      <c r="VOW119" s="575"/>
      <c r="VOX119" s="583"/>
      <c r="VOY119" s="590"/>
      <c r="VOZ119" s="589"/>
      <c r="VPA119" s="585"/>
      <c r="VPB119" s="577"/>
      <c r="VPC119" s="304"/>
      <c r="VPD119" s="572"/>
      <c r="VPE119" s="573"/>
      <c r="VPF119" s="574"/>
      <c r="VPG119" s="575"/>
      <c r="VPH119" s="583"/>
      <c r="VPI119" s="590"/>
      <c r="VPJ119" s="589"/>
      <c r="VPK119" s="585"/>
      <c r="VPL119" s="577"/>
      <c r="VPM119" s="304"/>
      <c r="VPN119" s="572"/>
      <c r="VPO119" s="573"/>
      <c r="VPP119" s="574"/>
      <c r="VPQ119" s="575"/>
      <c r="VPR119" s="583"/>
      <c r="VPS119" s="590"/>
      <c r="VPT119" s="589"/>
      <c r="VPU119" s="585"/>
      <c r="VPV119" s="577"/>
      <c r="VPW119" s="304"/>
      <c r="VPX119" s="572"/>
      <c r="VPY119" s="573"/>
      <c r="VPZ119" s="574"/>
      <c r="VQA119" s="575"/>
      <c r="VQB119" s="583"/>
      <c r="VQC119" s="590"/>
      <c r="VQD119" s="589"/>
      <c r="VQE119" s="585"/>
      <c r="VQF119" s="577"/>
      <c r="VQG119" s="304"/>
      <c r="VQH119" s="572"/>
      <c r="VQI119" s="573"/>
      <c r="VQJ119" s="574"/>
      <c r="VQK119" s="575"/>
      <c r="VQL119" s="583"/>
      <c r="VQM119" s="590"/>
      <c r="VQN119" s="589"/>
      <c r="VQO119" s="585"/>
      <c r="VQP119" s="577"/>
      <c r="VQQ119" s="304"/>
      <c r="VQR119" s="572"/>
      <c r="VQS119" s="573"/>
      <c r="VQT119" s="574"/>
      <c r="VQU119" s="575"/>
      <c r="VQV119" s="583"/>
      <c r="VQW119" s="590"/>
      <c r="VQX119" s="589"/>
      <c r="VQY119" s="585"/>
      <c r="VQZ119" s="577"/>
      <c r="VRA119" s="304"/>
      <c r="VRB119" s="572"/>
      <c r="VRC119" s="573"/>
      <c r="VRD119" s="574"/>
      <c r="VRE119" s="575"/>
      <c r="VRF119" s="583"/>
      <c r="VRG119" s="590"/>
      <c r="VRH119" s="589"/>
      <c r="VRI119" s="585"/>
      <c r="VRJ119" s="577"/>
      <c r="VRK119" s="304"/>
      <c r="VRL119" s="572"/>
      <c r="VRM119" s="573"/>
      <c r="VRN119" s="574"/>
      <c r="VRO119" s="575"/>
      <c r="VRP119" s="583"/>
      <c r="VRQ119" s="590"/>
      <c r="VRR119" s="589"/>
      <c r="VRS119" s="585"/>
      <c r="VRT119" s="577"/>
      <c r="VRU119" s="304"/>
      <c r="VRV119" s="572"/>
      <c r="VRW119" s="573"/>
      <c r="VRX119" s="574"/>
      <c r="VRY119" s="575"/>
      <c r="VRZ119" s="583"/>
      <c r="VSA119" s="590"/>
      <c r="VSB119" s="589"/>
      <c r="VSC119" s="585"/>
      <c r="VSD119" s="577"/>
      <c r="VSE119" s="304"/>
      <c r="VSF119" s="572"/>
      <c r="VSG119" s="573"/>
      <c r="VSH119" s="574"/>
      <c r="VSI119" s="575"/>
      <c r="VSJ119" s="583"/>
      <c r="VSK119" s="590"/>
      <c r="VSL119" s="589"/>
      <c r="VSM119" s="585"/>
      <c r="VSN119" s="577"/>
      <c r="VSO119" s="304"/>
      <c r="VSP119" s="572"/>
      <c r="VSQ119" s="573"/>
      <c r="VSR119" s="574"/>
      <c r="VSS119" s="575"/>
      <c r="VST119" s="583"/>
      <c r="VSU119" s="590"/>
      <c r="VSV119" s="589"/>
      <c r="VSW119" s="585"/>
      <c r="VSX119" s="577"/>
      <c r="VSY119" s="304"/>
      <c r="VSZ119" s="572"/>
      <c r="VTA119" s="573"/>
      <c r="VTB119" s="574"/>
      <c r="VTC119" s="575"/>
      <c r="VTD119" s="583"/>
      <c r="VTE119" s="590"/>
      <c r="VTF119" s="589"/>
      <c r="VTG119" s="585"/>
      <c r="VTH119" s="577"/>
      <c r="VTI119" s="304"/>
      <c r="VTJ119" s="572"/>
      <c r="VTK119" s="573"/>
      <c r="VTL119" s="574"/>
      <c r="VTM119" s="575"/>
      <c r="VTN119" s="583"/>
      <c r="VTO119" s="590"/>
      <c r="VTP119" s="589"/>
      <c r="VTQ119" s="585"/>
      <c r="VTR119" s="577"/>
      <c r="VTS119" s="304"/>
      <c r="VTT119" s="572"/>
      <c r="VTU119" s="573"/>
      <c r="VTV119" s="574"/>
      <c r="VTW119" s="575"/>
      <c r="VTX119" s="583"/>
      <c r="VTY119" s="590"/>
      <c r="VTZ119" s="589"/>
      <c r="VUA119" s="585"/>
      <c r="VUB119" s="577"/>
      <c r="VUC119" s="304"/>
      <c r="VUD119" s="572"/>
      <c r="VUE119" s="573"/>
      <c r="VUF119" s="574"/>
      <c r="VUG119" s="575"/>
      <c r="VUH119" s="583"/>
      <c r="VUI119" s="590"/>
      <c r="VUJ119" s="589"/>
      <c r="VUK119" s="585"/>
      <c r="VUL119" s="577"/>
      <c r="VUM119" s="304"/>
      <c r="VUN119" s="572"/>
      <c r="VUO119" s="573"/>
      <c r="VUP119" s="574"/>
      <c r="VUQ119" s="575"/>
      <c r="VUR119" s="583"/>
      <c r="VUS119" s="590"/>
      <c r="VUT119" s="589"/>
      <c r="VUU119" s="585"/>
      <c r="VUV119" s="577"/>
      <c r="VUW119" s="304"/>
      <c r="VUX119" s="572"/>
      <c r="VUY119" s="573"/>
      <c r="VUZ119" s="574"/>
      <c r="VVA119" s="575"/>
      <c r="VVB119" s="583"/>
      <c r="VVC119" s="590"/>
      <c r="VVD119" s="589"/>
      <c r="VVE119" s="585"/>
      <c r="VVF119" s="577"/>
      <c r="VVG119" s="304"/>
      <c r="VVH119" s="572"/>
      <c r="VVI119" s="573"/>
      <c r="VVJ119" s="574"/>
      <c r="VVK119" s="575"/>
      <c r="VVL119" s="583"/>
      <c r="VVM119" s="590"/>
      <c r="VVN119" s="589"/>
      <c r="VVO119" s="585"/>
      <c r="VVP119" s="577"/>
      <c r="VVQ119" s="304"/>
      <c r="VVR119" s="572"/>
      <c r="VVS119" s="573"/>
      <c r="VVT119" s="574"/>
      <c r="VVU119" s="575"/>
      <c r="VVV119" s="583"/>
      <c r="VVW119" s="590"/>
      <c r="VVX119" s="589"/>
      <c r="VVY119" s="585"/>
      <c r="VVZ119" s="577"/>
      <c r="VWA119" s="304"/>
      <c r="VWB119" s="572"/>
      <c r="VWC119" s="573"/>
      <c r="VWD119" s="574"/>
      <c r="VWE119" s="575"/>
      <c r="VWF119" s="583"/>
      <c r="VWG119" s="590"/>
      <c r="VWH119" s="589"/>
      <c r="VWI119" s="585"/>
      <c r="VWJ119" s="577"/>
      <c r="VWK119" s="304"/>
      <c r="VWL119" s="572"/>
      <c r="VWM119" s="573"/>
      <c r="VWN119" s="574"/>
      <c r="VWO119" s="575"/>
      <c r="VWP119" s="583"/>
      <c r="VWQ119" s="590"/>
      <c r="VWR119" s="589"/>
      <c r="VWS119" s="585"/>
      <c r="VWT119" s="577"/>
      <c r="VWU119" s="304"/>
      <c r="VWV119" s="572"/>
      <c r="VWW119" s="573"/>
      <c r="VWX119" s="574"/>
      <c r="VWY119" s="575"/>
      <c r="VWZ119" s="583"/>
      <c r="VXA119" s="590"/>
      <c r="VXB119" s="589"/>
      <c r="VXC119" s="585"/>
      <c r="VXD119" s="577"/>
      <c r="VXE119" s="304"/>
      <c r="VXF119" s="572"/>
      <c r="VXG119" s="573"/>
      <c r="VXH119" s="574"/>
      <c r="VXI119" s="575"/>
      <c r="VXJ119" s="583"/>
      <c r="VXK119" s="590"/>
      <c r="VXL119" s="589"/>
      <c r="VXM119" s="585"/>
      <c r="VXN119" s="577"/>
      <c r="VXO119" s="304"/>
      <c r="VXP119" s="572"/>
      <c r="VXQ119" s="573"/>
      <c r="VXR119" s="574"/>
      <c r="VXS119" s="575"/>
      <c r="VXT119" s="583"/>
      <c r="VXU119" s="590"/>
      <c r="VXV119" s="589"/>
      <c r="VXW119" s="585"/>
      <c r="VXX119" s="577"/>
      <c r="VXY119" s="304"/>
      <c r="VXZ119" s="572"/>
      <c r="VYA119" s="573"/>
      <c r="VYB119" s="574"/>
      <c r="VYC119" s="575"/>
      <c r="VYD119" s="583"/>
      <c r="VYE119" s="590"/>
      <c r="VYF119" s="589"/>
      <c r="VYG119" s="585"/>
      <c r="VYH119" s="577"/>
      <c r="VYI119" s="304"/>
      <c r="VYJ119" s="572"/>
      <c r="VYK119" s="573"/>
      <c r="VYL119" s="574"/>
      <c r="VYM119" s="575"/>
      <c r="VYN119" s="583"/>
      <c r="VYO119" s="590"/>
      <c r="VYP119" s="589"/>
      <c r="VYQ119" s="585"/>
      <c r="VYR119" s="577"/>
      <c r="VYS119" s="304"/>
      <c r="VYT119" s="572"/>
      <c r="VYU119" s="573"/>
      <c r="VYV119" s="574"/>
      <c r="VYW119" s="575"/>
      <c r="VYX119" s="583"/>
      <c r="VYY119" s="590"/>
      <c r="VYZ119" s="589"/>
      <c r="VZA119" s="585"/>
      <c r="VZB119" s="577"/>
      <c r="VZC119" s="304"/>
      <c r="VZD119" s="572"/>
      <c r="VZE119" s="573"/>
      <c r="VZF119" s="574"/>
      <c r="VZG119" s="575"/>
      <c r="VZH119" s="583"/>
      <c r="VZI119" s="590"/>
      <c r="VZJ119" s="589"/>
      <c r="VZK119" s="585"/>
      <c r="VZL119" s="577"/>
      <c r="VZM119" s="304"/>
      <c r="VZN119" s="572"/>
      <c r="VZO119" s="573"/>
      <c r="VZP119" s="574"/>
      <c r="VZQ119" s="575"/>
      <c r="VZR119" s="583"/>
      <c r="VZS119" s="590"/>
      <c r="VZT119" s="589"/>
      <c r="VZU119" s="585"/>
      <c r="VZV119" s="577"/>
      <c r="VZW119" s="304"/>
      <c r="VZX119" s="572"/>
      <c r="VZY119" s="573"/>
      <c r="VZZ119" s="574"/>
      <c r="WAA119" s="575"/>
      <c r="WAB119" s="583"/>
      <c r="WAC119" s="590"/>
      <c r="WAD119" s="589"/>
      <c r="WAE119" s="585"/>
      <c r="WAF119" s="577"/>
      <c r="WAG119" s="304"/>
      <c r="WAH119" s="572"/>
      <c r="WAI119" s="573"/>
      <c r="WAJ119" s="574"/>
      <c r="WAK119" s="575"/>
      <c r="WAL119" s="583"/>
      <c r="WAM119" s="590"/>
      <c r="WAN119" s="589"/>
      <c r="WAO119" s="585"/>
      <c r="WAP119" s="577"/>
      <c r="WAQ119" s="304"/>
      <c r="WAR119" s="572"/>
      <c r="WAS119" s="573"/>
      <c r="WAT119" s="574"/>
      <c r="WAU119" s="575"/>
      <c r="WAV119" s="583"/>
      <c r="WAW119" s="590"/>
      <c r="WAX119" s="589"/>
      <c r="WAY119" s="585"/>
      <c r="WAZ119" s="577"/>
      <c r="WBA119" s="304"/>
      <c r="WBB119" s="572"/>
      <c r="WBC119" s="573"/>
      <c r="WBD119" s="574"/>
      <c r="WBE119" s="575"/>
      <c r="WBF119" s="583"/>
      <c r="WBG119" s="590"/>
      <c r="WBH119" s="589"/>
      <c r="WBI119" s="585"/>
      <c r="WBJ119" s="577"/>
      <c r="WBK119" s="304"/>
      <c r="WBL119" s="572"/>
      <c r="WBM119" s="573"/>
      <c r="WBN119" s="574"/>
      <c r="WBO119" s="575"/>
      <c r="WBP119" s="583"/>
      <c r="WBQ119" s="590"/>
      <c r="WBR119" s="589"/>
      <c r="WBS119" s="585"/>
      <c r="WBT119" s="577"/>
      <c r="WBU119" s="304"/>
      <c r="WBV119" s="572"/>
      <c r="WBW119" s="573"/>
      <c r="WBX119" s="574"/>
      <c r="WBY119" s="575"/>
      <c r="WBZ119" s="583"/>
      <c r="WCA119" s="590"/>
      <c r="WCB119" s="589"/>
      <c r="WCC119" s="585"/>
      <c r="WCD119" s="577"/>
      <c r="WCE119" s="304"/>
      <c r="WCF119" s="572"/>
      <c r="WCG119" s="573"/>
      <c r="WCH119" s="574"/>
      <c r="WCI119" s="575"/>
      <c r="WCJ119" s="583"/>
      <c r="WCK119" s="590"/>
      <c r="WCL119" s="589"/>
      <c r="WCM119" s="585"/>
      <c r="WCN119" s="577"/>
      <c r="WCO119" s="304"/>
      <c r="WCP119" s="572"/>
      <c r="WCQ119" s="573"/>
      <c r="WCR119" s="574"/>
      <c r="WCS119" s="575"/>
      <c r="WCT119" s="583"/>
      <c r="WCU119" s="590"/>
      <c r="WCV119" s="589"/>
      <c r="WCW119" s="585"/>
      <c r="WCX119" s="577"/>
      <c r="WCY119" s="304"/>
      <c r="WCZ119" s="572"/>
      <c r="WDA119" s="573"/>
      <c r="WDB119" s="574"/>
      <c r="WDC119" s="575"/>
      <c r="WDD119" s="583"/>
      <c r="WDE119" s="590"/>
      <c r="WDF119" s="589"/>
      <c r="WDG119" s="585"/>
      <c r="WDH119" s="577"/>
      <c r="WDI119" s="304"/>
      <c r="WDJ119" s="572"/>
      <c r="WDK119" s="573"/>
      <c r="WDL119" s="574"/>
      <c r="WDM119" s="575"/>
      <c r="WDN119" s="583"/>
      <c r="WDO119" s="590"/>
      <c r="WDP119" s="589"/>
      <c r="WDQ119" s="585"/>
      <c r="WDR119" s="577"/>
      <c r="WDS119" s="304"/>
      <c r="WDT119" s="572"/>
      <c r="WDU119" s="573"/>
      <c r="WDV119" s="574"/>
      <c r="WDW119" s="575"/>
      <c r="WDX119" s="583"/>
      <c r="WDY119" s="590"/>
      <c r="WDZ119" s="589"/>
      <c r="WEA119" s="585"/>
      <c r="WEB119" s="577"/>
      <c r="WEC119" s="304"/>
      <c r="WED119" s="572"/>
      <c r="WEE119" s="573"/>
      <c r="WEF119" s="574"/>
      <c r="WEG119" s="575"/>
      <c r="WEH119" s="583"/>
      <c r="WEI119" s="590"/>
      <c r="WEJ119" s="589"/>
      <c r="WEK119" s="585"/>
      <c r="WEL119" s="577"/>
      <c r="WEM119" s="304"/>
      <c r="WEN119" s="572"/>
      <c r="WEO119" s="573"/>
      <c r="WEP119" s="574"/>
      <c r="WEQ119" s="575"/>
      <c r="WER119" s="583"/>
      <c r="WES119" s="590"/>
      <c r="WET119" s="589"/>
      <c r="WEU119" s="585"/>
      <c r="WEV119" s="577"/>
      <c r="WEW119" s="304"/>
      <c r="WEX119" s="572"/>
      <c r="WEY119" s="573"/>
      <c r="WEZ119" s="574"/>
      <c r="WFA119" s="575"/>
      <c r="WFB119" s="583"/>
      <c r="WFC119" s="590"/>
      <c r="WFD119" s="589"/>
      <c r="WFE119" s="585"/>
      <c r="WFF119" s="577"/>
      <c r="WFG119" s="304"/>
      <c r="WFH119" s="572"/>
      <c r="WFI119" s="573"/>
      <c r="WFJ119" s="574"/>
      <c r="WFK119" s="575"/>
      <c r="WFL119" s="583"/>
      <c r="WFM119" s="590"/>
      <c r="WFN119" s="589"/>
      <c r="WFO119" s="585"/>
      <c r="WFP119" s="577"/>
      <c r="WFQ119" s="304"/>
      <c r="WFR119" s="572"/>
      <c r="WFS119" s="573"/>
      <c r="WFT119" s="574"/>
      <c r="WFU119" s="575"/>
      <c r="WFV119" s="583"/>
      <c r="WFW119" s="590"/>
      <c r="WFX119" s="589"/>
      <c r="WFY119" s="585"/>
      <c r="WFZ119" s="577"/>
      <c r="WGA119" s="304"/>
      <c r="WGB119" s="572"/>
      <c r="WGC119" s="573"/>
      <c r="WGD119" s="574"/>
      <c r="WGE119" s="575"/>
      <c r="WGF119" s="583"/>
      <c r="WGG119" s="590"/>
      <c r="WGH119" s="589"/>
      <c r="WGI119" s="585"/>
      <c r="WGJ119" s="577"/>
      <c r="WGK119" s="304"/>
      <c r="WGL119" s="572"/>
      <c r="WGM119" s="573"/>
      <c r="WGN119" s="574"/>
      <c r="WGO119" s="575"/>
      <c r="WGP119" s="583"/>
      <c r="WGQ119" s="590"/>
      <c r="WGR119" s="589"/>
      <c r="WGS119" s="585"/>
      <c r="WGT119" s="577"/>
      <c r="WGU119" s="304"/>
      <c r="WGV119" s="572"/>
      <c r="WGW119" s="573"/>
      <c r="WGX119" s="574"/>
      <c r="WGY119" s="575"/>
      <c r="WGZ119" s="583"/>
      <c r="WHA119" s="590"/>
      <c r="WHB119" s="589"/>
      <c r="WHC119" s="585"/>
      <c r="WHD119" s="577"/>
      <c r="WHE119" s="304"/>
      <c r="WHF119" s="572"/>
      <c r="WHG119" s="573"/>
      <c r="WHH119" s="574"/>
      <c r="WHI119" s="575"/>
      <c r="WHJ119" s="583"/>
      <c r="WHK119" s="590"/>
      <c r="WHL119" s="589"/>
      <c r="WHM119" s="585"/>
      <c r="WHN119" s="577"/>
      <c r="WHO119" s="304"/>
      <c r="WHP119" s="572"/>
      <c r="WHQ119" s="573"/>
      <c r="WHR119" s="574"/>
      <c r="WHS119" s="575"/>
      <c r="WHT119" s="583"/>
      <c r="WHU119" s="590"/>
      <c r="WHV119" s="589"/>
      <c r="WHW119" s="585"/>
      <c r="WHX119" s="577"/>
      <c r="WHY119" s="304"/>
      <c r="WHZ119" s="572"/>
      <c r="WIA119" s="573"/>
      <c r="WIB119" s="574"/>
      <c r="WIC119" s="575"/>
      <c r="WID119" s="583"/>
      <c r="WIE119" s="590"/>
      <c r="WIF119" s="589"/>
      <c r="WIG119" s="585"/>
      <c r="WIH119" s="577"/>
      <c r="WII119" s="304"/>
      <c r="WIJ119" s="572"/>
      <c r="WIK119" s="573"/>
      <c r="WIL119" s="574"/>
      <c r="WIM119" s="575"/>
      <c r="WIN119" s="583"/>
      <c r="WIO119" s="590"/>
      <c r="WIP119" s="589"/>
      <c r="WIQ119" s="585"/>
      <c r="WIR119" s="577"/>
      <c r="WIS119" s="304"/>
      <c r="WIT119" s="572"/>
      <c r="WIU119" s="573"/>
      <c r="WIV119" s="574"/>
      <c r="WIW119" s="575"/>
      <c r="WIX119" s="583"/>
      <c r="WIY119" s="590"/>
      <c r="WIZ119" s="589"/>
      <c r="WJA119" s="585"/>
      <c r="WJB119" s="577"/>
      <c r="WJC119" s="304"/>
      <c r="WJD119" s="572"/>
      <c r="WJE119" s="573"/>
      <c r="WJF119" s="574"/>
      <c r="WJG119" s="575"/>
      <c r="WJH119" s="583"/>
      <c r="WJI119" s="590"/>
      <c r="WJJ119" s="589"/>
      <c r="WJK119" s="585"/>
      <c r="WJL119" s="577"/>
      <c r="WJM119" s="304"/>
      <c r="WJN119" s="572"/>
      <c r="WJO119" s="573"/>
      <c r="WJP119" s="574"/>
      <c r="WJQ119" s="575"/>
      <c r="WJR119" s="583"/>
      <c r="WJS119" s="590"/>
      <c r="WJT119" s="589"/>
      <c r="WJU119" s="585"/>
      <c r="WJV119" s="577"/>
      <c r="WJW119" s="304"/>
      <c r="WJX119" s="572"/>
      <c r="WJY119" s="573"/>
      <c r="WJZ119" s="574"/>
      <c r="WKA119" s="575"/>
      <c r="WKB119" s="583"/>
      <c r="WKC119" s="590"/>
      <c r="WKD119" s="589"/>
      <c r="WKE119" s="585"/>
      <c r="WKF119" s="577"/>
      <c r="WKG119" s="304"/>
      <c r="WKH119" s="572"/>
      <c r="WKI119" s="573"/>
      <c r="WKJ119" s="574"/>
      <c r="WKK119" s="575"/>
      <c r="WKL119" s="583"/>
      <c r="WKM119" s="590"/>
      <c r="WKN119" s="589"/>
      <c r="WKO119" s="585"/>
      <c r="WKP119" s="577"/>
      <c r="WKQ119" s="304"/>
      <c r="WKR119" s="572"/>
      <c r="WKS119" s="573"/>
      <c r="WKT119" s="574"/>
      <c r="WKU119" s="575"/>
      <c r="WKV119" s="583"/>
      <c r="WKW119" s="590"/>
      <c r="WKX119" s="589"/>
      <c r="WKY119" s="585"/>
      <c r="WKZ119" s="577"/>
      <c r="WLA119" s="304"/>
      <c r="WLB119" s="572"/>
      <c r="WLC119" s="573"/>
      <c r="WLD119" s="574"/>
      <c r="WLE119" s="575"/>
      <c r="WLF119" s="583"/>
      <c r="WLG119" s="590"/>
      <c r="WLH119" s="589"/>
      <c r="WLI119" s="585"/>
      <c r="WLJ119" s="577"/>
      <c r="WLK119" s="304"/>
      <c r="WLL119" s="572"/>
      <c r="WLM119" s="573"/>
      <c r="WLN119" s="574"/>
      <c r="WLO119" s="575"/>
      <c r="WLP119" s="583"/>
      <c r="WLQ119" s="590"/>
      <c r="WLR119" s="589"/>
      <c r="WLS119" s="585"/>
      <c r="WLT119" s="577"/>
      <c r="WLU119" s="304"/>
      <c r="WLV119" s="572"/>
      <c r="WLW119" s="573"/>
      <c r="WLX119" s="574"/>
      <c r="WLY119" s="575"/>
      <c r="WLZ119" s="583"/>
      <c r="WMA119" s="590"/>
      <c r="WMB119" s="589"/>
      <c r="WMC119" s="585"/>
      <c r="WMD119" s="577"/>
      <c r="WME119" s="304"/>
      <c r="WMF119" s="572"/>
      <c r="WMG119" s="573"/>
      <c r="WMH119" s="574"/>
      <c r="WMI119" s="575"/>
      <c r="WMJ119" s="583"/>
      <c r="WMK119" s="590"/>
      <c r="WML119" s="589"/>
      <c r="WMM119" s="585"/>
      <c r="WMN119" s="577"/>
      <c r="WMO119" s="304"/>
      <c r="WMP119" s="572"/>
      <c r="WMQ119" s="573"/>
      <c r="WMR119" s="574"/>
      <c r="WMS119" s="575"/>
      <c r="WMT119" s="583"/>
      <c r="WMU119" s="590"/>
      <c r="WMV119" s="589"/>
      <c r="WMW119" s="585"/>
      <c r="WMX119" s="577"/>
      <c r="WMY119" s="304"/>
      <c r="WMZ119" s="572"/>
      <c r="WNA119" s="573"/>
      <c r="WNB119" s="574"/>
      <c r="WNC119" s="575"/>
      <c r="WND119" s="583"/>
      <c r="WNE119" s="590"/>
      <c r="WNF119" s="589"/>
      <c r="WNG119" s="585"/>
      <c r="WNH119" s="577"/>
      <c r="WNI119" s="304"/>
      <c r="WNJ119" s="572"/>
      <c r="WNK119" s="573"/>
      <c r="WNL119" s="574"/>
      <c r="WNM119" s="575"/>
      <c r="WNN119" s="583"/>
      <c r="WNO119" s="590"/>
      <c r="WNP119" s="589"/>
      <c r="WNQ119" s="585"/>
      <c r="WNR119" s="577"/>
      <c r="WNS119" s="304"/>
      <c r="WNT119" s="572"/>
      <c r="WNU119" s="573"/>
      <c r="WNV119" s="574"/>
      <c r="WNW119" s="575"/>
      <c r="WNX119" s="583"/>
      <c r="WNY119" s="590"/>
      <c r="WNZ119" s="589"/>
      <c r="WOA119" s="585"/>
      <c r="WOB119" s="577"/>
      <c r="WOC119" s="304"/>
      <c r="WOD119" s="572"/>
      <c r="WOE119" s="573"/>
      <c r="WOF119" s="574"/>
      <c r="WOG119" s="575"/>
      <c r="WOH119" s="583"/>
      <c r="WOI119" s="590"/>
      <c r="WOJ119" s="589"/>
      <c r="WOK119" s="585"/>
      <c r="WOL119" s="577"/>
      <c r="WOM119" s="304"/>
      <c r="WON119" s="572"/>
      <c r="WOO119" s="573"/>
      <c r="WOP119" s="574"/>
      <c r="WOQ119" s="575"/>
      <c r="WOR119" s="583"/>
      <c r="WOS119" s="590"/>
      <c r="WOT119" s="589"/>
      <c r="WOU119" s="585"/>
      <c r="WOV119" s="577"/>
      <c r="WOW119" s="304"/>
      <c r="WOX119" s="572"/>
      <c r="WOY119" s="573"/>
      <c r="WOZ119" s="574"/>
      <c r="WPA119" s="575"/>
      <c r="WPB119" s="583"/>
      <c r="WPC119" s="590"/>
      <c r="WPD119" s="589"/>
      <c r="WPE119" s="585"/>
      <c r="WPF119" s="577"/>
      <c r="WPG119" s="304"/>
      <c r="WPH119" s="572"/>
      <c r="WPI119" s="573"/>
      <c r="WPJ119" s="574"/>
      <c r="WPK119" s="575"/>
      <c r="WPL119" s="583"/>
      <c r="WPM119" s="590"/>
      <c r="WPN119" s="589"/>
      <c r="WPO119" s="585"/>
      <c r="WPP119" s="577"/>
      <c r="WPQ119" s="304"/>
      <c r="WPR119" s="572"/>
      <c r="WPS119" s="573"/>
      <c r="WPT119" s="574"/>
      <c r="WPU119" s="575"/>
      <c r="WPV119" s="583"/>
      <c r="WPW119" s="590"/>
      <c r="WPX119" s="589"/>
      <c r="WPY119" s="585"/>
      <c r="WPZ119" s="577"/>
      <c r="WQA119" s="304"/>
      <c r="WQB119" s="572"/>
      <c r="WQC119" s="573"/>
      <c r="WQD119" s="574"/>
      <c r="WQE119" s="575"/>
      <c r="WQF119" s="583"/>
      <c r="WQG119" s="590"/>
      <c r="WQH119" s="589"/>
      <c r="WQI119" s="585"/>
      <c r="WQJ119" s="577"/>
      <c r="WQK119" s="304"/>
      <c r="WQL119" s="572"/>
      <c r="WQM119" s="573"/>
      <c r="WQN119" s="574"/>
      <c r="WQO119" s="575"/>
      <c r="WQP119" s="583"/>
      <c r="WQQ119" s="590"/>
      <c r="WQR119" s="589"/>
      <c r="WQS119" s="585"/>
      <c r="WQT119" s="577"/>
      <c r="WQU119" s="304"/>
      <c r="WQV119" s="572"/>
      <c r="WQW119" s="573"/>
      <c r="WQX119" s="574"/>
      <c r="WQY119" s="575"/>
      <c r="WQZ119" s="583"/>
      <c r="WRA119" s="590"/>
      <c r="WRB119" s="589"/>
      <c r="WRC119" s="585"/>
      <c r="WRD119" s="577"/>
      <c r="WRE119" s="304"/>
      <c r="WRF119" s="572"/>
      <c r="WRG119" s="573"/>
      <c r="WRH119" s="574"/>
      <c r="WRI119" s="575"/>
      <c r="WRJ119" s="583"/>
      <c r="WRK119" s="590"/>
      <c r="WRL119" s="589"/>
      <c r="WRM119" s="585"/>
      <c r="WRN119" s="577"/>
      <c r="WRO119" s="304"/>
      <c r="WRP119" s="572"/>
      <c r="WRQ119" s="573"/>
      <c r="WRR119" s="574"/>
      <c r="WRS119" s="575"/>
      <c r="WRT119" s="583"/>
      <c r="WRU119" s="590"/>
      <c r="WRV119" s="589"/>
      <c r="WRW119" s="585"/>
      <c r="WRX119" s="577"/>
      <c r="WRY119" s="304"/>
      <c r="WRZ119" s="572"/>
      <c r="WSA119" s="573"/>
      <c r="WSB119" s="574"/>
      <c r="WSC119" s="575"/>
      <c r="WSD119" s="583"/>
      <c r="WSE119" s="590"/>
      <c r="WSF119" s="589"/>
      <c r="WSG119" s="585"/>
      <c r="WSH119" s="577"/>
      <c r="WSI119" s="304"/>
      <c r="WSJ119" s="572"/>
      <c r="WSK119" s="573"/>
      <c r="WSL119" s="574"/>
      <c r="WSM119" s="575"/>
      <c r="WSN119" s="583"/>
      <c r="WSO119" s="590"/>
      <c r="WSP119" s="589"/>
      <c r="WSQ119" s="585"/>
      <c r="WSR119" s="577"/>
      <c r="WSS119" s="304"/>
      <c r="WST119" s="572"/>
      <c r="WSU119" s="573"/>
      <c r="WSV119" s="574"/>
      <c r="WSW119" s="575"/>
      <c r="WSX119" s="583"/>
      <c r="WSY119" s="590"/>
      <c r="WSZ119" s="589"/>
      <c r="WTA119" s="585"/>
      <c r="WTB119" s="577"/>
      <c r="WTC119" s="304"/>
      <c r="WTD119" s="572"/>
      <c r="WTE119" s="573"/>
      <c r="WTF119" s="574"/>
      <c r="WTG119" s="575"/>
      <c r="WTH119" s="583"/>
      <c r="WTI119" s="590"/>
      <c r="WTJ119" s="589"/>
      <c r="WTK119" s="585"/>
      <c r="WTL119" s="577"/>
      <c r="WTM119" s="304"/>
      <c r="WTN119" s="572"/>
      <c r="WTO119" s="573"/>
      <c r="WTP119" s="574"/>
      <c r="WTQ119" s="575"/>
      <c r="WTR119" s="583"/>
      <c r="WTS119" s="590"/>
      <c r="WTT119" s="589"/>
      <c r="WTU119" s="585"/>
      <c r="WTV119" s="577"/>
      <c r="WTW119" s="304"/>
      <c r="WTX119" s="572"/>
      <c r="WTY119" s="573"/>
      <c r="WTZ119" s="574"/>
      <c r="WUA119" s="575"/>
      <c r="WUB119" s="583"/>
      <c r="WUC119" s="590"/>
      <c r="WUD119" s="589"/>
      <c r="WUE119" s="585"/>
      <c r="WUF119" s="577"/>
      <c r="WUG119" s="304"/>
      <c r="WUH119" s="572"/>
      <c r="WUI119" s="573"/>
      <c r="WUJ119" s="574"/>
      <c r="WUK119" s="575"/>
      <c r="WUL119" s="583"/>
      <c r="WUM119" s="590"/>
      <c r="WUN119" s="589"/>
      <c r="WUO119" s="585"/>
      <c r="WUP119" s="577"/>
      <c r="WUQ119" s="304"/>
      <c r="WUR119" s="572"/>
      <c r="WUS119" s="573"/>
      <c r="WUT119" s="574"/>
      <c r="WUU119" s="575"/>
      <c r="WUV119" s="583"/>
      <c r="WUW119" s="590"/>
      <c r="WUX119" s="589"/>
      <c r="WUY119" s="585"/>
      <c r="WUZ119" s="577"/>
      <c r="WVA119" s="304"/>
      <c r="WVB119" s="572"/>
      <c r="WVC119" s="573"/>
      <c r="WVD119" s="574"/>
      <c r="WVE119" s="575"/>
      <c r="WVF119" s="583"/>
      <c r="WVG119" s="590"/>
      <c r="WVH119" s="589"/>
      <c r="WVI119" s="585"/>
      <c r="WVJ119" s="577"/>
      <c r="WVK119" s="304"/>
      <c r="WVL119" s="572"/>
      <c r="WVM119" s="573"/>
      <c r="WVN119" s="574"/>
      <c r="WVO119" s="575"/>
      <c r="WVP119" s="583"/>
      <c r="WVQ119" s="590"/>
      <c r="WVR119" s="589"/>
      <c r="WVS119" s="585"/>
      <c r="WVT119" s="577"/>
      <c r="WVU119" s="304"/>
      <c r="WVV119" s="572"/>
      <c r="WVW119" s="573"/>
      <c r="WVX119" s="574"/>
      <c r="WVY119" s="575"/>
      <c r="WVZ119" s="583"/>
      <c r="WWA119" s="590"/>
      <c r="WWB119" s="589"/>
      <c r="WWC119" s="585"/>
      <c r="WWD119" s="577"/>
      <c r="WWE119" s="304"/>
      <c r="WWF119" s="572"/>
      <c r="WWG119" s="573"/>
      <c r="WWH119" s="574"/>
      <c r="WWI119" s="575"/>
      <c r="WWJ119" s="583"/>
      <c r="WWK119" s="590"/>
      <c r="WWL119" s="589"/>
      <c r="WWM119" s="585"/>
      <c r="WWN119" s="577"/>
      <c r="WWO119" s="304"/>
      <c r="WWP119" s="572"/>
      <c r="WWQ119" s="573"/>
      <c r="WWR119" s="574"/>
      <c r="WWS119" s="575"/>
      <c r="WWT119" s="583"/>
      <c r="WWU119" s="590"/>
      <c r="WWV119" s="589"/>
      <c r="WWW119" s="585"/>
      <c r="WWX119" s="577"/>
      <c r="WWY119" s="304"/>
      <c r="WWZ119" s="572"/>
      <c r="WXA119" s="573"/>
      <c r="WXB119" s="574"/>
      <c r="WXC119" s="575"/>
      <c r="WXD119" s="583"/>
      <c r="WXE119" s="590"/>
      <c r="WXF119" s="589"/>
      <c r="WXG119" s="585"/>
      <c r="WXH119" s="577"/>
      <c r="WXI119" s="304"/>
      <c r="WXJ119" s="572"/>
      <c r="WXK119" s="573"/>
      <c r="WXL119" s="574"/>
      <c r="WXM119" s="575"/>
      <c r="WXN119" s="583"/>
      <c r="WXO119" s="590"/>
      <c r="WXP119" s="589"/>
      <c r="WXQ119" s="585"/>
      <c r="WXR119" s="577"/>
      <c r="WXS119" s="304"/>
      <c r="WXT119" s="572"/>
      <c r="WXU119" s="573"/>
      <c r="WXV119" s="574"/>
      <c r="WXW119" s="575"/>
      <c r="WXX119" s="583"/>
      <c r="WXY119" s="590"/>
      <c r="WXZ119" s="589"/>
      <c r="WYA119" s="585"/>
      <c r="WYB119" s="577"/>
      <c r="WYC119" s="304"/>
      <c r="WYD119" s="572"/>
      <c r="WYE119" s="573"/>
      <c r="WYF119" s="574"/>
      <c r="WYG119" s="575"/>
      <c r="WYH119" s="583"/>
      <c r="WYI119" s="590"/>
      <c r="WYJ119" s="589"/>
      <c r="WYK119" s="585"/>
      <c r="WYL119" s="577"/>
      <c r="WYM119" s="304"/>
      <c r="WYN119" s="572"/>
      <c r="WYO119" s="573"/>
      <c r="WYP119" s="574"/>
      <c r="WYQ119" s="575"/>
      <c r="WYR119" s="583"/>
      <c r="WYS119" s="590"/>
      <c r="WYT119" s="589"/>
      <c r="WYU119" s="585"/>
      <c r="WYV119" s="577"/>
      <c r="WYW119" s="304"/>
      <c r="WYX119" s="572"/>
      <c r="WYY119" s="573"/>
      <c r="WYZ119" s="574"/>
      <c r="WZA119" s="575"/>
      <c r="WZB119" s="583"/>
      <c r="WZC119" s="590"/>
      <c r="WZD119" s="589"/>
      <c r="WZE119" s="585"/>
      <c r="WZF119" s="577"/>
      <c r="WZG119" s="304"/>
      <c r="WZH119" s="572"/>
      <c r="WZI119" s="573"/>
      <c r="WZJ119" s="574"/>
      <c r="WZK119" s="575"/>
      <c r="WZL119" s="583"/>
      <c r="WZM119" s="590"/>
      <c r="WZN119" s="589"/>
      <c r="WZO119" s="585"/>
      <c r="WZP119" s="577"/>
      <c r="WZQ119" s="304"/>
      <c r="WZR119" s="572"/>
      <c r="WZS119" s="573"/>
      <c r="WZT119" s="574"/>
      <c r="WZU119" s="575"/>
      <c r="WZV119" s="583"/>
      <c r="WZW119" s="590"/>
      <c r="WZX119" s="589"/>
      <c r="WZY119" s="585"/>
      <c r="WZZ119" s="577"/>
      <c r="XAA119" s="304"/>
      <c r="XAB119" s="572"/>
      <c r="XAC119" s="573"/>
      <c r="XAD119" s="574"/>
      <c r="XAE119" s="575"/>
      <c r="XAF119" s="583"/>
      <c r="XAG119" s="590"/>
      <c r="XAH119" s="589"/>
      <c r="XAI119" s="585"/>
      <c r="XAJ119" s="577"/>
      <c r="XAK119" s="304"/>
      <c r="XAL119" s="572"/>
      <c r="XAM119" s="573"/>
      <c r="XAN119" s="574"/>
      <c r="XAO119" s="575"/>
      <c r="XAP119" s="583"/>
      <c r="XAQ119" s="590"/>
      <c r="XAR119" s="589"/>
      <c r="XAS119" s="585"/>
      <c r="XAT119" s="577"/>
      <c r="XAU119" s="304"/>
      <c r="XAV119" s="572"/>
      <c r="XAW119" s="573"/>
      <c r="XAX119" s="574"/>
      <c r="XAY119" s="575"/>
      <c r="XAZ119" s="583"/>
      <c r="XBA119" s="590"/>
      <c r="XBB119" s="589"/>
      <c r="XBC119" s="585"/>
      <c r="XBD119" s="577"/>
      <c r="XBE119" s="304"/>
      <c r="XBF119" s="572"/>
      <c r="XBG119" s="573"/>
      <c r="XBH119" s="574"/>
      <c r="XBI119" s="575"/>
      <c r="XBJ119" s="583"/>
      <c r="XBK119" s="590"/>
      <c r="XBL119" s="589"/>
      <c r="XBM119" s="585"/>
      <c r="XBN119" s="577"/>
      <c r="XBO119" s="304"/>
      <c r="XBP119" s="572"/>
      <c r="XBQ119" s="573"/>
      <c r="XBR119" s="574"/>
      <c r="XBS119" s="575"/>
      <c r="XBT119" s="583"/>
      <c r="XBU119" s="590"/>
      <c r="XBV119" s="589"/>
      <c r="XBW119" s="585"/>
      <c r="XBX119" s="577"/>
      <c r="XBY119" s="304"/>
      <c r="XBZ119" s="572"/>
      <c r="XCA119" s="573"/>
      <c r="XCB119" s="574"/>
      <c r="XCC119" s="575"/>
      <c r="XCD119" s="583"/>
      <c r="XCE119" s="590"/>
      <c r="XCF119" s="589"/>
      <c r="XCG119" s="585"/>
      <c r="XCH119" s="577"/>
      <c r="XCI119" s="304"/>
      <c r="XCJ119" s="572"/>
      <c r="XCK119" s="573"/>
      <c r="XCL119" s="574"/>
      <c r="XCM119" s="575"/>
      <c r="XCN119" s="583"/>
      <c r="XCO119" s="590"/>
      <c r="XCP119" s="589"/>
      <c r="XCQ119" s="585"/>
      <c r="XCR119" s="577"/>
      <c r="XCS119" s="304"/>
      <c r="XCT119" s="572"/>
      <c r="XCU119" s="573"/>
      <c r="XCV119" s="574"/>
      <c r="XCW119" s="575"/>
      <c r="XCX119" s="583"/>
      <c r="XCY119" s="590"/>
      <c r="XCZ119" s="589"/>
      <c r="XDA119" s="585"/>
      <c r="XDB119" s="577"/>
      <c r="XDC119" s="304"/>
      <c r="XDD119" s="572"/>
      <c r="XDE119" s="573"/>
      <c r="XDF119" s="574"/>
      <c r="XDG119" s="575"/>
      <c r="XDH119" s="583"/>
      <c r="XDI119" s="590"/>
      <c r="XDJ119" s="589"/>
      <c r="XDK119" s="585"/>
      <c r="XDL119" s="577"/>
      <c r="XDM119" s="304"/>
      <c r="XDN119" s="572"/>
      <c r="XDO119" s="573"/>
      <c r="XDP119" s="574"/>
      <c r="XDQ119" s="575"/>
      <c r="XDR119" s="583"/>
      <c r="XDS119" s="590"/>
      <c r="XDT119" s="589"/>
      <c r="XDU119" s="585"/>
      <c r="XDV119" s="577"/>
      <c r="XDW119" s="304"/>
      <c r="XDX119" s="572"/>
      <c r="XDY119" s="573"/>
      <c r="XDZ119" s="574"/>
      <c r="XEA119" s="575"/>
      <c r="XEB119" s="583"/>
      <c r="XEC119" s="590"/>
      <c r="XED119" s="589"/>
      <c r="XEE119" s="585"/>
      <c r="XEF119" s="577"/>
      <c r="XEG119" s="304"/>
      <c r="XEH119" s="572"/>
      <c r="XEI119" s="573"/>
      <c r="XEJ119" s="574"/>
      <c r="XEK119" s="575"/>
      <c r="XEL119" s="583"/>
      <c r="XEM119" s="590"/>
      <c r="XEN119" s="589"/>
      <c r="XEO119" s="585"/>
      <c r="XEP119" s="577"/>
      <c r="XEQ119" s="304"/>
      <c r="XER119" s="572"/>
      <c r="XES119" s="573"/>
      <c r="XET119" s="574"/>
      <c r="XEU119" s="575"/>
      <c r="XEV119" s="583"/>
      <c r="XEW119" s="590"/>
      <c r="XEX119" s="589"/>
      <c r="XEY119" s="585"/>
      <c r="XEZ119" s="577"/>
      <c r="XFA119" s="304"/>
      <c r="XFB119" s="572"/>
      <c r="XFC119" s="573"/>
      <c r="XFD119" s="574"/>
    </row>
    <row r="120" spans="1:16384" ht="42.6" customHeight="1" thickTop="1" x14ac:dyDescent="0.45">
      <c r="A120" s="304" t="str">
        <f>'DATA BASE'!A124</f>
        <v>BM-104</v>
      </c>
      <c r="B120" s="572">
        <f>'DATA BASE'!P124</f>
        <v>500</v>
      </c>
      <c r="C120" s="573">
        <f>'DATA BASE'!Q124</f>
        <v>26</v>
      </c>
      <c r="D120" s="574">
        <f>'DATA BASE'!O124</f>
        <v>0</v>
      </c>
      <c r="E120" s="575">
        <f>'DATA BASE'!N124</f>
        <v>0</v>
      </c>
      <c r="F120" s="583">
        <f>'DATA BASE'!S124</f>
        <v>78</v>
      </c>
      <c r="G120" s="588">
        <f>'DATA BASE'!T124</f>
        <v>27</v>
      </c>
      <c r="H120" s="589" t="str">
        <f>'DATA BASE'!U124</f>
        <v>DN-1050</v>
      </c>
      <c r="I120" s="585">
        <f>'DATA BASE'!V124</f>
        <v>261</v>
      </c>
      <c r="J120" s="577">
        <f>'DATA BASE'!Z124</f>
        <v>42691</v>
      </c>
    </row>
    <row r="121" spans="1:16384" ht="42.6" customHeight="1" x14ac:dyDescent="0.45">
      <c r="A121" s="304" t="str">
        <f>'DATA BASE'!A125</f>
        <v>BM-105</v>
      </c>
      <c r="B121" s="572">
        <f>'DATA BASE'!P125</f>
        <v>400</v>
      </c>
      <c r="C121" s="573">
        <f>'DATA BASE'!Q125</f>
        <v>15</v>
      </c>
      <c r="D121" s="574">
        <f>'DATA BASE'!O125</f>
        <v>0.13</v>
      </c>
      <c r="E121" s="575">
        <f>'DATA BASE'!N125</f>
        <v>83</v>
      </c>
      <c r="F121" s="583">
        <f>'DATA BASE'!S125</f>
        <v>75</v>
      </c>
      <c r="G121" s="588">
        <f>'DATA BASE'!T125</f>
        <v>25</v>
      </c>
      <c r="H121" s="589" t="str">
        <f>'DATA BASE'!U125</f>
        <v>B400-500</v>
      </c>
      <c r="I121" s="585">
        <f>'DATA BASE'!V125</f>
        <v>402</v>
      </c>
      <c r="J121" s="577">
        <f>'DATA BASE'!Z125</f>
        <v>42944</v>
      </c>
    </row>
    <row r="122" spans="1:16384" ht="42.6" customHeight="1" x14ac:dyDescent="0.45">
      <c r="A122" s="304" t="str">
        <f>'DATA BASE'!A126</f>
        <v>BM-106</v>
      </c>
      <c r="B122" s="572">
        <f>'DATA BASE'!P126</f>
        <v>400</v>
      </c>
      <c r="C122" s="573">
        <f>'DATA BASE'!Q126</f>
        <v>18</v>
      </c>
      <c r="D122" s="574">
        <f>'DATA BASE'!O126</f>
        <v>0</v>
      </c>
      <c r="E122" s="575">
        <f>'DATA BASE'!N126</f>
        <v>0</v>
      </c>
      <c r="F122" s="583">
        <f>'DATA BASE'!S126</f>
        <v>83</v>
      </c>
      <c r="G122" s="590">
        <f>'DATA BASE'!T126</f>
        <v>29</v>
      </c>
      <c r="H122" s="589" t="str">
        <f>'DATA BASE'!U126</f>
        <v>WD-650</v>
      </c>
      <c r="I122" s="585">
        <f>'DATA BASE'!V126</f>
        <v>333</v>
      </c>
      <c r="J122" s="577">
        <f>'DATA BASE'!Z126</f>
        <v>43767</v>
      </c>
    </row>
    <row r="123" spans="1:16384" ht="42.6" customHeight="1" x14ac:dyDescent="0.45">
      <c r="A123" s="304" t="str">
        <f>'DATA BASE'!A127</f>
        <v>BM-112</v>
      </c>
      <c r="B123" s="572">
        <f>'DATA BASE'!P127</f>
        <v>400</v>
      </c>
      <c r="C123" s="573">
        <f>'DATA BASE'!Q127</f>
        <v>20</v>
      </c>
      <c r="D123" s="574">
        <f>'DATA BASE'!O127</f>
        <v>0.14000000000000001</v>
      </c>
      <c r="E123" s="575">
        <f>'DATA BASE'!N127</f>
        <v>71</v>
      </c>
      <c r="F123" s="583">
        <f>'DATA BASE'!S127</f>
        <v>75</v>
      </c>
      <c r="G123" s="590">
        <f>'DATA BASE'!T127</f>
        <v>25</v>
      </c>
      <c r="H123" s="589" t="str">
        <f>'DATA BASE'!U127</f>
        <v>B400-700</v>
      </c>
      <c r="I123" s="585">
        <f>'DATA BASE'!V127</f>
        <v>359</v>
      </c>
      <c r="J123" s="577">
        <f>'DATA BASE'!Z127</f>
        <v>43005</v>
      </c>
    </row>
    <row r="124" spans="1:16384" ht="42.6" customHeight="1" x14ac:dyDescent="0.45">
      <c r="A124" s="304" t="str">
        <f>'DATA BASE'!A128</f>
        <v>BM-114</v>
      </c>
      <c r="B124" s="572">
        <f>'DATA BASE'!P128</f>
        <v>400</v>
      </c>
      <c r="C124" s="573">
        <f>'DATA BASE'!Q128</f>
        <v>20</v>
      </c>
      <c r="D124" s="574">
        <f>'DATA BASE'!O128</f>
        <v>0.56999999999999995</v>
      </c>
      <c r="E124" s="575">
        <f>'DATA BASE'!N128</f>
        <v>239</v>
      </c>
      <c r="F124" s="583">
        <f>'DATA BASE'!S128</f>
        <v>76</v>
      </c>
      <c r="G124" s="590">
        <f>'DATA BASE'!T128</f>
        <v>25.6</v>
      </c>
      <c r="H124" s="589" t="str">
        <f>'DATA BASE'!U128</f>
        <v>B330-550</v>
      </c>
      <c r="I124" s="585">
        <f>'DATA BASE'!V128</f>
        <v>566</v>
      </c>
      <c r="J124" s="577">
        <f>'DATA BASE'!Z128</f>
        <v>43967</v>
      </c>
    </row>
    <row r="125" spans="1:16384" ht="42.6" customHeight="1" x14ac:dyDescent="0.45">
      <c r="A125" s="304" t="str">
        <f>'DATA BASE'!A129</f>
        <v>BM-115</v>
      </c>
      <c r="B125" s="572">
        <f>'DATA BASE'!P129</f>
        <v>400</v>
      </c>
      <c r="C125" s="573">
        <f>'DATA BASE'!Q129</f>
        <v>34</v>
      </c>
      <c r="D125" s="574">
        <f>'DATA BASE'!O129</f>
        <v>0.31</v>
      </c>
      <c r="E125" s="575">
        <f>'DATA BASE'!N129</f>
        <v>166</v>
      </c>
      <c r="F125" s="583">
        <f>'DATA BASE'!S129</f>
        <v>138</v>
      </c>
      <c r="G125" s="590">
        <f>'DATA BASE'!T129</f>
        <v>46</v>
      </c>
      <c r="H125" s="589" t="str">
        <f>'DATA BASE'!U129</f>
        <v>FLEX-10</v>
      </c>
      <c r="I125" s="585">
        <f>'DATA BASE'!V129</f>
        <v>309</v>
      </c>
      <c r="J125" s="577">
        <f>'DATA BASE'!Z129</f>
        <v>44119</v>
      </c>
    </row>
    <row r="126" spans="1:16384" ht="42.6" customHeight="1" x14ac:dyDescent="0.45">
      <c r="A126" s="304" t="e">
        <f>'DATA BASE'!#REF!</f>
        <v>#REF!</v>
      </c>
      <c r="B126" s="572" t="e">
        <f>'DATA BASE'!#REF!</f>
        <v>#REF!</v>
      </c>
      <c r="C126" s="573" t="e">
        <f>'DATA BASE'!#REF!</f>
        <v>#REF!</v>
      </c>
      <c r="D126" s="574" t="e">
        <f>'DATA BASE'!#REF!</f>
        <v>#REF!</v>
      </c>
      <c r="E126" s="575" t="e">
        <f>'DATA BASE'!#REF!</f>
        <v>#REF!</v>
      </c>
      <c r="F126" s="583" t="e">
        <f>'DATA BASE'!#REF!</f>
        <v>#REF!</v>
      </c>
      <c r="G126" s="590" t="e">
        <f>'DATA BASE'!#REF!</f>
        <v>#REF!</v>
      </c>
      <c r="H126" s="589" t="e">
        <f>'DATA BASE'!#REF!</f>
        <v>#REF!</v>
      </c>
      <c r="I126" s="585" t="e">
        <f>'DATA BASE'!#REF!</f>
        <v>#REF!</v>
      </c>
      <c r="J126" s="577" t="e">
        <f>'DATA BASE'!#REF!</f>
        <v>#REF!</v>
      </c>
    </row>
    <row r="127" spans="1:16384" ht="42.6" customHeight="1" x14ac:dyDescent="0.45">
      <c r="A127" s="304" t="str">
        <f>'DATA BASE'!A130</f>
        <v>BM-118</v>
      </c>
      <c r="B127" s="572">
        <f>'DATA BASE'!P130</f>
        <v>600</v>
      </c>
      <c r="C127" s="573">
        <f>'DATA BASE'!Q130</f>
        <v>93</v>
      </c>
      <c r="D127" s="574">
        <f>'DATA BASE'!O130</f>
        <v>0.52</v>
      </c>
      <c r="E127" s="575">
        <f>'DATA BASE'!N130</f>
        <v>80</v>
      </c>
      <c r="F127" s="583">
        <f>'DATA BASE'!S130</f>
        <v>300</v>
      </c>
      <c r="G127" s="590">
        <f>'DATA BASE'!T130</f>
        <v>120</v>
      </c>
      <c r="H127" s="589" t="str">
        <f>'DATA BASE'!U130</f>
        <v>WG-3200</v>
      </c>
      <c r="I127" s="585">
        <f>'DATA BASE'!V130</f>
        <v>261</v>
      </c>
      <c r="J127" s="577">
        <f>'DATA BASE'!Z130</f>
        <v>44019</v>
      </c>
    </row>
    <row r="128" spans="1:16384" ht="42.6" customHeight="1" x14ac:dyDescent="0.45">
      <c r="A128" s="304" t="str">
        <f>'DATA BASE'!A131</f>
        <v>BM-119</v>
      </c>
      <c r="B128" s="572">
        <f>'DATA BASE'!P131</f>
        <v>400</v>
      </c>
      <c r="C128" s="573">
        <f>'DATA BASE'!Q131</f>
        <v>22</v>
      </c>
      <c r="D128" s="574">
        <f>'DATA BASE'!O131</f>
        <v>0.2</v>
      </c>
      <c r="E128" s="575">
        <f>'DATA BASE'!N131</f>
        <v>145</v>
      </c>
      <c r="F128" s="583">
        <f>'DATA BASE'!S131</f>
        <v>83</v>
      </c>
      <c r="G128" s="590">
        <f>'DATA BASE'!T131</f>
        <v>29</v>
      </c>
      <c r="H128" s="589" t="str">
        <f>'DATA BASE'!U131</f>
        <v>P-4</v>
      </c>
      <c r="I128" s="585">
        <f>'DATA BASE'!V131</f>
        <v>320</v>
      </c>
      <c r="J128" s="577">
        <f>'DATA BASE'!Z131</f>
        <v>44012</v>
      </c>
    </row>
    <row r="129" spans="1:10" ht="42.6" customHeight="1" x14ac:dyDescent="0.45">
      <c r="A129" s="304" t="str">
        <f>'DATA BASE'!A132</f>
        <v>BM-120</v>
      </c>
      <c r="B129" s="572">
        <f>'DATA BASE'!P132</f>
        <v>400</v>
      </c>
      <c r="C129" s="573">
        <f>'DATA BASE'!Q132</f>
        <v>16</v>
      </c>
      <c r="D129" s="574">
        <f>'DATA BASE'!O132</f>
        <v>0.6</v>
      </c>
      <c r="E129" s="575">
        <f>'DATA BASE'!N132</f>
        <v>400</v>
      </c>
      <c r="F129" s="583">
        <f>'DATA BASE'!S132</f>
        <v>83</v>
      </c>
      <c r="G129" s="590">
        <f>'DATA BASE'!T132</f>
        <v>29</v>
      </c>
      <c r="H129" s="589" t="str">
        <f>'DATA BASE'!U132</f>
        <v>WD-650</v>
      </c>
      <c r="I129" s="585">
        <f>'DATA BASE'!V132</f>
        <v>353</v>
      </c>
      <c r="J129" s="577">
        <f>'DATA BASE'!Z132</f>
        <v>43982</v>
      </c>
    </row>
    <row r="130" spans="1:10" ht="42.6" customHeight="1" x14ac:dyDescent="0.45">
      <c r="A130" s="304" t="str">
        <f>'DATA BASE'!A133</f>
        <v>BM-121</v>
      </c>
      <c r="B130" s="572">
        <f>'DATA BASE'!P133</f>
        <v>400</v>
      </c>
      <c r="C130" s="573">
        <f>'DATA BASE'!Q133</f>
        <v>24</v>
      </c>
      <c r="D130" s="574">
        <f>'DATA BASE'!O133</f>
        <v>1.35</v>
      </c>
      <c r="E130" s="575">
        <f>'DATA BASE'!N133</f>
        <v>414</v>
      </c>
      <c r="F130" s="583">
        <f>'DATA BASE'!S133</f>
        <v>83</v>
      </c>
      <c r="G130" s="590">
        <f>'DATA BASE'!T133</f>
        <v>27</v>
      </c>
      <c r="H130" s="589" t="str">
        <f>'DATA BASE'!U133</f>
        <v>FLEX-10</v>
      </c>
      <c r="I130" s="585">
        <f>'DATA BASE'!V133</f>
        <v>229</v>
      </c>
      <c r="J130" s="577">
        <f>'DATA BASE'!Z133</f>
        <v>44008</v>
      </c>
    </row>
    <row r="131" spans="1:10" ht="42.6" customHeight="1" x14ac:dyDescent="0.45">
      <c r="A131" s="304" t="str">
        <f>'DATA BASE'!A134</f>
        <v>BM-122</v>
      </c>
      <c r="B131" s="572">
        <f>'DATA BASE'!P134</f>
        <v>700</v>
      </c>
      <c r="C131" s="573">
        <f>'DATA BASE'!Q134</f>
        <v>67</v>
      </c>
      <c r="D131" s="574">
        <f>'DATA BASE'!O134</f>
        <v>0.8</v>
      </c>
      <c r="E131" s="575">
        <f>'DATA BASE'!N134</f>
        <v>105</v>
      </c>
      <c r="F131" s="583">
        <f>'DATA BASE'!S134</f>
        <v>229</v>
      </c>
      <c r="G131" s="590">
        <f>'DATA BASE'!T134</f>
        <v>75</v>
      </c>
      <c r="H131" s="589" t="str">
        <f>'DATA BASE'!U134</f>
        <v>GC-1700</v>
      </c>
      <c r="I131" s="585">
        <f>'DATA BASE'!V134</f>
        <v>246</v>
      </c>
      <c r="J131" s="577">
        <f>'DATA BASE'!Z134</f>
        <v>43944</v>
      </c>
    </row>
    <row r="132" spans="1:10" ht="42.6" customHeight="1" x14ac:dyDescent="0.45">
      <c r="A132" s="304" t="str">
        <f>'DATA BASE'!A136</f>
        <v>BM-124</v>
      </c>
      <c r="B132" s="572">
        <f>'DATA BASE'!P136</f>
        <v>700</v>
      </c>
      <c r="C132" s="573">
        <f>'DATA BASE'!Q136</f>
        <v>28</v>
      </c>
      <c r="D132" s="574">
        <f>'DATA BASE'!O136</f>
        <v>0.43</v>
      </c>
      <c r="E132" s="575">
        <f>'DATA BASE'!N136</f>
        <v>43</v>
      </c>
      <c r="F132" s="583">
        <f>'DATA BASE'!S136</f>
        <v>55</v>
      </c>
      <c r="G132" s="590">
        <f>'DATA BASE'!T136</f>
        <v>46</v>
      </c>
      <c r="H132" s="589" t="str">
        <f>'DATA BASE'!U136</f>
        <v>WD-1300</v>
      </c>
      <c r="I132" s="585">
        <f>'DATA BASE'!V136</f>
        <v>358</v>
      </c>
      <c r="J132" s="577">
        <f>'DATA BASE'!Z136</f>
        <v>44052</v>
      </c>
    </row>
    <row r="133" spans="1:10" ht="42.6" customHeight="1" x14ac:dyDescent="0.45">
      <c r="A133" s="304" t="str">
        <f>'DATA BASE'!A137</f>
        <v>BM-125</v>
      </c>
      <c r="B133" s="572">
        <f>'DATA BASE'!P137</f>
        <v>170</v>
      </c>
      <c r="C133" s="573">
        <f>'DATA BASE'!Q137</f>
        <v>21</v>
      </c>
      <c r="D133" s="574">
        <f>'DATA BASE'!O137</f>
        <v>0</v>
      </c>
      <c r="E133" s="575">
        <f>'DATA BASE'!N137</f>
        <v>0</v>
      </c>
      <c r="F133" s="583">
        <f>'DATA BASE'!S137</f>
        <v>75</v>
      </c>
      <c r="G133" s="590">
        <f>'DATA BASE'!T137</f>
        <v>25</v>
      </c>
      <c r="H133" s="589" t="str">
        <f>'DATA BASE'!U137</f>
        <v>B400-500</v>
      </c>
      <c r="I133" s="585">
        <f>'DATA BASE'!V137</f>
        <v>347</v>
      </c>
      <c r="J133" s="577">
        <f>'DATA BASE'!Z137</f>
        <v>44019</v>
      </c>
    </row>
    <row r="134" spans="1:10" ht="42.6" customHeight="1" x14ac:dyDescent="0.45">
      <c r="A134" s="304"/>
      <c r="B134" s="572"/>
      <c r="C134" s="573"/>
      <c r="D134" s="574"/>
      <c r="E134" s="575"/>
      <c r="F134" s="583"/>
      <c r="G134" s="590"/>
      <c r="H134" s="589"/>
      <c r="I134" s="585"/>
      <c r="J134" s="577"/>
    </row>
    <row r="135" spans="1:10" ht="42.6" customHeight="1" x14ac:dyDescent="0.45">
      <c r="A135" s="304"/>
      <c r="B135" s="572"/>
      <c r="C135" s="573"/>
      <c r="D135" s="574"/>
      <c r="E135" s="575"/>
      <c r="F135" s="583"/>
      <c r="G135" s="590"/>
      <c r="H135" s="589"/>
      <c r="I135" s="585"/>
      <c r="J135" s="577"/>
    </row>
    <row r="136" spans="1:10" ht="42.6" customHeight="1" x14ac:dyDescent="0.45">
      <c r="A136" s="304"/>
      <c r="B136" s="572"/>
      <c r="C136" s="573"/>
      <c r="D136" s="574"/>
      <c r="E136" s="575"/>
      <c r="F136" s="583"/>
      <c r="G136" s="590"/>
      <c r="H136" s="589"/>
      <c r="I136" s="585"/>
      <c r="J136" s="577"/>
    </row>
    <row r="137" spans="1:10" ht="42.6" customHeight="1" x14ac:dyDescent="0.45">
      <c r="A137" s="304" t="str">
        <f>'DATA BASE'!A142</f>
        <v>BMNW-04</v>
      </c>
      <c r="B137" s="572">
        <f>'DATA BASE'!P142</f>
        <v>400</v>
      </c>
      <c r="C137" s="573">
        <f>'DATA BASE'!Q142</f>
        <v>18</v>
      </c>
      <c r="D137" s="574">
        <f>'DATA BASE'!O142</f>
        <v>0</v>
      </c>
      <c r="E137" s="575">
        <f>'DATA BASE'!N142</f>
        <v>0</v>
      </c>
      <c r="F137" s="583">
        <f>'DATA BASE'!S142</f>
        <v>92</v>
      </c>
      <c r="G137" s="590">
        <f>'DATA BASE'!T142</f>
        <v>23.5</v>
      </c>
      <c r="H137" s="589" t="str">
        <f>'DATA BASE'!U142</f>
        <v>B400-500</v>
      </c>
      <c r="I137" s="585">
        <f>'DATA BASE'!V142</f>
        <v>214</v>
      </c>
      <c r="J137" s="577">
        <f>'DATA BASE'!Z142</f>
        <v>44028</v>
      </c>
    </row>
    <row r="138" spans="1:10" ht="42.6" customHeight="1" x14ac:dyDescent="0.45">
      <c r="A138" s="304" t="str">
        <f>'DATA BASE'!A143</f>
        <v>BMNW-05</v>
      </c>
      <c r="B138" s="572">
        <f>'DATA BASE'!P143</f>
        <v>0</v>
      </c>
      <c r="C138" s="573">
        <f>'DATA BASE'!Q143</f>
        <v>33</v>
      </c>
      <c r="D138" s="574">
        <f>'DATA BASE'!O143</f>
        <v>0</v>
      </c>
      <c r="E138" s="575">
        <f>'DATA BASE'!N143</f>
        <v>0</v>
      </c>
      <c r="F138" s="583">
        <f>'DATA BASE'!S143</f>
        <v>83</v>
      </c>
      <c r="G138" s="590">
        <f>'DATA BASE'!T143</f>
        <v>30.5</v>
      </c>
      <c r="H138" s="589" t="str">
        <f>'DATA BASE'!U143</f>
        <v>AN550</v>
      </c>
      <c r="I138" s="585">
        <f>'DATA BASE'!V143</f>
        <v>682</v>
      </c>
      <c r="J138" s="577">
        <f>'DATA BASE'!Z143</f>
        <v>43742</v>
      </c>
    </row>
    <row r="139" spans="1:10" ht="42.6" customHeight="1" x14ac:dyDescent="0.45">
      <c r="A139" s="304" t="str">
        <f>'DATA BASE'!A144</f>
        <v>BMSW-1 R</v>
      </c>
      <c r="B139" s="572">
        <f>'DATA BASE'!P144</f>
        <v>400</v>
      </c>
      <c r="C139" s="573">
        <f>'DATA BASE'!Q144</f>
        <v>34</v>
      </c>
      <c r="D139" s="574">
        <f>'DATA BASE'!O144</f>
        <v>0.68</v>
      </c>
      <c r="E139" s="575">
        <f>'DATA BASE'!N144</f>
        <v>206</v>
      </c>
      <c r="F139" s="583">
        <f>'DATA BASE'!S144</f>
        <v>125</v>
      </c>
      <c r="G139" s="590">
        <f>'DATA BASE'!T144</f>
        <v>40</v>
      </c>
      <c r="H139" s="589" t="str">
        <f>'DATA BASE'!U144</f>
        <v>FLEX-10</v>
      </c>
      <c r="I139" s="585">
        <f>'DATA BASE'!V144</f>
        <v>205</v>
      </c>
      <c r="J139" s="577">
        <f>'DATA BASE'!Z144</f>
        <v>43060</v>
      </c>
    </row>
    <row r="140" spans="1:10" ht="42.6" customHeight="1" x14ac:dyDescent="0.45">
      <c r="A140" s="304" t="str">
        <f>'DATA BASE'!A145</f>
        <v>BMSW-2</v>
      </c>
      <c r="B140" s="572">
        <f>'DATA BASE'!P145</f>
        <v>0</v>
      </c>
      <c r="C140" s="573">
        <f>'DATA BASE'!Q145</f>
        <v>18</v>
      </c>
      <c r="D140" s="574">
        <f>'DATA BASE'!O145</f>
        <v>0</v>
      </c>
      <c r="E140" s="575">
        <f>'DATA BASE'!N145</f>
        <v>0</v>
      </c>
      <c r="F140" s="583">
        <f>'DATA BASE'!S145</f>
        <v>63</v>
      </c>
      <c r="G140" s="590">
        <f>'DATA BASE'!T145</f>
        <v>29</v>
      </c>
      <c r="H140" s="589" t="str">
        <f>'DATA BASE'!U145</f>
        <v>WD-650</v>
      </c>
      <c r="I140" s="585">
        <f>'DATA BASE'!V145</f>
        <v>333</v>
      </c>
      <c r="J140" s="577">
        <f>'DATA BASE'!Z145</f>
        <v>43781</v>
      </c>
    </row>
    <row r="141" spans="1:10" ht="42.6" customHeight="1" x14ac:dyDescent="0.45">
      <c r="A141" s="304" t="str">
        <f>'DATA BASE'!A147</f>
        <v>BMNE-2</v>
      </c>
      <c r="B141" s="572">
        <f>'DATA BASE'!P147</f>
        <v>400</v>
      </c>
      <c r="C141" s="573">
        <f>'DATA BASE'!Q147</f>
        <v>16</v>
      </c>
      <c r="D141" s="574">
        <f>'DATA BASE'!O147</f>
        <v>0</v>
      </c>
      <c r="E141" s="575">
        <f>'DATA BASE'!N147</f>
        <v>0</v>
      </c>
      <c r="F141" s="583">
        <f>'DATA BASE'!S147</f>
        <v>60</v>
      </c>
      <c r="G141" s="590">
        <f>'DATA BASE'!T147</f>
        <v>20</v>
      </c>
      <c r="H141" s="589" t="str">
        <f>'DATA BASE'!U147</f>
        <v>DN-460</v>
      </c>
      <c r="I141" s="585">
        <f>'DATA BASE'!V147</f>
        <v>301</v>
      </c>
      <c r="J141" s="577" t="str">
        <f>'DATA BASE'!Z147</f>
        <v>22/2/2019</v>
      </c>
    </row>
    <row r="142" spans="1:10" ht="42.6" customHeight="1" x14ac:dyDescent="0.45">
      <c r="A142" s="304" t="str">
        <f>'DATA BASE'!A148</f>
        <v>SINAI-02</v>
      </c>
      <c r="B142" s="572">
        <f>'DATA BASE'!P148</f>
        <v>500</v>
      </c>
      <c r="C142" s="573">
        <f>'DATA BASE'!Q148</f>
        <v>52</v>
      </c>
      <c r="D142" s="574">
        <f>'DATA BASE'!O148</f>
        <v>0.35</v>
      </c>
      <c r="E142" s="575">
        <f>'DATA BASE'!N148</f>
        <v>289.51323618975687</v>
      </c>
      <c r="F142" s="583">
        <f>'DATA BASE'!S148</f>
        <v>125</v>
      </c>
      <c r="G142" s="590">
        <f>'DATA BASE'!T148</f>
        <v>64</v>
      </c>
      <c r="H142" s="589" t="str">
        <f>'DATA BASE'!U148</f>
        <v>B513-6000</v>
      </c>
      <c r="I142" s="585">
        <f>'DATA BASE'!V148</f>
        <v>181</v>
      </c>
      <c r="J142" s="577">
        <f>'DATA BASE'!Z148</f>
        <v>44097</v>
      </c>
    </row>
    <row r="143" spans="1:10" ht="42.6" customHeight="1" x14ac:dyDescent="0.45">
      <c r="A143" s="304" t="str">
        <f>'DATA BASE'!A149</f>
        <v>SINAI-04 RE</v>
      </c>
      <c r="B143" s="572">
        <f>'DATA BASE'!P149</f>
        <v>500</v>
      </c>
      <c r="C143" s="573">
        <f>'DATA BASE'!Q149</f>
        <v>31</v>
      </c>
      <c r="D143" s="574">
        <f>'DATA BASE'!O149</f>
        <v>0.18</v>
      </c>
      <c r="E143" s="575">
        <f>'DATA BASE'!N149</f>
        <v>210.26223678020716</v>
      </c>
      <c r="F143" s="583">
        <f>'DATA BASE'!S149</f>
        <v>267</v>
      </c>
      <c r="G143" s="590">
        <f>'DATA BASE'!T149</f>
        <v>60</v>
      </c>
      <c r="H143" s="589" t="str">
        <f>'DATA BASE'!U149</f>
        <v>B513-3900</v>
      </c>
      <c r="I143" s="585">
        <f>'DATA BASE'!V149</f>
        <v>218</v>
      </c>
      <c r="J143" s="577">
        <f>'DATA BASE'!Z149</f>
        <v>42820</v>
      </c>
    </row>
    <row r="144" spans="1:10" ht="42.6" customHeight="1" x14ac:dyDescent="0.45">
      <c r="A144" s="304" t="str">
        <f>'DATA BASE'!A150</f>
        <v>SINAI-06</v>
      </c>
      <c r="B144" s="572">
        <f>'DATA BASE'!P150</f>
        <v>400</v>
      </c>
      <c r="C144" s="573">
        <f>'DATA BASE'!Q150</f>
        <v>22</v>
      </c>
      <c r="D144" s="574">
        <f>'DATA BASE'!O150</f>
        <v>0.37</v>
      </c>
      <c r="E144" s="575">
        <f>'DATA BASE'!N150</f>
        <v>305.16163398426824</v>
      </c>
      <c r="F144" s="583">
        <f>'DATA BASE'!S150</f>
        <v>83</v>
      </c>
      <c r="G144" s="590">
        <f>'DATA BASE'!T150</f>
        <v>28</v>
      </c>
      <c r="H144" s="589" t="str">
        <f>'DATA BASE'!U150</f>
        <v>GC-1150</v>
      </c>
      <c r="I144" s="585">
        <f>'DATA BASE'!V150</f>
        <v>193</v>
      </c>
      <c r="J144" s="577">
        <f>'DATA BASE'!Z150</f>
        <v>43174</v>
      </c>
    </row>
    <row r="145" spans="1:10" ht="42.6" customHeight="1" x14ac:dyDescent="0.45">
      <c r="A145" s="304" t="str">
        <f>'DATA BASE'!A151</f>
        <v>SINAI-07</v>
      </c>
      <c r="B145" s="572">
        <f>'DATA BASE'!P151</f>
        <v>400</v>
      </c>
      <c r="C145" s="573">
        <f>'DATA BASE'!Q151</f>
        <v>47</v>
      </c>
      <c r="D145" s="574">
        <f>'DATA BASE'!O151</f>
        <v>0.35</v>
      </c>
      <c r="E145" s="575">
        <f>'DATA BASE'!N151</f>
        <v>283.89566262201373</v>
      </c>
      <c r="F145" s="583">
        <f>'DATA BASE'!S151</f>
        <v>167</v>
      </c>
      <c r="G145" s="590">
        <f>'DATA BASE'!T151</f>
        <v>54</v>
      </c>
      <c r="H145" s="589" t="str">
        <f>'DATA BASE'!U151</f>
        <v>WD-3000</v>
      </c>
      <c r="I145" s="585">
        <f>'DATA BASE'!V151</f>
        <v>322</v>
      </c>
      <c r="J145" s="577">
        <f>'DATA BASE'!Z151</f>
        <v>43851</v>
      </c>
    </row>
    <row r="146" spans="1:10" ht="42.6" customHeight="1" x14ac:dyDescent="0.45">
      <c r="A146" s="304" t="str">
        <f>'DATA BASE'!A152</f>
        <v>SINAI-08</v>
      </c>
      <c r="B146" s="572">
        <f>'DATA BASE'!P152</f>
        <v>0</v>
      </c>
      <c r="C146" s="573">
        <f>'DATA BASE'!Q152</f>
        <v>21</v>
      </c>
      <c r="D146" s="574">
        <f>'DATA BASE'!O152</f>
        <v>0</v>
      </c>
      <c r="E146" s="575">
        <f>'DATA BASE'!N152</f>
        <v>0</v>
      </c>
      <c r="F146" s="583">
        <f>'DATA BASE'!S152</f>
        <v>83</v>
      </c>
      <c r="G146" s="590">
        <f>'DATA BASE'!T152</f>
        <v>31</v>
      </c>
      <c r="H146" s="589" t="str">
        <f>'DATA BASE'!U152</f>
        <v>P-10</v>
      </c>
      <c r="I146" s="585">
        <f>'DATA BASE'!V152</f>
        <v>251</v>
      </c>
      <c r="J146" s="577">
        <f>'DATA BASE'!Z152</f>
        <v>42827</v>
      </c>
    </row>
    <row r="147" spans="1:10" ht="42.6" customHeight="1" x14ac:dyDescent="0.45">
      <c r="A147" s="304" t="str">
        <f>'DATA BASE'!A153</f>
        <v>SINAI-09</v>
      </c>
      <c r="B147" s="572">
        <f>'DATA BASE'!P153</f>
        <v>500</v>
      </c>
      <c r="C147" s="573">
        <f>'DATA BASE'!Q153</f>
        <v>21</v>
      </c>
      <c r="D147" s="574">
        <f>'DATA BASE'!O153</f>
        <v>0.02</v>
      </c>
      <c r="E147" s="575">
        <f>'DATA BASE'!N153</f>
        <v>22.780014135818472</v>
      </c>
      <c r="F147" s="583">
        <f>'DATA BASE'!S153</f>
        <v>73</v>
      </c>
      <c r="G147" s="590">
        <f>'DATA BASE'!T153</f>
        <v>27</v>
      </c>
      <c r="H147" s="589" t="str">
        <f>'DATA BASE'!U153</f>
        <v>FLEX-10</v>
      </c>
      <c r="I147" s="585">
        <f>'DATA BASE'!V153</f>
        <v>158</v>
      </c>
      <c r="J147" s="577">
        <f>'DATA BASE'!Z153</f>
        <v>43679</v>
      </c>
    </row>
    <row r="148" spans="1:10" ht="42.6" customHeight="1" x14ac:dyDescent="0.45">
      <c r="A148" s="333"/>
      <c r="B148" s="593"/>
      <c r="C148" s="594"/>
      <c r="D148" s="595"/>
      <c r="E148" s="596"/>
      <c r="F148" s="597"/>
      <c r="G148" s="598"/>
      <c r="H148" s="587"/>
      <c r="I148" s="599"/>
      <c r="J148" s="576"/>
    </row>
    <row r="149" spans="1:10" ht="42.6" customHeight="1" x14ac:dyDescent="0.45">
      <c r="A149" s="304"/>
      <c r="B149" s="572"/>
      <c r="C149" s="573"/>
      <c r="D149" s="574"/>
      <c r="E149" s="575"/>
      <c r="F149" s="583"/>
      <c r="G149" s="588"/>
      <c r="H149" s="589"/>
      <c r="I149" s="585"/>
      <c r="J149" s="577"/>
    </row>
    <row r="150" spans="1:10" ht="31.5" x14ac:dyDescent="0.45">
      <c r="A150" s="304"/>
      <c r="B150" s="572"/>
      <c r="C150" s="573"/>
      <c r="D150" s="574"/>
      <c r="E150" s="575"/>
      <c r="F150" s="583"/>
      <c r="G150" s="588"/>
      <c r="H150" s="589"/>
      <c r="I150" s="585"/>
      <c r="J150" s="577"/>
    </row>
    <row r="151" spans="1:10" ht="31.5" x14ac:dyDescent="0.45">
      <c r="A151" s="304"/>
      <c r="B151" s="572"/>
      <c r="C151" s="573"/>
      <c r="D151" s="574"/>
      <c r="E151" s="575"/>
      <c r="F151" s="583"/>
      <c r="G151" s="588"/>
      <c r="H151" s="589"/>
      <c r="I151" s="585"/>
      <c r="J151" s="577"/>
    </row>
    <row r="152" spans="1:10" ht="31.5" x14ac:dyDescent="0.45">
      <c r="A152" s="304"/>
      <c r="B152" s="572"/>
      <c r="C152" s="573"/>
      <c r="D152" s="574"/>
      <c r="E152" s="575"/>
      <c r="F152" s="583"/>
      <c r="G152" s="588"/>
      <c r="H152" s="589"/>
      <c r="I152" s="585"/>
      <c r="J152" s="577"/>
    </row>
    <row r="153" spans="1:10" ht="31.5" x14ac:dyDescent="0.45">
      <c r="A153" s="304"/>
      <c r="B153" s="572"/>
      <c r="C153" s="573"/>
      <c r="D153" s="574"/>
      <c r="E153" s="575"/>
      <c r="F153" s="583"/>
      <c r="G153" s="588"/>
      <c r="H153" s="589"/>
      <c r="I153" s="585"/>
      <c r="J153" s="577"/>
    </row>
    <row r="154" spans="1:10" ht="31.5" x14ac:dyDescent="0.45">
      <c r="A154" s="304"/>
      <c r="B154" s="572"/>
      <c r="C154" s="573"/>
      <c r="D154" s="574"/>
      <c r="E154" s="575"/>
      <c r="F154" s="583"/>
      <c r="G154" s="590"/>
      <c r="H154" s="589"/>
      <c r="I154" s="585"/>
      <c r="J154" s="577"/>
    </row>
    <row r="155" spans="1:10" ht="31.5" x14ac:dyDescent="0.45">
      <c r="A155" s="304"/>
      <c r="B155" s="572"/>
      <c r="C155" s="573"/>
      <c r="D155" s="574"/>
      <c r="E155" s="575"/>
      <c r="F155" s="583"/>
      <c r="G155" s="590"/>
      <c r="H155" s="589"/>
      <c r="I155" s="585"/>
      <c r="J155" s="577"/>
    </row>
    <row r="156" spans="1:10" ht="31.5" x14ac:dyDescent="0.45">
      <c r="A156" s="304"/>
      <c r="B156" s="572"/>
      <c r="C156" s="573"/>
      <c r="D156" s="574"/>
      <c r="E156" s="575"/>
      <c r="F156" s="583"/>
      <c r="G156" s="590"/>
      <c r="H156" s="589"/>
      <c r="I156" s="585"/>
      <c r="J156" s="577"/>
    </row>
    <row r="157" spans="1:10" ht="31.5" x14ac:dyDescent="0.45">
      <c r="A157" s="304"/>
      <c r="B157" s="572"/>
      <c r="C157" s="573"/>
      <c r="D157" s="574"/>
      <c r="E157" s="575"/>
      <c r="F157" s="583"/>
      <c r="G157" s="590"/>
      <c r="H157" s="589"/>
      <c r="I157" s="585"/>
      <c r="J157" s="577"/>
    </row>
    <row r="158" spans="1:10" ht="31.5" x14ac:dyDescent="0.45">
      <c r="A158" s="304"/>
      <c r="B158" s="572"/>
      <c r="C158" s="573"/>
      <c r="D158" s="574"/>
      <c r="E158" s="575"/>
      <c r="F158" s="583"/>
      <c r="G158" s="590"/>
      <c r="H158" s="589"/>
      <c r="I158" s="585"/>
      <c r="J158" s="577"/>
    </row>
    <row r="159" spans="1:10" ht="31.5" x14ac:dyDescent="0.45">
      <c r="A159" s="304"/>
      <c r="B159" s="572"/>
      <c r="C159" s="573"/>
      <c r="D159" s="574"/>
      <c r="E159" s="575"/>
      <c r="F159" s="583"/>
      <c r="G159" s="590"/>
      <c r="H159" s="589"/>
      <c r="I159" s="585"/>
      <c r="J159" s="577"/>
    </row>
    <row r="160" spans="1:10" ht="31.5" x14ac:dyDescent="0.45">
      <c r="A160" s="304"/>
      <c r="B160" s="572"/>
      <c r="C160" s="573"/>
      <c r="D160" s="574"/>
      <c r="E160" s="575"/>
      <c r="F160" s="583"/>
      <c r="G160" s="590"/>
      <c r="H160" s="589"/>
      <c r="I160" s="585"/>
      <c r="J160" s="577"/>
    </row>
    <row r="161" spans="1:10" ht="31.5" x14ac:dyDescent="0.45">
      <c r="A161" s="304"/>
      <c r="B161" s="572"/>
      <c r="C161" s="573"/>
      <c r="D161" s="574"/>
      <c r="E161" s="575"/>
      <c r="F161" s="583"/>
      <c r="G161" s="590"/>
      <c r="H161" s="589"/>
      <c r="I161" s="585"/>
      <c r="J161" s="577"/>
    </row>
    <row r="162" spans="1:10" ht="31.5" x14ac:dyDescent="0.45">
      <c r="A162" s="304"/>
      <c r="B162" s="572"/>
      <c r="C162" s="573"/>
      <c r="D162" s="574"/>
      <c r="E162" s="575"/>
      <c r="F162" s="583"/>
      <c r="G162" s="590"/>
      <c r="H162" s="589"/>
      <c r="I162" s="585"/>
      <c r="J162" s="577"/>
    </row>
    <row r="163" spans="1:10" ht="31.5" x14ac:dyDescent="0.45">
      <c r="A163" s="304"/>
      <c r="B163" s="572"/>
      <c r="C163" s="573"/>
      <c r="D163" s="574"/>
      <c r="E163" s="575"/>
      <c r="F163" s="583"/>
      <c r="G163" s="590"/>
      <c r="H163" s="589"/>
      <c r="I163" s="585"/>
      <c r="J163" s="577"/>
    </row>
    <row r="164" spans="1:10" ht="31.5" x14ac:dyDescent="0.45">
      <c r="A164" s="304"/>
      <c r="B164" s="572"/>
      <c r="C164" s="573"/>
      <c r="D164" s="574"/>
      <c r="E164" s="575"/>
      <c r="F164" s="583"/>
      <c r="G164" s="590"/>
      <c r="H164" s="589"/>
      <c r="I164" s="585"/>
      <c r="J164" s="577"/>
    </row>
    <row r="165" spans="1:10" ht="31.5" x14ac:dyDescent="0.45">
      <c r="A165" s="304"/>
      <c r="B165" s="572"/>
      <c r="C165" s="573"/>
      <c r="D165" s="574"/>
      <c r="E165" s="575"/>
      <c r="F165" s="583"/>
      <c r="G165" s="590"/>
      <c r="H165" s="589"/>
      <c r="I165" s="585"/>
      <c r="J165" s="577"/>
    </row>
    <row r="166" spans="1:10" ht="31.5" x14ac:dyDescent="0.45">
      <c r="A166" s="304"/>
      <c r="B166" s="572"/>
      <c r="C166" s="573"/>
      <c r="D166" s="574"/>
      <c r="E166" s="575"/>
      <c r="F166" s="583"/>
      <c r="G166" s="590"/>
      <c r="H166" s="589"/>
      <c r="I166" s="585"/>
      <c r="J166" s="577"/>
    </row>
    <row r="167" spans="1:10" ht="31.5" x14ac:dyDescent="0.45">
      <c r="A167" s="304"/>
      <c r="B167" s="572"/>
      <c r="C167" s="573"/>
      <c r="D167" s="574"/>
      <c r="E167" s="575"/>
      <c r="F167" s="583"/>
      <c r="G167" s="590"/>
      <c r="H167" s="589"/>
      <c r="I167" s="585"/>
      <c r="J167" s="577"/>
    </row>
    <row r="168" spans="1:10" ht="31.5" x14ac:dyDescent="0.45">
      <c r="A168" s="304"/>
      <c r="B168" s="572"/>
      <c r="C168" s="573"/>
      <c r="D168" s="574"/>
      <c r="E168" s="575"/>
      <c r="F168" s="583"/>
      <c r="G168" s="590"/>
      <c r="H168" s="589"/>
      <c r="I168" s="585"/>
      <c r="J168" s="577"/>
    </row>
    <row r="169" spans="1:10" ht="31.5" x14ac:dyDescent="0.45">
      <c r="A169" s="304"/>
      <c r="B169" s="572"/>
      <c r="C169" s="573"/>
      <c r="D169" s="574"/>
      <c r="E169" s="575"/>
      <c r="F169" s="583"/>
      <c r="G169" s="590"/>
      <c r="H169" s="589"/>
      <c r="I169" s="585"/>
      <c r="J169" s="577"/>
    </row>
    <row r="170" spans="1:10" ht="31.5" x14ac:dyDescent="0.45">
      <c r="A170" s="304"/>
      <c r="B170" s="572"/>
      <c r="C170" s="573"/>
      <c r="D170" s="574"/>
      <c r="E170" s="575"/>
      <c r="F170" s="583"/>
      <c r="G170" s="590"/>
      <c r="H170" s="589"/>
      <c r="I170" s="585"/>
      <c r="J170" s="577"/>
    </row>
    <row r="171" spans="1:10" ht="31.5" x14ac:dyDescent="0.45">
      <c r="A171" s="304"/>
      <c r="B171" s="572"/>
      <c r="C171" s="573"/>
      <c r="D171" s="574"/>
      <c r="E171" s="575"/>
      <c r="F171" s="583"/>
      <c r="G171" s="590"/>
      <c r="H171" s="589"/>
      <c r="I171" s="585"/>
      <c r="J171" s="577"/>
    </row>
    <row r="172" spans="1:10" ht="31.5" x14ac:dyDescent="0.45">
      <c r="A172" s="304"/>
      <c r="B172" s="572"/>
      <c r="C172" s="573"/>
      <c r="D172" s="574"/>
      <c r="E172" s="575"/>
      <c r="F172" s="583"/>
      <c r="G172" s="590"/>
      <c r="H172" s="589"/>
      <c r="I172" s="585"/>
      <c r="J172" s="577"/>
    </row>
    <row r="173" spans="1:10" ht="31.5" x14ac:dyDescent="0.45">
      <c r="A173" s="304"/>
      <c r="B173" s="572"/>
      <c r="C173" s="573"/>
      <c r="D173" s="574"/>
      <c r="E173" s="575"/>
      <c r="F173" s="583"/>
      <c r="G173" s="590"/>
      <c r="H173" s="589"/>
      <c r="I173" s="585"/>
      <c r="J173" s="577"/>
    </row>
    <row r="174" spans="1:10" ht="31.5" x14ac:dyDescent="0.45">
      <c r="A174" s="304"/>
      <c r="B174" s="572"/>
      <c r="C174" s="573"/>
      <c r="D174" s="574"/>
      <c r="E174" s="575"/>
      <c r="F174" s="583"/>
      <c r="G174" s="590"/>
      <c r="H174" s="589"/>
      <c r="I174" s="585"/>
      <c r="J174" s="577"/>
    </row>
    <row r="175" spans="1:10" ht="32.25" thickBot="1" x14ac:dyDescent="0.5">
      <c r="A175" s="306"/>
      <c r="B175" s="578"/>
      <c r="C175" s="579"/>
      <c r="D175" s="580"/>
      <c r="E175" s="581"/>
      <c r="F175" s="584"/>
      <c r="G175" s="591"/>
      <c r="H175" s="592"/>
      <c r="I175" s="586"/>
      <c r="J175" s="582"/>
    </row>
    <row r="176" spans="1:10" ht="24.75" thickTop="1" thickBot="1" x14ac:dyDescent="0.3">
      <c r="A176" s="334"/>
      <c r="B176" s="335"/>
      <c r="C176" s="335"/>
      <c r="D176" s="600"/>
      <c r="E176" s="601"/>
      <c r="F176" s="334"/>
      <c r="G176" s="337"/>
      <c r="H176" s="337"/>
      <c r="I176" s="602"/>
      <c r="J176" s="337"/>
    </row>
    <row r="177" spans="1:10" ht="32.25" thickTop="1" x14ac:dyDescent="0.45">
      <c r="A177" s="333"/>
      <c r="B177" s="593"/>
      <c r="C177" s="594"/>
      <c r="D177" s="595"/>
      <c r="E177" s="596"/>
      <c r="F177" s="597"/>
      <c r="G177" s="598"/>
      <c r="H177" s="587"/>
      <c r="I177" s="599"/>
      <c r="J177" s="576"/>
    </row>
    <row r="178" spans="1:10" ht="31.5" x14ac:dyDescent="0.45">
      <c r="A178" s="304"/>
      <c r="B178" s="572"/>
      <c r="C178" s="573"/>
      <c r="D178" s="574"/>
      <c r="E178" s="575"/>
      <c r="F178" s="583"/>
      <c r="G178" s="588"/>
      <c r="H178" s="589"/>
      <c r="I178" s="585"/>
      <c r="J178" s="577"/>
    </row>
    <row r="179" spans="1:10" ht="31.5" x14ac:dyDescent="0.45">
      <c r="A179" s="304"/>
      <c r="B179" s="572"/>
      <c r="C179" s="573"/>
      <c r="D179" s="574"/>
      <c r="E179" s="575"/>
      <c r="F179" s="583"/>
      <c r="G179" s="588"/>
      <c r="H179" s="589"/>
      <c r="I179" s="585"/>
      <c r="J179" s="577"/>
    </row>
    <row r="180" spans="1:10" ht="31.5" x14ac:dyDescent="0.45">
      <c r="A180" s="304"/>
      <c r="B180" s="572"/>
      <c r="C180" s="573"/>
      <c r="D180" s="574"/>
      <c r="E180" s="575"/>
      <c r="F180" s="583"/>
      <c r="G180" s="588"/>
      <c r="H180" s="589"/>
      <c r="I180" s="585"/>
      <c r="J180" s="577"/>
    </row>
    <row r="181" spans="1:10" ht="31.5" x14ac:dyDescent="0.45">
      <c r="A181" s="304"/>
      <c r="B181" s="572"/>
      <c r="C181" s="573"/>
      <c r="D181" s="574"/>
      <c r="E181" s="575"/>
      <c r="F181" s="583"/>
      <c r="G181" s="588"/>
      <c r="H181" s="589"/>
      <c r="I181" s="585"/>
      <c r="J181" s="577"/>
    </row>
    <row r="182" spans="1:10" ht="31.5" x14ac:dyDescent="0.45">
      <c r="A182" s="305"/>
      <c r="B182" s="572"/>
      <c r="C182" s="573"/>
      <c r="D182" s="574"/>
      <c r="E182" s="575"/>
      <c r="F182" s="583"/>
      <c r="G182" s="588"/>
      <c r="H182" s="589"/>
      <c r="I182" s="585"/>
      <c r="J182" s="577"/>
    </row>
    <row r="183" spans="1:10" ht="31.5" x14ac:dyDescent="0.45">
      <c r="A183" s="304"/>
      <c r="B183" s="572"/>
      <c r="C183" s="573"/>
      <c r="D183" s="574"/>
      <c r="E183" s="575"/>
      <c r="F183" s="583"/>
      <c r="G183" s="590"/>
      <c r="H183" s="589"/>
      <c r="I183" s="585"/>
      <c r="J183" s="577"/>
    </row>
    <row r="184" spans="1:10" ht="31.5" x14ac:dyDescent="0.45">
      <c r="A184" s="304"/>
      <c r="B184" s="572"/>
      <c r="C184" s="573"/>
      <c r="D184" s="574"/>
      <c r="E184" s="575"/>
      <c r="F184" s="583"/>
      <c r="G184" s="590"/>
      <c r="H184" s="589"/>
      <c r="I184" s="585"/>
      <c r="J184" s="577"/>
    </row>
    <row r="185" spans="1:10" ht="31.5" x14ac:dyDescent="0.45">
      <c r="A185" s="304"/>
      <c r="B185" s="572"/>
      <c r="C185" s="573"/>
      <c r="D185" s="574"/>
      <c r="E185" s="575"/>
      <c r="F185" s="583"/>
      <c r="G185" s="590"/>
      <c r="H185" s="589"/>
      <c r="I185" s="585"/>
      <c r="J185" s="577"/>
    </row>
    <row r="186" spans="1:10" ht="31.5" x14ac:dyDescent="0.45">
      <c r="A186" s="304"/>
      <c r="B186" s="572"/>
      <c r="C186" s="573"/>
      <c r="D186" s="574"/>
      <c r="E186" s="575"/>
      <c r="F186" s="583"/>
      <c r="G186" s="590"/>
      <c r="H186" s="589"/>
      <c r="I186" s="585"/>
      <c r="J186" s="577"/>
    </row>
    <row r="187" spans="1:10" ht="31.5" x14ac:dyDescent="0.45">
      <c r="A187" s="304"/>
      <c r="B187" s="572"/>
      <c r="C187" s="573"/>
      <c r="D187" s="574"/>
      <c r="E187" s="575"/>
      <c r="F187" s="583"/>
      <c r="G187" s="590"/>
      <c r="H187" s="589"/>
      <c r="I187" s="585"/>
      <c r="J187" s="577"/>
    </row>
    <row r="188" spans="1:10" ht="31.5" x14ac:dyDescent="0.45">
      <c r="A188" s="304"/>
      <c r="B188" s="572"/>
      <c r="C188" s="573"/>
      <c r="D188" s="574"/>
      <c r="E188" s="575"/>
      <c r="F188" s="583"/>
      <c r="G188" s="590"/>
      <c r="H188" s="589"/>
      <c r="I188" s="585"/>
      <c r="J188" s="577"/>
    </row>
    <row r="189" spans="1:10" ht="31.5" x14ac:dyDescent="0.45">
      <c r="A189" s="304"/>
      <c r="B189" s="572"/>
      <c r="C189" s="573"/>
      <c r="D189" s="574"/>
      <c r="E189" s="575"/>
      <c r="F189" s="583"/>
      <c r="G189" s="590"/>
      <c r="H189" s="589"/>
      <c r="I189" s="585"/>
      <c r="J189" s="577"/>
    </row>
    <row r="190" spans="1:10" ht="31.5" x14ac:dyDescent="0.45">
      <c r="A190" s="304"/>
      <c r="B190" s="572"/>
      <c r="C190" s="573"/>
      <c r="D190" s="574"/>
      <c r="E190" s="575"/>
      <c r="F190" s="583"/>
      <c r="G190" s="590"/>
      <c r="H190" s="589"/>
      <c r="I190" s="585"/>
      <c r="J190" s="577"/>
    </row>
    <row r="191" spans="1:10" ht="31.5" x14ac:dyDescent="0.45">
      <c r="A191" s="304"/>
      <c r="B191" s="572"/>
      <c r="C191" s="573"/>
      <c r="D191" s="574"/>
      <c r="E191" s="575"/>
      <c r="F191" s="583"/>
      <c r="G191" s="590"/>
      <c r="H191" s="589"/>
      <c r="I191" s="585"/>
      <c r="J191" s="577"/>
    </row>
    <row r="192" spans="1:10" ht="31.5" x14ac:dyDescent="0.45">
      <c r="A192" s="304"/>
      <c r="B192" s="572"/>
      <c r="C192" s="573"/>
      <c r="D192" s="574"/>
      <c r="E192" s="575"/>
      <c r="F192" s="583"/>
      <c r="G192" s="590"/>
      <c r="H192" s="589"/>
      <c r="I192" s="585"/>
      <c r="J192" s="577"/>
    </row>
    <row r="193" spans="1:10" ht="31.5" x14ac:dyDescent="0.45">
      <c r="A193" s="304"/>
      <c r="B193" s="572"/>
      <c r="C193" s="573"/>
      <c r="D193" s="574"/>
      <c r="E193" s="575"/>
      <c r="F193" s="583"/>
      <c r="G193" s="590"/>
      <c r="H193" s="589"/>
      <c r="I193" s="585"/>
      <c r="J193" s="577"/>
    </row>
    <row r="194" spans="1:10" ht="31.5" x14ac:dyDescent="0.45">
      <c r="A194" s="304"/>
      <c r="B194" s="572"/>
      <c r="C194" s="573"/>
      <c r="D194" s="574"/>
      <c r="E194" s="575"/>
      <c r="F194" s="583"/>
      <c r="G194" s="590"/>
      <c r="H194" s="589"/>
      <c r="I194" s="585"/>
      <c r="J194" s="577"/>
    </row>
    <row r="195" spans="1:10" ht="31.5" x14ac:dyDescent="0.45">
      <c r="A195" s="304"/>
      <c r="B195" s="572"/>
      <c r="C195" s="573"/>
      <c r="D195" s="574"/>
      <c r="E195" s="575"/>
      <c r="F195" s="583"/>
      <c r="G195" s="590"/>
      <c r="H195" s="589"/>
      <c r="I195" s="585"/>
      <c r="J195" s="577"/>
    </row>
    <row r="196" spans="1:10" ht="31.5" x14ac:dyDescent="0.45">
      <c r="A196" s="304"/>
      <c r="B196" s="572"/>
      <c r="C196" s="573"/>
      <c r="D196" s="574"/>
      <c r="E196" s="575"/>
      <c r="F196" s="583"/>
      <c r="G196" s="590"/>
      <c r="H196" s="589"/>
      <c r="I196" s="585"/>
      <c r="J196" s="577"/>
    </row>
    <row r="197" spans="1:10" ht="31.5" x14ac:dyDescent="0.45">
      <c r="A197" s="304"/>
      <c r="B197" s="572"/>
      <c r="C197" s="573"/>
      <c r="D197" s="574"/>
      <c r="E197" s="575"/>
      <c r="F197" s="583"/>
      <c r="G197" s="590"/>
      <c r="H197" s="589"/>
      <c r="I197" s="585"/>
      <c r="J197" s="577"/>
    </row>
    <row r="198" spans="1:10" ht="31.5" x14ac:dyDescent="0.45">
      <c r="A198" s="304"/>
      <c r="B198" s="572"/>
      <c r="C198" s="573"/>
      <c r="D198" s="574"/>
      <c r="E198" s="575"/>
      <c r="F198" s="583"/>
      <c r="G198" s="590"/>
      <c r="H198" s="589"/>
      <c r="I198" s="585"/>
      <c r="J198" s="577"/>
    </row>
    <row r="199" spans="1:10" ht="31.5" x14ac:dyDescent="0.45">
      <c r="A199" s="304"/>
      <c r="B199" s="572"/>
      <c r="C199" s="573"/>
      <c r="D199" s="574"/>
      <c r="E199" s="575"/>
      <c r="F199" s="583"/>
      <c r="G199" s="590"/>
      <c r="H199" s="589"/>
      <c r="I199" s="585"/>
      <c r="J199" s="577"/>
    </row>
    <row r="200" spans="1:10" ht="31.5" x14ac:dyDescent="0.45">
      <c r="A200" s="304"/>
      <c r="B200" s="572"/>
      <c r="C200" s="573"/>
      <c r="D200" s="574"/>
      <c r="E200" s="575"/>
      <c r="F200" s="583"/>
      <c r="G200" s="590"/>
      <c r="H200" s="589"/>
      <c r="I200" s="585"/>
      <c r="J200" s="577"/>
    </row>
    <row r="201" spans="1:10" ht="31.5" x14ac:dyDescent="0.45">
      <c r="A201" s="304"/>
      <c r="B201" s="572"/>
      <c r="C201" s="573"/>
      <c r="D201" s="574"/>
      <c r="E201" s="575"/>
      <c r="F201" s="583"/>
      <c r="G201" s="590"/>
      <c r="H201" s="589"/>
      <c r="I201" s="585"/>
      <c r="J201" s="577"/>
    </row>
    <row r="202" spans="1:10" ht="31.5" x14ac:dyDescent="0.45">
      <c r="A202" s="304"/>
      <c r="B202" s="572"/>
      <c r="C202" s="573"/>
      <c r="D202" s="574"/>
      <c r="E202" s="575"/>
      <c r="F202" s="583"/>
      <c r="G202" s="590"/>
      <c r="H202" s="589"/>
      <c r="I202" s="585"/>
      <c r="J202" s="577"/>
    </row>
    <row r="203" spans="1:10" ht="31.5" x14ac:dyDescent="0.45">
      <c r="A203" s="304"/>
      <c r="B203" s="572"/>
      <c r="C203" s="573"/>
      <c r="D203" s="574"/>
      <c r="E203" s="575"/>
      <c r="F203" s="583"/>
      <c r="G203" s="590"/>
      <c r="H203" s="589"/>
      <c r="I203" s="585"/>
      <c r="J203" s="577"/>
    </row>
    <row r="204" spans="1:10" ht="32.25" thickBot="1" x14ac:dyDescent="0.5">
      <c r="A204" s="306"/>
      <c r="B204" s="578"/>
      <c r="C204" s="579"/>
      <c r="D204" s="580"/>
      <c r="E204" s="581"/>
      <c r="F204" s="584"/>
      <c r="G204" s="591"/>
      <c r="H204" s="592"/>
      <c r="I204" s="586"/>
      <c r="J204" s="582"/>
    </row>
    <row r="205" spans="1:10" ht="24.75" thickTop="1" thickBot="1" x14ac:dyDescent="0.3">
      <c r="A205" s="334"/>
      <c r="B205" s="335"/>
      <c r="C205" s="335"/>
      <c r="D205" s="600"/>
      <c r="E205" s="601"/>
      <c r="F205" s="334"/>
      <c r="G205" s="337"/>
      <c r="H205" s="337"/>
      <c r="I205" s="602"/>
      <c r="J205" s="337"/>
    </row>
    <row r="206" spans="1:10" ht="32.25" thickTop="1" x14ac:dyDescent="0.45">
      <c r="A206" s="333"/>
      <c r="B206" s="593"/>
      <c r="C206" s="594"/>
      <c r="D206" s="595"/>
      <c r="E206" s="596"/>
      <c r="F206" s="597"/>
      <c r="G206" s="598"/>
      <c r="H206" s="587"/>
      <c r="I206" s="599"/>
      <c r="J206" s="576"/>
    </row>
    <row r="207" spans="1:10" ht="31.5" x14ac:dyDescent="0.45">
      <c r="A207" s="304"/>
      <c r="B207" s="572"/>
      <c r="C207" s="573"/>
      <c r="D207" s="574"/>
      <c r="E207" s="575"/>
      <c r="F207" s="583"/>
      <c r="G207" s="588"/>
      <c r="H207" s="589"/>
      <c r="I207" s="585"/>
      <c r="J207" s="577"/>
    </row>
    <row r="208" spans="1:10" ht="31.5" x14ac:dyDescent="0.45">
      <c r="A208" s="304"/>
      <c r="B208" s="572"/>
      <c r="C208" s="573"/>
      <c r="D208" s="574"/>
      <c r="E208" s="575"/>
      <c r="F208" s="583"/>
      <c r="G208" s="588"/>
      <c r="H208" s="589"/>
      <c r="I208" s="585"/>
      <c r="J208" s="577"/>
    </row>
    <row r="209" spans="1:10" ht="31.5" x14ac:dyDescent="0.45">
      <c r="A209" s="304"/>
      <c r="B209" s="572"/>
      <c r="C209" s="573"/>
      <c r="D209" s="574"/>
      <c r="E209" s="575"/>
      <c r="F209" s="583"/>
      <c r="G209" s="588"/>
      <c r="H209" s="589"/>
      <c r="I209" s="585"/>
      <c r="J209" s="577"/>
    </row>
    <row r="210" spans="1:10" ht="31.5" x14ac:dyDescent="0.45">
      <c r="A210" s="304"/>
      <c r="B210" s="572"/>
      <c r="C210" s="573"/>
      <c r="D210" s="574"/>
      <c r="E210" s="575"/>
      <c r="F210" s="583"/>
      <c r="G210" s="588"/>
      <c r="H210" s="589"/>
      <c r="I210" s="585"/>
      <c r="J210" s="577"/>
    </row>
    <row r="211" spans="1:10" ht="31.5" x14ac:dyDescent="0.45">
      <c r="A211" s="305"/>
      <c r="B211" s="572"/>
      <c r="C211" s="573"/>
      <c r="D211" s="574"/>
      <c r="E211" s="575"/>
      <c r="F211" s="583"/>
      <c r="G211" s="588"/>
      <c r="H211" s="589"/>
      <c r="I211" s="585"/>
      <c r="J211" s="577"/>
    </row>
    <row r="212" spans="1:10" ht="31.5" x14ac:dyDescent="0.45">
      <c r="A212" s="304"/>
      <c r="B212" s="572"/>
      <c r="C212" s="573"/>
      <c r="D212" s="574"/>
      <c r="E212" s="575"/>
      <c r="F212" s="583"/>
      <c r="G212" s="590"/>
      <c r="H212" s="589"/>
      <c r="I212" s="585"/>
      <c r="J212" s="577"/>
    </row>
    <row r="213" spans="1:10" ht="31.5" x14ac:dyDescent="0.45">
      <c r="A213" s="304"/>
      <c r="B213" s="572"/>
      <c r="C213" s="573"/>
      <c r="D213" s="574"/>
      <c r="E213" s="575"/>
      <c r="F213" s="583"/>
      <c r="G213" s="590"/>
      <c r="H213" s="589"/>
      <c r="I213" s="585"/>
      <c r="J213" s="577"/>
    </row>
    <row r="214" spans="1:10" ht="31.5" x14ac:dyDescent="0.45">
      <c r="A214" s="304"/>
      <c r="B214" s="572"/>
      <c r="C214" s="573"/>
      <c r="D214" s="574"/>
      <c r="E214" s="575"/>
      <c r="F214" s="583"/>
      <c r="G214" s="590"/>
      <c r="H214" s="589"/>
      <c r="I214" s="585"/>
      <c r="J214" s="577"/>
    </row>
    <row r="215" spans="1:10" ht="31.5" x14ac:dyDescent="0.45">
      <c r="A215" s="304"/>
      <c r="B215" s="572"/>
      <c r="C215" s="573"/>
      <c r="D215" s="574"/>
      <c r="E215" s="575"/>
      <c r="F215" s="583"/>
      <c r="G215" s="590"/>
      <c r="H215" s="589"/>
      <c r="I215" s="585"/>
      <c r="J215" s="577"/>
    </row>
    <row r="216" spans="1:10" ht="31.5" x14ac:dyDescent="0.45">
      <c r="A216" s="304"/>
      <c r="B216" s="572"/>
      <c r="C216" s="573"/>
      <c r="D216" s="574"/>
      <c r="E216" s="575"/>
      <c r="F216" s="583"/>
      <c r="G216" s="590"/>
      <c r="H216" s="589"/>
      <c r="I216" s="585"/>
      <c r="J216" s="577"/>
    </row>
    <row r="217" spans="1:10" ht="31.5" x14ac:dyDescent="0.45">
      <c r="A217" s="304"/>
      <c r="B217" s="572"/>
      <c r="C217" s="573"/>
      <c r="D217" s="574"/>
      <c r="E217" s="575"/>
      <c r="F217" s="583"/>
      <c r="G217" s="590"/>
      <c r="H217" s="589"/>
      <c r="I217" s="585"/>
      <c r="J217" s="577"/>
    </row>
    <row r="218" spans="1:10" ht="31.5" x14ac:dyDescent="0.45">
      <c r="A218" s="304"/>
      <c r="B218" s="572"/>
      <c r="C218" s="573"/>
      <c r="D218" s="574"/>
      <c r="E218" s="575"/>
      <c r="F218" s="583"/>
      <c r="G218" s="590"/>
      <c r="H218" s="589"/>
      <c r="I218" s="585"/>
      <c r="J218" s="577"/>
    </row>
    <row r="219" spans="1:10" ht="31.5" x14ac:dyDescent="0.45">
      <c r="A219" s="304"/>
      <c r="B219" s="572"/>
      <c r="C219" s="573"/>
      <c r="D219" s="574"/>
      <c r="E219" s="575"/>
      <c r="F219" s="583"/>
      <c r="G219" s="590"/>
      <c r="H219" s="589"/>
      <c r="I219" s="585"/>
      <c r="J219" s="577"/>
    </row>
    <row r="220" spans="1:10" ht="31.5" x14ac:dyDescent="0.45">
      <c r="A220" s="304"/>
      <c r="B220" s="572"/>
      <c r="C220" s="573"/>
      <c r="D220" s="574"/>
      <c r="E220" s="575"/>
      <c r="F220" s="583"/>
      <c r="G220" s="590"/>
      <c r="H220" s="589"/>
      <c r="I220" s="585"/>
      <c r="J220" s="577"/>
    </row>
    <row r="221" spans="1:10" ht="31.5" x14ac:dyDescent="0.45">
      <c r="A221" s="304"/>
      <c r="B221" s="572"/>
      <c r="C221" s="573"/>
      <c r="D221" s="574"/>
      <c r="E221" s="575"/>
      <c r="F221" s="583"/>
      <c r="G221" s="590"/>
      <c r="H221" s="589"/>
      <c r="I221" s="585"/>
      <c r="J221" s="577"/>
    </row>
    <row r="222" spans="1:10" ht="31.5" x14ac:dyDescent="0.45">
      <c r="A222" s="304"/>
      <c r="B222" s="572"/>
      <c r="C222" s="573"/>
      <c r="D222" s="574"/>
      <c r="E222" s="575"/>
      <c r="F222" s="583"/>
      <c r="G222" s="590"/>
      <c r="H222" s="589"/>
      <c r="I222" s="585"/>
      <c r="J222" s="577"/>
    </row>
    <row r="223" spans="1:10" ht="31.5" x14ac:dyDescent="0.45">
      <c r="A223" s="304"/>
      <c r="B223" s="572"/>
      <c r="C223" s="573"/>
      <c r="D223" s="574"/>
      <c r="E223" s="575"/>
      <c r="F223" s="583"/>
      <c r="G223" s="590"/>
      <c r="H223" s="589"/>
      <c r="I223" s="585"/>
      <c r="J223" s="577"/>
    </row>
    <row r="224" spans="1:10" ht="31.5" x14ac:dyDescent="0.45">
      <c r="A224" s="304"/>
      <c r="B224" s="572"/>
      <c r="C224" s="573"/>
      <c r="D224" s="574"/>
      <c r="E224" s="575"/>
      <c r="F224" s="583"/>
      <c r="G224" s="590"/>
      <c r="H224" s="589"/>
      <c r="I224" s="585"/>
      <c r="J224" s="577"/>
    </row>
    <row r="225" spans="1:10" ht="31.5" x14ac:dyDescent="0.45">
      <c r="A225" s="304"/>
      <c r="B225" s="572"/>
      <c r="C225" s="573"/>
      <c r="D225" s="574"/>
      <c r="E225" s="575"/>
      <c r="F225" s="583"/>
      <c r="G225" s="590"/>
      <c r="H225" s="589"/>
      <c r="I225" s="585"/>
      <c r="J225" s="577"/>
    </row>
    <row r="226" spans="1:10" ht="31.5" x14ac:dyDescent="0.45">
      <c r="A226" s="304"/>
      <c r="B226" s="572"/>
      <c r="C226" s="573"/>
      <c r="D226" s="574"/>
      <c r="E226" s="575"/>
      <c r="F226" s="583"/>
      <c r="G226" s="590"/>
      <c r="H226" s="589"/>
      <c r="I226" s="585"/>
      <c r="J226" s="577"/>
    </row>
    <row r="227" spans="1:10" ht="31.5" x14ac:dyDescent="0.45">
      <c r="A227" s="304"/>
      <c r="B227" s="572"/>
      <c r="C227" s="573"/>
      <c r="D227" s="574"/>
      <c r="E227" s="575"/>
      <c r="F227" s="583"/>
      <c r="G227" s="590"/>
      <c r="H227" s="589"/>
      <c r="I227" s="585"/>
      <c r="J227" s="577"/>
    </row>
    <row r="228" spans="1:10" ht="31.5" x14ac:dyDescent="0.45">
      <c r="A228" s="304"/>
      <c r="B228" s="572"/>
      <c r="C228" s="573"/>
      <c r="D228" s="574"/>
      <c r="E228" s="575"/>
      <c r="F228" s="583"/>
      <c r="G228" s="590"/>
      <c r="H228" s="589"/>
      <c r="I228" s="585"/>
      <c r="J228" s="577"/>
    </row>
    <row r="229" spans="1:10" ht="31.5" x14ac:dyDescent="0.45">
      <c r="A229" s="304"/>
      <c r="B229" s="572"/>
      <c r="C229" s="573"/>
      <c r="D229" s="574"/>
      <c r="E229" s="575"/>
      <c r="F229" s="583"/>
      <c r="G229" s="590"/>
      <c r="H229" s="589"/>
      <c r="I229" s="585"/>
      <c r="J229" s="577"/>
    </row>
    <row r="230" spans="1:10" ht="31.5" x14ac:dyDescent="0.45">
      <c r="A230" s="304"/>
      <c r="B230" s="572"/>
      <c r="C230" s="573"/>
      <c r="D230" s="574"/>
      <c r="E230" s="575"/>
      <c r="F230" s="583"/>
      <c r="G230" s="590"/>
      <c r="H230" s="589"/>
      <c r="I230" s="585"/>
      <c r="J230" s="577"/>
    </row>
    <row r="231" spans="1:10" ht="31.5" x14ac:dyDescent="0.45">
      <c r="A231" s="304"/>
      <c r="B231" s="572"/>
      <c r="C231" s="573"/>
      <c r="D231" s="574"/>
      <c r="E231" s="575"/>
      <c r="F231" s="583"/>
      <c r="G231" s="590"/>
      <c r="H231" s="589"/>
      <c r="I231" s="585"/>
      <c r="J231" s="577"/>
    </row>
    <row r="232" spans="1:10" ht="31.5" x14ac:dyDescent="0.45">
      <c r="A232" s="304"/>
      <c r="B232" s="572"/>
      <c r="C232" s="573"/>
      <c r="D232" s="574"/>
      <c r="E232" s="575"/>
      <c r="F232" s="583"/>
      <c r="G232" s="590"/>
      <c r="H232" s="589"/>
      <c r="I232" s="585"/>
      <c r="J232" s="577"/>
    </row>
    <row r="233" spans="1:10" ht="32.25" thickBot="1" x14ac:dyDescent="0.5">
      <c r="A233" s="306"/>
      <c r="B233" s="578"/>
      <c r="C233" s="579"/>
      <c r="D233" s="580"/>
      <c r="E233" s="581"/>
      <c r="F233" s="584"/>
      <c r="G233" s="591"/>
      <c r="H233" s="592"/>
      <c r="I233" s="586"/>
      <c r="J233" s="582"/>
    </row>
    <row r="234" spans="1:10" ht="24.75" thickTop="1" thickBot="1" x14ac:dyDescent="0.3">
      <c r="A234" s="334"/>
      <c r="B234" s="335"/>
      <c r="C234" s="335"/>
      <c r="D234" s="600"/>
      <c r="E234" s="601"/>
      <c r="F234" s="334"/>
      <c r="G234" s="337"/>
      <c r="H234" s="337"/>
      <c r="I234" s="602"/>
      <c r="J234" s="337"/>
    </row>
    <row r="235" spans="1:10" ht="32.25" thickTop="1" x14ac:dyDescent="0.45">
      <c r="A235" s="333"/>
      <c r="B235" s="593"/>
      <c r="C235" s="594"/>
      <c r="D235" s="595"/>
      <c r="E235" s="596"/>
      <c r="F235" s="597"/>
      <c r="G235" s="598"/>
      <c r="H235" s="587"/>
      <c r="I235" s="599"/>
      <c r="J235" s="576"/>
    </row>
    <row r="236" spans="1:10" ht="31.5" x14ac:dyDescent="0.45">
      <c r="A236" s="304"/>
      <c r="B236" s="572"/>
      <c r="C236" s="573"/>
      <c r="D236" s="574"/>
      <c r="E236" s="575"/>
      <c r="F236" s="583"/>
      <c r="G236" s="588"/>
      <c r="H236" s="589"/>
      <c r="I236" s="585"/>
      <c r="J236" s="577"/>
    </row>
    <row r="237" spans="1:10" ht="31.5" x14ac:dyDescent="0.45">
      <c r="A237" s="304"/>
      <c r="B237" s="572"/>
      <c r="C237" s="573"/>
      <c r="D237" s="574"/>
      <c r="E237" s="575"/>
      <c r="F237" s="583"/>
      <c r="G237" s="588"/>
      <c r="H237" s="589"/>
      <c r="I237" s="585"/>
      <c r="J237" s="577"/>
    </row>
    <row r="238" spans="1:10" ht="31.5" x14ac:dyDescent="0.45">
      <c r="A238" s="304"/>
      <c r="B238" s="572"/>
      <c r="C238" s="573"/>
      <c r="D238" s="574"/>
      <c r="E238" s="575"/>
      <c r="F238" s="583"/>
      <c r="G238" s="588"/>
      <c r="H238" s="589"/>
      <c r="I238" s="585"/>
      <c r="J238" s="577"/>
    </row>
    <row r="239" spans="1:10" ht="31.5" x14ac:dyDescent="0.45">
      <c r="A239" s="304"/>
      <c r="B239" s="572"/>
      <c r="C239" s="573"/>
      <c r="D239" s="574"/>
      <c r="E239" s="575"/>
      <c r="F239" s="583"/>
      <c r="G239" s="588"/>
      <c r="H239" s="589"/>
      <c r="I239" s="585"/>
      <c r="J239" s="577"/>
    </row>
    <row r="240" spans="1:10" ht="31.5" x14ac:dyDescent="0.45">
      <c r="A240" s="305"/>
      <c r="B240" s="572"/>
      <c r="C240" s="573"/>
      <c r="D240" s="574"/>
      <c r="E240" s="575"/>
      <c r="F240" s="583"/>
      <c r="G240" s="588"/>
      <c r="H240" s="589"/>
      <c r="I240" s="585"/>
      <c r="J240" s="577"/>
    </row>
    <row r="241" spans="1:10" ht="31.5" x14ac:dyDescent="0.45">
      <c r="A241" s="304"/>
      <c r="B241" s="572"/>
      <c r="C241" s="573"/>
      <c r="D241" s="574"/>
      <c r="E241" s="575"/>
      <c r="F241" s="583"/>
      <c r="G241" s="590"/>
      <c r="H241" s="589"/>
      <c r="I241" s="585"/>
      <c r="J241" s="577"/>
    </row>
    <row r="242" spans="1:10" ht="31.5" x14ac:dyDescent="0.45">
      <c r="A242" s="304"/>
      <c r="B242" s="572"/>
      <c r="C242" s="573"/>
      <c r="D242" s="574"/>
      <c r="E242" s="575"/>
      <c r="F242" s="583"/>
      <c r="G242" s="590"/>
      <c r="H242" s="589"/>
      <c r="I242" s="585"/>
      <c r="J242" s="577"/>
    </row>
    <row r="243" spans="1:10" ht="31.5" x14ac:dyDescent="0.45">
      <c r="A243" s="304"/>
      <c r="B243" s="572"/>
      <c r="C243" s="573"/>
      <c r="D243" s="574"/>
      <c r="E243" s="575"/>
      <c r="F243" s="583"/>
      <c r="G243" s="590"/>
      <c r="H243" s="589"/>
      <c r="I243" s="585"/>
      <c r="J243" s="577"/>
    </row>
    <row r="244" spans="1:10" ht="31.5" x14ac:dyDescent="0.45">
      <c r="A244" s="304"/>
      <c r="B244" s="572"/>
      <c r="C244" s="573"/>
      <c r="D244" s="574"/>
      <c r="E244" s="575"/>
      <c r="F244" s="583"/>
      <c r="G244" s="590"/>
      <c r="H244" s="589"/>
      <c r="I244" s="585"/>
      <c r="J244" s="577"/>
    </row>
    <row r="245" spans="1:10" ht="31.5" x14ac:dyDescent="0.45">
      <c r="A245" s="304"/>
      <c r="B245" s="572"/>
      <c r="C245" s="573"/>
      <c r="D245" s="574"/>
      <c r="E245" s="575"/>
      <c r="F245" s="583"/>
      <c r="G245" s="590"/>
      <c r="H245" s="589"/>
      <c r="I245" s="585"/>
      <c r="J245" s="577"/>
    </row>
    <row r="246" spans="1:10" ht="31.5" x14ac:dyDescent="0.45">
      <c r="A246" s="304"/>
      <c r="B246" s="572"/>
      <c r="C246" s="573"/>
      <c r="D246" s="574"/>
      <c r="E246" s="575"/>
      <c r="F246" s="583"/>
      <c r="G246" s="590"/>
      <c r="H246" s="589"/>
      <c r="I246" s="585"/>
      <c r="J246" s="577"/>
    </row>
    <row r="247" spans="1:10" ht="31.5" x14ac:dyDescent="0.45">
      <c r="A247" s="304"/>
      <c r="B247" s="572"/>
      <c r="C247" s="573"/>
      <c r="D247" s="574"/>
      <c r="E247" s="575"/>
      <c r="F247" s="583"/>
      <c r="G247" s="590"/>
      <c r="H247" s="589"/>
      <c r="I247" s="585"/>
      <c r="J247" s="577"/>
    </row>
    <row r="248" spans="1:10" ht="31.5" x14ac:dyDescent="0.45">
      <c r="A248" s="304"/>
      <c r="B248" s="572"/>
      <c r="C248" s="573"/>
      <c r="D248" s="574"/>
      <c r="E248" s="575"/>
      <c r="F248" s="583"/>
      <c r="G248" s="590"/>
      <c r="H248" s="589"/>
      <c r="I248" s="585"/>
      <c r="J248" s="577"/>
    </row>
    <row r="249" spans="1:10" ht="31.5" x14ac:dyDescent="0.45">
      <c r="A249" s="304"/>
      <c r="B249" s="572"/>
      <c r="C249" s="573"/>
      <c r="D249" s="574"/>
      <c r="E249" s="575"/>
      <c r="F249" s="583"/>
      <c r="G249" s="590"/>
      <c r="H249" s="589"/>
      <c r="I249" s="585"/>
      <c r="J249" s="577"/>
    </row>
    <row r="250" spans="1:10" ht="31.5" x14ac:dyDescent="0.45">
      <c r="A250" s="304"/>
      <c r="B250" s="572"/>
      <c r="C250" s="573"/>
      <c r="D250" s="574"/>
      <c r="E250" s="575"/>
      <c r="F250" s="583"/>
      <c r="G250" s="590"/>
      <c r="H250" s="589"/>
      <c r="I250" s="585"/>
      <c r="J250" s="577"/>
    </row>
    <row r="251" spans="1:10" ht="31.5" x14ac:dyDescent="0.45">
      <c r="A251" s="304"/>
      <c r="B251" s="572"/>
      <c r="C251" s="573"/>
      <c r="D251" s="574"/>
      <c r="E251" s="575"/>
      <c r="F251" s="583"/>
      <c r="G251" s="590"/>
      <c r="H251" s="589"/>
      <c r="I251" s="585"/>
      <c r="J251" s="577"/>
    </row>
    <row r="252" spans="1:10" ht="31.5" x14ac:dyDescent="0.45">
      <c r="A252" s="304"/>
      <c r="B252" s="572"/>
      <c r="C252" s="573"/>
      <c r="D252" s="574"/>
      <c r="E252" s="575"/>
      <c r="F252" s="583"/>
      <c r="G252" s="590"/>
      <c r="H252" s="589"/>
      <c r="I252" s="585"/>
      <c r="J252" s="577"/>
    </row>
    <row r="253" spans="1:10" ht="31.5" x14ac:dyDescent="0.45">
      <c r="A253" s="304"/>
      <c r="B253" s="572"/>
      <c r="C253" s="573"/>
      <c r="D253" s="574"/>
      <c r="E253" s="575"/>
      <c r="F253" s="583"/>
      <c r="G253" s="590"/>
      <c r="H253" s="589"/>
      <c r="I253" s="585"/>
      <c r="J253" s="577"/>
    </row>
    <row r="254" spans="1:10" ht="31.5" x14ac:dyDescent="0.45">
      <c r="A254" s="304"/>
      <c r="B254" s="572"/>
      <c r="C254" s="573"/>
      <c r="D254" s="574"/>
      <c r="E254" s="575"/>
      <c r="F254" s="583"/>
      <c r="G254" s="590"/>
      <c r="H254" s="589"/>
      <c r="I254" s="585"/>
      <c r="J254" s="577"/>
    </row>
    <row r="255" spans="1:10" ht="31.5" x14ac:dyDescent="0.45">
      <c r="A255" s="304"/>
      <c r="B255" s="572"/>
      <c r="C255" s="573"/>
      <c r="D255" s="574"/>
      <c r="E255" s="575"/>
      <c r="F255" s="583"/>
      <c r="G255" s="590"/>
      <c r="H255" s="589"/>
      <c r="I255" s="585"/>
      <c r="J255" s="577"/>
    </row>
    <row r="256" spans="1:10" ht="31.5" x14ac:dyDescent="0.45">
      <c r="A256" s="304"/>
      <c r="B256" s="572"/>
      <c r="C256" s="573"/>
      <c r="D256" s="574"/>
      <c r="E256" s="575"/>
      <c r="F256" s="583"/>
      <c r="G256" s="590"/>
      <c r="H256" s="589"/>
      <c r="I256" s="585"/>
      <c r="J256" s="577"/>
    </row>
    <row r="257" spans="1:10" ht="31.5" x14ac:dyDescent="0.45">
      <c r="A257" s="304"/>
      <c r="B257" s="572"/>
      <c r="C257" s="573"/>
      <c r="D257" s="574"/>
      <c r="E257" s="575"/>
      <c r="F257" s="583"/>
      <c r="G257" s="590"/>
      <c r="H257" s="589"/>
      <c r="I257" s="585"/>
      <c r="J257" s="577"/>
    </row>
    <row r="258" spans="1:10" ht="31.5" x14ac:dyDescent="0.45">
      <c r="A258" s="304"/>
      <c r="B258" s="572"/>
      <c r="C258" s="573"/>
      <c r="D258" s="574"/>
      <c r="E258" s="575"/>
      <c r="F258" s="583"/>
      <c r="G258" s="590"/>
      <c r="H258" s="589"/>
      <c r="I258" s="585"/>
      <c r="J258" s="577"/>
    </row>
    <row r="259" spans="1:10" ht="31.5" x14ac:dyDescent="0.45">
      <c r="A259" s="304"/>
      <c r="B259" s="572"/>
      <c r="C259" s="573"/>
      <c r="D259" s="574"/>
      <c r="E259" s="575"/>
      <c r="F259" s="583"/>
      <c r="G259" s="590"/>
      <c r="H259" s="589"/>
      <c r="I259" s="585"/>
      <c r="J259" s="577"/>
    </row>
    <row r="260" spans="1:10" ht="31.5" x14ac:dyDescent="0.45">
      <c r="A260" s="304"/>
      <c r="B260" s="572"/>
      <c r="C260" s="573"/>
      <c r="D260" s="574"/>
      <c r="E260" s="575"/>
      <c r="F260" s="583"/>
      <c r="G260" s="590"/>
      <c r="H260" s="589"/>
      <c r="I260" s="585"/>
      <c r="J260" s="577"/>
    </row>
    <row r="261" spans="1:10" ht="31.5" x14ac:dyDescent="0.45">
      <c r="A261" s="304"/>
      <c r="B261" s="572"/>
      <c r="C261" s="573"/>
      <c r="D261" s="574"/>
      <c r="E261" s="575"/>
      <c r="F261" s="583"/>
      <c r="G261" s="590"/>
      <c r="H261" s="589"/>
      <c r="I261" s="585"/>
      <c r="J261" s="577"/>
    </row>
    <row r="262" spans="1:10" ht="32.25" thickBot="1" x14ac:dyDescent="0.5">
      <c r="A262" s="306"/>
      <c r="B262" s="578"/>
      <c r="C262" s="579"/>
      <c r="D262" s="580"/>
      <c r="E262" s="581"/>
      <c r="F262" s="584"/>
      <c r="G262" s="591"/>
      <c r="H262" s="592"/>
      <c r="I262" s="586"/>
      <c r="J262" s="582"/>
    </row>
    <row r="263" spans="1:10" ht="24.75" thickTop="1" thickBot="1" x14ac:dyDescent="0.3">
      <c r="A263" s="334"/>
      <c r="B263" s="335"/>
      <c r="C263" s="335"/>
      <c r="D263" s="600"/>
      <c r="E263" s="601"/>
      <c r="F263" s="334"/>
      <c r="G263" s="337"/>
      <c r="H263" s="337"/>
      <c r="I263" s="602"/>
      <c r="J263" s="337"/>
    </row>
    <row r="264" spans="1:10" ht="32.25" thickTop="1" x14ac:dyDescent="0.45">
      <c r="A264" s="333"/>
      <c r="B264" s="593"/>
      <c r="C264" s="594"/>
      <c r="D264" s="595"/>
      <c r="E264" s="596"/>
      <c r="F264" s="597"/>
      <c r="G264" s="598"/>
      <c r="H264" s="587"/>
      <c r="I264" s="599"/>
      <c r="J264" s="576"/>
    </row>
    <row r="265" spans="1:10" ht="31.5" x14ac:dyDescent="0.45">
      <c r="A265" s="304"/>
      <c r="B265" s="572"/>
      <c r="C265" s="573"/>
      <c r="D265" s="574"/>
      <c r="E265" s="575"/>
      <c r="F265" s="583"/>
      <c r="G265" s="588"/>
      <c r="H265" s="589"/>
      <c r="I265" s="585"/>
      <c r="J265" s="577"/>
    </row>
    <row r="266" spans="1:10" ht="31.5" x14ac:dyDescent="0.45">
      <c r="A266" s="304"/>
      <c r="B266" s="572"/>
      <c r="C266" s="573"/>
      <c r="D266" s="574"/>
      <c r="E266" s="575"/>
      <c r="F266" s="583"/>
      <c r="G266" s="588"/>
      <c r="H266" s="589"/>
      <c r="I266" s="585"/>
      <c r="J266" s="577"/>
    </row>
    <row r="267" spans="1:10" ht="31.5" x14ac:dyDescent="0.45">
      <c r="A267" s="304"/>
      <c r="B267" s="572"/>
      <c r="C267" s="573"/>
      <c r="D267" s="574"/>
      <c r="E267" s="575"/>
      <c r="F267" s="583"/>
      <c r="G267" s="588"/>
      <c r="H267" s="589"/>
      <c r="I267" s="585"/>
      <c r="J267" s="577"/>
    </row>
    <row r="268" spans="1:10" ht="31.5" x14ac:dyDescent="0.45">
      <c r="A268" s="304"/>
      <c r="B268" s="572"/>
      <c r="C268" s="573"/>
      <c r="D268" s="574"/>
      <c r="E268" s="575"/>
      <c r="F268" s="583"/>
      <c r="G268" s="588"/>
      <c r="H268" s="589"/>
      <c r="I268" s="585"/>
      <c r="J268" s="577"/>
    </row>
    <row r="269" spans="1:10" ht="31.5" x14ac:dyDescent="0.45">
      <c r="A269" s="305"/>
      <c r="B269" s="572"/>
      <c r="C269" s="573"/>
      <c r="D269" s="574"/>
      <c r="E269" s="575"/>
      <c r="F269" s="583"/>
      <c r="G269" s="588"/>
      <c r="H269" s="589"/>
      <c r="I269" s="585"/>
      <c r="J269" s="577"/>
    </row>
    <row r="270" spans="1:10" ht="31.5" x14ac:dyDescent="0.45">
      <c r="A270" s="304"/>
      <c r="B270" s="572"/>
      <c r="C270" s="573"/>
      <c r="D270" s="574"/>
      <c r="E270" s="575"/>
      <c r="F270" s="583"/>
      <c r="G270" s="590"/>
      <c r="H270" s="589"/>
      <c r="I270" s="585"/>
      <c r="J270" s="577"/>
    </row>
    <row r="271" spans="1:10" ht="31.5" x14ac:dyDescent="0.45">
      <c r="A271" s="304"/>
      <c r="B271" s="572"/>
      <c r="C271" s="573"/>
      <c r="D271" s="574"/>
      <c r="E271" s="575"/>
      <c r="F271" s="583"/>
      <c r="G271" s="590"/>
      <c r="H271" s="589"/>
      <c r="I271" s="585"/>
      <c r="J271" s="577"/>
    </row>
    <row r="272" spans="1:10" ht="31.5" x14ac:dyDescent="0.45">
      <c r="A272" s="304"/>
      <c r="B272" s="572"/>
      <c r="C272" s="573"/>
      <c r="D272" s="574"/>
      <c r="E272" s="575"/>
      <c r="F272" s="583"/>
      <c r="G272" s="590"/>
      <c r="H272" s="589"/>
      <c r="I272" s="585"/>
      <c r="J272" s="577"/>
    </row>
    <row r="273" spans="1:10" ht="31.5" x14ac:dyDescent="0.45">
      <c r="A273" s="304"/>
      <c r="B273" s="572"/>
      <c r="C273" s="573"/>
      <c r="D273" s="574"/>
      <c r="E273" s="575"/>
      <c r="F273" s="583"/>
      <c r="G273" s="590"/>
      <c r="H273" s="589"/>
      <c r="I273" s="585"/>
      <c r="J273" s="577"/>
    </row>
    <row r="274" spans="1:10" ht="31.5" x14ac:dyDescent="0.45">
      <c r="A274" s="304"/>
      <c r="B274" s="572"/>
      <c r="C274" s="573"/>
      <c r="D274" s="574"/>
      <c r="E274" s="575"/>
      <c r="F274" s="583"/>
      <c r="G274" s="590"/>
      <c r="H274" s="589"/>
      <c r="I274" s="585"/>
      <c r="J274" s="577"/>
    </row>
    <row r="275" spans="1:10" ht="31.5" x14ac:dyDescent="0.45">
      <c r="A275" s="304"/>
      <c r="B275" s="572"/>
      <c r="C275" s="573"/>
      <c r="D275" s="574"/>
      <c r="E275" s="575"/>
      <c r="F275" s="583"/>
      <c r="G275" s="590"/>
      <c r="H275" s="589"/>
      <c r="I275" s="585"/>
      <c r="J275" s="577"/>
    </row>
    <row r="276" spans="1:10" ht="31.5" x14ac:dyDescent="0.45">
      <c r="A276" s="304"/>
      <c r="B276" s="572"/>
      <c r="C276" s="573"/>
      <c r="D276" s="574"/>
      <c r="E276" s="575"/>
      <c r="F276" s="583"/>
      <c r="G276" s="590"/>
      <c r="H276" s="589"/>
      <c r="I276" s="585"/>
      <c r="J276" s="577"/>
    </row>
    <row r="277" spans="1:10" ht="31.5" x14ac:dyDescent="0.45">
      <c r="A277" s="304"/>
      <c r="B277" s="572"/>
      <c r="C277" s="573"/>
      <c r="D277" s="574"/>
      <c r="E277" s="575"/>
      <c r="F277" s="583"/>
      <c r="G277" s="590"/>
      <c r="H277" s="589"/>
      <c r="I277" s="585"/>
      <c r="J277" s="577"/>
    </row>
    <row r="278" spans="1:10" ht="31.5" x14ac:dyDescent="0.45">
      <c r="A278" s="304"/>
      <c r="B278" s="572"/>
      <c r="C278" s="573"/>
      <c r="D278" s="574"/>
      <c r="E278" s="575"/>
      <c r="F278" s="583"/>
      <c r="G278" s="590"/>
      <c r="H278" s="589"/>
      <c r="I278" s="585"/>
      <c r="J278" s="577"/>
    </row>
    <row r="279" spans="1:10" ht="31.5" x14ac:dyDescent="0.45">
      <c r="A279" s="304"/>
      <c r="B279" s="572"/>
      <c r="C279" s="573"/>
      <c r="D279" s="574"/>
      <c r="E279" s="575"/>
      <c r="F279" s="583"/>
      <c r="G279" s="590"/>
      <c r="H279" s="589"/>
      <c r="I279" s="585"/>
      <c r="J279" s="577"/>
    </row>
    <row r="280" spans="1:10" ht="31.5" x14ac:dyDescent="0.45">
      <c r="A280" s="304"/>
      <c r="B280" s="572"/>
      <c r="C280" s="573"/>
      <c r="D280" s="574"/>
      <c r="E280" s="575"/>
      <c r="F280" s="583"/>
      <c r="G280" s="590"/>
      <c r="H280" s="589"/>
      <c r="I280" s="585"/>
      <c r="J280" s="577"/>
    </row>
    <row r="281" spans="1:10" ht="31.5" x14ac:dyDescent="0.45">
      <c r="A281" s="304"/>
      <c r="B281" s="572"/>
      <c r="C281" s="573"/>
      <c r="D281" s="574"/>
      <c r="E281" s="575"/>
      <c r="F281" s="583"/>
      <c r="G281" s="590"/>
      <c r="H281" s="589"/>
      <c r="I281" s="585"/>
      <c r="J281" s="577"/>
    </row>
    <row r="282" spans="1:10" ht="31.5" x14ac:dyDescent="0.45">
      <c r="A282" s="304"/>
      <c r="B282" s="572"/>
      <c r="C282" s="573"/>
      <c r="D282" s="574"/>
      <c r="E282" s="575"/>
      <c r="F282" s="583"/>
      <c r="G282" s="590"/>
      <c r="H282" s="589"/>
      <c r="I282" s="585"/>
      <c r="J282" s="577"/>
    </row>
    <row r="283" spans="1:10" ht="31.5" x14ac:dyDescent="0.45">
      <c r="A283" s="304"/>
      <c r="B283" s="572"/>
      <c r="C283" s="573"/>
      <c r="D283" s="574"/>
      <c r="E283" s="575"/>
      <c r="F283" s="583"/>
      <c r="G283" s="590"/>
      <c r="H283" s="589"/>
      <c r="I283" s="585"/>
      <c r="J283" s="577"/>
    </row>
    <row r="284" spans="1:10" ht="31.5" x14ac:dyDescent="0.45">
      <c r="A284" s="304"/>
      <c r="B284" s="572"/>
      <c r="C284" s="573"/>
      <c r="D284" s="574"/>
      <c r="E284" s="575"/>
      <c r="F284" s="583"/>
      <c r="G284" s="590"/>
      <c r="H284" s="589"/>
      <c r="I284" s="585"/>
      <c r="J284" s="577"/>
    </row>
    <row r="285" spans="1:10" ht="31.5" x14ac:dyDescent="0.45">
      <c r="A285" s="304"/>
      <c r="B285" s="572"/>
      <c r="C285" s="573"/>
      <c r="D285" s="574"/>
      <c r="E285" s="575"/>
      <c r="F285" s="583"/>
      <c r="G285" s="590"/>
      <c r="H285" s="589"/>
      <c r="I285" s="585"/>
      <c r="J285" s="577"/>
    </row>
    <row r="286" spans="1:10" ht="31.5" x14ac:dyDescent="0.45">
      <c r="A286" s="304"/>
      <c r="B286" s="572"/>
      <c r="C286" s="573"/>
      <c r="D286" s="574"/>
      <c r="E286" s="575"/>
      <c r="F286" s="583"/>
      <c r="G286" s="590"/>
      <c r="H286" s="589"/>
      <c r="I286" s="585"/>
      <c r="J286" s="577"/>
    </row>
    <row r="287" spans="1:10" ht="31.5" x14ac:dyDescent="0.45">
      <c r="A287" s="304"/>
      <c r="B287" s="572"/>
      <c r="C287" s="573"/>
      <c r="D287" s="574"/>
      <c r="E287" s="575"/>
      <c r="F287" s="583"/>
      <c r="G287" s="590"/>
      <c r="H287" s="589"/>
      <c r="I287" s="585"/>
      <c r="J287" s="577"/>
    </row>
    <row r="288" spans="1:10" ht="31.5" x14ac:dyDescent="0.45">
      <c r="A288" s="304"/>
      <c r="B288" s="572"/>
      <c r="C288" s="573"/>
      <c r="D288" s="574"/>
      <c r="E288" s="575"/>
      <c r="F288" s="583"/>
      <c r="G288" s="590"/>
      <c r="H288" s="589"/>
      <c r="I288" s="585"/>
      <c r="J288" s="577"/>
    </row>
    <row r="289" spans="1:10" ht="31.5" x14ac:dyDescent="0.45">
      <c r="A289" s="304"/>
      <c r="B289" s="572"/>
      <c r="C289" s="573"/>
      <c r="D289" s="574"/>
      <c r="E289" s="575"/>
      <c r="F289" s="583"/>
      <c r="G289" s="590"/>
      <c r="H289" s="589"/>
      <c r="I289" s="585"/>
      <c r="J289" s="577"/>
    </row>
    <row r="290" spans="1:10" ht="31.5" x14ac:dyDescent="0.45">
      <c r="A290" s="304"/>
      <c r="B290" s="572"/>
      <c r="C290" s="573"/>
      <c r="D290" s="574"/>
      <c r="E290" s="575"/>
      <c r="F290" s="583"/>
      <c r="G290" s="590"/>
      <c r="H290" s="589"/>
      <c r="I290" s="585"/>
      <c r="J290" s="577"/>
    </row>
    <row r="291" spans="1:10" ht="32.25" thickBot="1" x14ac:dyDescent="0.5">
      <c r="A291" s="306"/>
      <c r="B291" s="578"/>
      <c r="C291" s="579"/>
      <c r="D291" s="580"/>
      <c r="E291" s="581"/>
      <c r="F291" s="584"/>
      <c r="G291" s="591"/>
      <c r="H291" s="592"/>
      <c r="I291" s="586"/>
      <c r="J291" s="582"/>
    </row>
    <row r="292" spans="1:10" ht="24.75" thickTop="1" thickBot="1" x14ac:dyDescent="0.3">
      <c r="A292" s="334"/>
      <c r="B292" s="335"/>
      <c r="C292" s="335"/>
      <c r="D292" s="600"/>
      <c r="E292" s="601"/>
      <c r="F292" s="334"/>
      <c r="G292" s="337"/>
      <c r="H292" s="337"/>
      <c r="I292" s="602"/>
      <c r="J292" s="337"/>
    </row>
    <row r="293" spans="1:10" ht="32.25" thickTop="1" x14ac:dyDescent="0.45">
      <c r="A293" s="333"/>
      <c r="B293" s="593"/>
      <c r="C293" s="594"/>
      <c r="D293" s="595"/>
      <c r="E293" s="596"/>
      <c r="F293" s="597"/>
      <c r="G293" s="598"/>
      <c r="H293" s="587"/>
      <c r="I293" s="599"/>
      <c r="J293" s="576"/>
    </row>
    <row r="294" spans="1:10" ht="31.5" x14ac:dyDescent="0.45">
      <c r="A294" s="304"/>
      <c r="B294" s="572"/>
      <c r="C294" s="573"/>
      <c r="D294" s="574"/>
      <c r="E294" s="575"/>
      <c r="F294" s="583"/>
      <c r="G294" s="588"/>
      <c r="H294" s="589"/>
      <c r="I294" s="585"/>
      <c r="J294" s="577"/>
    </row>
    <row r="295" spans="1:10" ht="31.5" x14ac:dyDescent="0.45">
      <c r="A295" s="304"/>
      <c r="B295" s="572"/>
      <c r="C295" s="573"/>
      <c r="D295" s="574"/>
      <c r="E295" s="575"/>
      <c r="F295" s="583"/>
      <c r="G295" s="588"/>
      <c r="H295" s="589"/>
      <c r="I295" s="585"/>
      <c r="J295" s="577"/>
    </row>
    <row r="296" spans="1:10" ht="31.5" x14ac:dyDescent="0.45">
      <c r="A296" s="304"/>
      <c r="B296" s="572"/>
      <c r="C296" s="573"/>
      <c r="D296" s="574"/>
      <c r="E296" s="575"/>
      <c r="F296" s="583"/>
      <c r="G296" s="588"/>
      <c r="H296" s="589"/>
      <c r="I296" s="585"/>
      <c r="J296" s="577"/>
    </row>
    <row r="297" spans="1:10" ht="31.5" x14ac:dyDescent="0.45">
      <c r="A297" s="304"/>
      <c r="B297" s="572"/>
      <c r="C297" s="573"/>
      <c r="D297" s="574"/>
      <c r="E297" s="575"/>
      <c r="F297" s="583"/>
      <c r="G297" s="588"/>
      <c r="H297" s="589"/>
      <c r="I297" s="585"/>
      <c r="J297" s="577"/>
    </row>
    <row r="298" spans="1:10" ht="31.5" x14ac:dyDescent="0.45">
      <c r="A298" s="305"/>
      <c r="B298" s="572"/>
      <c r="C298" s="573"/>
      <c r="D298" s="574"/>
      <c r="E298" s="575"/>
      <c r="F298" s="583"/>
      <c r="G298" s="588"/>
      <c r="H298" s="589"/>
      <c r="I298" s="585"/>
      <c r="J298" s="577"/>
    </row>
    <row r="299" spans="1:10" ht="31.5" x14ac:dyDescent="0.45">
      <c r="A299" s="304"/>
      <c r="B299" s="572"/>
      <c r="C299" s="573"/>
      <c r="D299" s="574"/>
      <c r="E299" s="575"/>
      <c r="F299" s="583"/>
      <c r="G299" s="590"/>
      <c r="H299" s="589"/>
      <c r="I299" s="585"/>
      <c r="J299" s="577"/>
    </row>
    <row r="300" spans="1:10" ht="31.5" x14ac:dyDescent="0.45">
      <c r="A300" s="304"/>
      <c r="B300" s="572"/>
      <c r="C300" s="573"/>
      <c r="D300" s="574"/>
      <c r="E300" s="575"/>
      <c r="F300" s="583"/>
      <c r="G300" s="590"/>
      <c r="H300" s="589"/>
      <c r="I300" s="585"/>
      <c r="J300" s="577"/>
    </row>
    <row r="301" spans="1:10" ht="31.5" x14ac:dyDescent="0.45">
      <c r="A301" s="304"/>
      <c r="B301" s="572"/>
      <c r="C301" s="573"/>
      <c r="D301" s="574"/>
      <c r="E301" s="575"/>
      <c r="F301" s="583"/>
      <c r="G301" s="590"/>
      <c r="H301" s="589"/>
      <c r="I301" s="585"/>
      <c r="J301" s="577"/>
    </row>
    <row r="302" spans="1:10" ht="31.5" x14ac:dyDescent="0.45">
      <c r="A302" s="304"/>
      <c r="B302" s="572"/>
      <c r="C302" s="573"/>
      <c r="D302" s="574"/>
      <c r="E302" s="575"/>
      <c r="F302" s="583"/>
      <c r="G302" s="590"/>
      <c r="H302" s="589"/>
      <c r="I302" s="585"/>
      <c r="J302" s="577"/>
    </row>
    <row r="303" spans="1:10" ht="31.5" x14ac:dyDescent="0.45">
      <c r="A303" s="304"/>
      <c r="B303" s="572"/>
      <c r="C303" s="573"/>
      <c r="D303" s="574"/>
      <c r="E303" s="575"/>
      <c r="F303" s="583"/>
      <c r="G303" s="590"/>
      <c r="H303" s="589"/>
      <c r="I303" s="585"/>
      <c r="J303" s="577"/>
    </row>
    <row r="304" spans="1:10" ht="31.5" x14ac:dyDescent="0.45">
      <c r="A304" s="304"/>
      <c r="B304" s="572"/>
      <c r="C304" s="573"/>
      <c r="D304" s="574"/>
      <c r="E304" s="575"/>
      <c r="F304" s="583"/>
      <c r="G304" s="590"/>
      <c r="H304" s="589"/>
      <c r="I304" s="585"/>
      <c r="J304" s="577"/>
    </row>
    <row r="305" spans="1:10" ht="31.5" x14ac:dyDescent="0.45">
      <c r="A305" s="304"/>
      <c r="B305" s="572"/>
      <c r="C305" s="573"/>
      <c r="D305" s="574"/>
      <c r="E305" s="575"/>
      <c r="F305" s="583"/>
      <c r="G305" s="590"/>
      <c r="H305" s="589"/>
      <c r="I305" s="585"/>
      <c r="J305" s="577"/>
    </row>
    <row r="306" spans="1:10" ht="31.5" x14ac:dyDescent="0.45">
      <c r="A306" s="304"/>
      <c r="B306" s="572"/>
      <c r="C306" s="573"/>
      <c r="D306" s="574"/>
      <c r="E306" s="575"/>
      <c r="F306" s="583"/>
      <c r="G306" s="590"/>
      <c r="H306" s="589"/>
      <c r="I306" s="585"/>
      <c r="J306" s="577"/>
    </row>
    <row r="307" spans="1:10" ht="31.5" x14ac:dyDescent="0.45">
      <c r="A307" s="304"/>
      <c r="B307" s="572"/>
      <c r="C307" s="573"/>
      <c r="D307" s="574"/>
      <c r="E307" s="575"/>
      <c r="F307" s="583"/>
      <c r="G307" s="590"/>
      <c r="H307" s="589"/>
      <c r="I307" s="585"/>
      <c r="J307" s="577"/>
    </row>
    <row r="308" spans="1:10" ht="31.5" x14ac:dyDescent="0.45">
      <c r="A308" s="304"/>
      <c r="B308" s="572"/>
      <c r="C308" s="573"/>
      <c r="D308" s="574"/>
      <c r="E308" s="575"/>
      <c r="F308" s="583"/>
      <c r="G308" s="590"/>
      <c r="H308" s="589"/>
      <c r="I308" s="585"/>
      <c r="J308" s="577"/>
    </row>
    <row r="309" spans="1:10" ht="31.5" x14ac:dyDescent="0.45">
      <c r="A309" s="304"/>
      <c r="B309" s="572"/>
      <c r="C309" s="573"/>
      <c r="D309" s="574"/>
      <c r="E309" s="575"/>
      <c r="F309" s="583"/>
      <c r="G309" s="590"/>
      <c r="H309" s="589"/>
      <c r="I309" s="585"/>
      <c r="J309" s="577"/>
    </row>
    <row r="310" spans="1:10" ht="31.5" x14ac:dyDescent="0.45">
      <c r="A310" s="304"/>
      <c r="B310" s="572"/>
      <c r="C310" s="573"/>
      <c r="D310" s="574"/>
      <c r="E310" s="575"/>
      <c r="F310" s="583"/>
      <c r="G310" s="590"/>
      <c r="H310" s="589"/>
      <c r="I310" s="585"/>
      <c r="J310" s="577"/>
    </row>
    <row r="311" spans="1:10" ht="31.5" x14ac:dyDescent="0.45">
      <c r="A311" s="304"/>
      <c r="B311" s="572"/>
      <c r="C311" s="573"/>
      <c r="D311" s="574"/>
      <c r="E311" s="575"/>
      <c r="F311" s="583"/>
      <c r="G311" s="590"/>
      <c r="H311" s="589"/>
      <c r="I311" s="585"/>
      <c r="J311" s="577"/>
    </row>
    <row r="312" spans="1:10" ht="31.5" x14ac:dyDescent="0.45">
      <c r="A312" s="304"/>
      <c r="B312" s="572"/>
      <c r="C312" s="573"/>
      <c r="D312" s="574"/>
      <c r="E312" s="575"/>
      <c r="F312" s="583"/>
      <c r="G312" s="590"/>
      <c r="H312" s="589"/>
      <c r="I312" s="585"/>
      <c r="J312" s="577"/>
    </row>
    <row r="313" spans="1:10" ht="31.5" x14ac:dyDescent="0.45">
      <c r="A313" s="304"/>
      <c r="B313" s="572"/>
      <c r="C313" s="573"/>
      <c r="D313" s="574"/>
      <c r="E313" s="575"/>
      <c r="F313" s="583"/>
      <c r="G313" s="590"/>
      <c r="H313" s="589"/>
      <c r="I313" s="585"/>
      <c r="J313" s="577"/>
    </row>
    <row r="314" spans="1:10" ht="31.5" x14ac:dyDescent="0.45">
      <c r="A314" s="304"/>
      <c r="B314" s="572"/>
      <c r="C314" s="573"/>
      <c r="D314" s="574"/>
      <c r="E314" s="575"/>
      <c r="F314" s="583"/>
      <c r="G314" s="590"/>
      <c r="H314" s="589"/>
      <c r="I314" s="585"/>
      <c r="J314" s="577"/>
    </row>
    <row r="315" spans="1:10" ht="31.5" x14ac:dyDescent="0.45">
      <c r="A315" s="304"/>
      <c r="B315" s="572"/>
      <c r="C315" s="573"/>
      <c r="D315" s="574"/>
      <c r="E315" s="575"/>
      <c r="F315" s="583"/>
      <c r="G315" s="590"/>
      <c r="H315" s="589"/>
      <c r="I315" s="585"/>
      <c r="J315" s="577"/>
    </row>
    <row r="316" spans="1:10" ht="31.5" x14ac:dyDescent="0.45">
      <c r="A316" s="304"/>
      <c r="B316" s="572"/>
      <c r="C316" s="573"/>
      <c r="D316" s="574"/>
      <c r="E316" s="575"/>
      <c r="F316" s="583"/>
      <c r="G316" s="590"/>
      <c r="H316" s="589"/>
      <c r="I316" s="585"/>
      <c r="J316" s="577"/>
    </row>
    <row r="317" spans="1:10" ht="31.5" x14ac:dyDescent="0.45">
      <c r="A317" s="304"/>
      <c r="B317" s="572"/>
      <c r="C317" s="573"/>
      <c r="D317" s="574"/>
      <c r="E317" s="575"/>
      <c r="F317" s="583"/>
      <c r="G317" s="590"/>
      <c r="H317" s="589"/>
      <c r="I317" s="585"/>
      <c r="J317" s="577"/>
    </row>
    <row r="318" spans="1:10" ht="31.5" x14ac:dyDescent="0.45">
      <c r="A318" s="304"/>
      <c r="B318" s="572"/>
      <c r="C318" s="573"/>
      <c r="D318" s="574"/>
      <c r="E318" s="575"/>
      <c r="F318" s="583"/>
      <c r="G318" s="590"/>
      <c r="H318" s="589"/>
      <c r="I318" s="585"/>
      <c r="J318" s="577"/>
    </row>
    <row r="319" spans="1:10" ht="31.5" x14ac:dyDescent="0.45">
      <c r="A319" s="304"/>
      <c r="B319" s="572"/>
      <c r="C319" s="573"/>
      <c r="D319" s="574"/>
      <c r="E319" s="575"/>
      <c r="F319" s="583"/>
      <c r="G319" s="590"/>
      <c r="H319" s="589"/>
      <c r="I319" s="585"/>
      <c r="J319" s="577"/>
    </row>
    <row r="320" spans="1:10" ht="32.25" thickBot="1" x14ac:dyDescent="0.5">
      <c r="A320" s="306"/>
      <c r="B320" s="578"/>
      <c r="C320" s="579"/>
      <c r="D320" s="580"/>
      <c r="E320" s="581"/>
      <c r="F320" s="584"/>
      <c r="G320" s="591"/>
      <c r="H320" s="592"/>
      <c r="I320" s="586"/>
      <c r="J320" s="582"/>
    </row>
    <row r="321" spans="1:10" ht="24.75" thickTop="1" thickBot="1" x14ac:dyDescent="0.3">
      <c r="A321" s="334"/>
      <c r="B321" s="335"/>
      <c r="C321" s="335"/>
      <c r="D321" s="600"/>
      <c r="E321" s="601"/>
      <c r="F321" s="334"/>
      <c r="G321" s="337"/>
      <c r="H321" s="337"/>
      <c r="I321" s="602"/>
      <c r="J321" s="337"/>
    </row>
    <row r="322" spans="1:10" ht="32.25" thickTop="1" x14ac:dyDescent="0.45">
      <c r="A322" s="333"/>
      <c r="B322" s="593"/>
      <c r="C322" s="594"/>
      <c r="D322" s="595"/>
      <c r="E322" s="596"/>
      <c r="F322" s="597"/>
      <c r="G322" s="598"/>
      <c r="H322" s="587"/>
      <c r="I322" s="599"/>
      <c r="J322" s="576"/>
    </row>
    <row r="323" spans="1:10" ht="31.5" x14ac:dyDescent="0.45">
      <c r="A323" s="304"/>
      <c r="B323" s="572"/>
      <c r="C323" s="573"/>
      <c r="D323" s="574"/>
      <c r="E323" s="575"/>
      <c r="F323" s="583"/>
      <c r="G323" s="588"/>
      <c r="H323" s="589"/>
      <c r="I323" s="585"/>
      <c r="J323" s="577"/>
    </row>
    <row r="324" spans="1:10" ht="31.5" x14ac:dyDescent="0.45">
      <c r="A324" s="304"/>
      <c r="B324" s="572"/>
      <c r="C324" s="573"/>
      <c r="D324" s="574"/>
      <c r="E324" s="575"/>
      <c r="F324" s="583"/>
      <c r="G324" s="588"/>
      <c r="H324" s="589"/>
      <c r="I324" s="585"/>
      <c r="J324" s="577"/>
    </row>
    <row r="325" spans="1:10" ht="31.5" x14ac:dyDescent="0.45">
      <c r="A325" s="304"/>
      <c r="B325" s="572"/>
      <c r="C325" s="573"/>
      <c r="D325" s="574"/>
      <c r="E325" s="575"/>
      <c r="F325" s="583"/>
      <c r="G325" s="588"/>
      <c r="H325" s="589"/>
      <c r="I325" s="585"/>
      <c r="J325" s="577"/>
    </row>
    <row r="326" spans="1:10" ht="31.5" x14ac:dyDescent="0.45">
      <c r="A326" s="304"/>
      <c r="B326" s="572"/>
      <c r="C326" s="573"/>
      <c r="D326" s="574"/>
      <c r="E326" s="575"/>
      <c r="F326" s="583"/>
      <c r="G326" s="588"/>
      <c r="H326" s="589"/>
      <c r="I326" s="585"/>
      <c r="J326" s="577"/>
    </row>
    <row r="327" spans="1:10" ht="31.5" x14ac:dyDescent="0.45">
      <c r="A327" s="305"/>
      <c r="B327" s="572"/>
      <c r="C327" s="573"/>
      <c r="D327" s="574"/>
      <c r="E327" s="575"/>
      <c r="F327" s="583"/>
      <c r="G327" s="588"/>
      <c r="H327" s="589"/>
      <c r="I327" s="585"/>
      <c r="J327" s="577"/>
    </row>
    <row r="328" spans="1:10" ht="31.5" x14ac:dyDescent="0.45">
      <c r="A328" s="304"/>
      <c r="B328" s="572"/>
      <c r="C328" s="573"/>
      <c r="D328" s="574"/>
      <c r="E328" s="575"/>
      <c r="F328" s="583"/>
      <c r="G328" s="590"/>
      <c r="H328" s="589"/>
      <c r="I328" s="585"/>
      <c r="J328" s="577"/>
    </row>
    <row r="329" spans="1:10" ht="31.5" x14ac:dyDescent="0.45">
      <c r="A329" s="304"/>
      <c r="B329" s="572"/>
      <c r="C329" s="573"/>
      <c r="D329" s="574"/>
      <c r="E329" s="575"/>
      <c r="F329" s="583"/>
      <c r="G329" s="590"/>
      <c r="H329" s="589"/>
      <c r="I329" s="585"/>
      <c r="J329" s="577"/>
    </row>
    <row r="330" spans="1:10" ht="31.5" x14ac:dyDescent="0.45">
      <c r="A330" s="304"/>
      <c r="B330" s="572"/>
      <c r="C330" s="573"/>
      <c r="D330" s="574"/>
      <c r="E330" s="575"/>
      <c r="F330" s="583"/>
      <c r="G330" s="590"/>
      <c r="H330" s="589"/>
      <c r="I330" s="585"/>
      <c r="J330" s="577"/>
    </row>
    <row r="331" spans="1:10" ht="31.5" x14ac:dyDescent="0.45">
      <c r="A331" s="304"/>
      <c r="B331" s="572"/>
      <c r="C331" s="573"/>
      <c r="D331" s="574"/>
      <c r="E331" s="575"/>
      <c r="F331" s="583"/>
      <c r="G331" s="590"/>
      <c r="H331" s="589"/>
      <c r="I331" s="585"/>
      <c r="J331" s="577"/>
    </row>
    <row r="332" spans="1:10" ht="31.5" x14ac:dyDescent="0.45">
      <c r="A332" s="304"/>
      <c r="B332" s="572"/>
      <c r="C332" s="573"/>
      <c r="D332" s="574"/>
      <c r="E332" s="575"/>
      <c r="F332" s="583"/>
      <c r="G332" s="590"/>
      <c r="H332" s="589"/>
      <c r="I332" s="585"/>
      <c r="J332" s="577"/>
    </row>
    <row r="333" spans="1:10" ht="31.5" x14ac:dyDescent="0.45">
      <c r="A333" s="304"/>
      <c r="B333" s="572"/>
      <c r="C333" s="573"/>
      <c r="D333" s="574"/>
      <c r="E333" s="575"/>
      <c r="F333" s="583"/>
      <c r="G333" s="590"/>
      <c r="H333" s="589"/>
      <c r="I333" s="585"/>
      <c r="J333" s="577"/>
    </row>
    <row r="334" spans="1:10" ht="31.5" x14ac:dyDescent="0.45">
      <c r="A334" s="304"/>
      <c r="B334" s="572"/>
      <c r="C334" s="573"/>
      <c r="D334" s="574"/>
      <c r="E334" s="575"/>
      <c r="F334" s="583"/>
      <c r="G334" s="590"/>
      <c r="H334" s="589"/>
      <c r="I334" s="585"/>
      <c r="J334" s="577"/>
    </row>
    <row r="335" spans="1:10" ht="31.5" x14ac:dyDescent="0.45">
      <c r="A335" s="304"/>
      <c r="B335" s="572"/>
      <c r="C335" s="573"/>
      <c r="D335" s="574"/>
      <c r="E335" s="575"/>
      <c r="F335" s="583"/>
      <c r="G335" s="590"/>
      <c r="H335" s="589"/>
      <c r="I335" s="585"/>
      <c r="J335" s="577"/>
    </row>
    <row r="336" spans="1:10" ht="31.5" x14ac:dyDescent="0.45">
      <c r="A336" s="304"/>
      <c r="B336" s="572"/>
      <c r="C336" s="573"/>
      <c r="D336" s="574"/>
      <c r="E336" s="575"/>
      <c r="F336" s="583"/>
      <c r="G336" s="590"/>
      <c r="H336" s="589"/>
      <c r="I336" s="585"/>
      <c r="J336" s="577"/>
    </row>
    <row r="337" spans="1:10" ht="31.5" x14ac:dyDescent="0.45">
      <c r="A337" s="304"/>
      <c r="B337" s="572"/>
      <c r="C337" s="573"/>
      <c r="D337" s="574"/>
      <c r="E337" s="575"/>
      <c r="F337" s="583"/>
      <c r="G337" s="590"/>
      <c r="H337" s="589"/>
      <c r="I337" s="585"/>
      <c r="J337" s="577"/>
    </row>
    <row r="338" spans="1:10" ht="31.5" x14ac:dyDescent="0.45">
      <c r="A338" s="304"/>
      <c r="B338" s="572"/>
      <c r="C338" s="573"/>
      <c r="D338" s="574"/>
      <c r="E338" s="575"/>
      <c r="F338" s="583"/>
      <c r="G338" s="590"/>
      <c r="H338" s="589"/>
      <c r="I338" s="585"/>
      <c r="J338" s="577"/>
    </row>
    <row r="339" spans="1:10" ht="31.5" x14ac:dyDescent="0.45">
      <c r="A339" s="304"/>
      <c r="B339" s="572"/>
      <c r="C339" s="573"/>
      <c r="D339" s="574"/>
      <c r="E339" s="575"/>
      <c r="F339" s="583"/>
      <c r="G339" s="590"/>
      <c r="H339" s="589"/>
      <c r="I339" s="585"/>
      <c r="J339" s="577"/>
    </row>
    <row r="340" spans="1:10" ht="31.5" x14ac:dyDescent="0.45">
      <c r="A340" s="304"/>
      <c r="B340" s="572"/>
      <c r="C340" s="573"/>
      <c r="D340" s="574"/>
      <c r="E340" s="575"/>
      <c r="F340" s="583"/>
      <c r="G340" s="590"/>
      <c r="H340" s="589"/>
      <c r="I340" s="585"/>
      <c r="J340" s="577"/>
    </row>
    <row r="341" spans="1:10" ht="31.5" x14ac:dyDescent="0.45">
      <c r="A341" s="304"/>
      <c r="B341" s="572"/>
      <c r="C341" s="573"/>
      <c r="D341" s="574"/>
      <c r="E341" s="575"/>
      <c r="F341" s="583"/>
      <c r="G341" s="590"/>
      <c r="H341" s="589"/>
      <c r="I341" s="585"/>
      <c r="J341" s="577"/>
    </row>
    <row r="342" spans="1:10" ht="31.5" x14ac:dyDescent="0.45">
      <c r="A342" s="304"/>
      <c r="B342" s="572"/>
      <c r="C342" s="573"/>
      <c r="D342" s="574"/>
      <c r="E342" s="575"/>
      <c r="F342" s="583"/>
      <c r="G342" s="590"/>
      <c r="H342" s="589"/>
      <c r="I342" s="585"/>
      <c r="J342" s="577"/>
    </row>
    <row r="343" spans="1:10" ht="31.5" x14ac:dyDescent="0.45">
      <c r="A343" s="304"/>
      <c r="B343" s="572"/>
      <c r="C343" s="573"/>
      <c r="D343" s="574"/>
      <c r="E343" s="575"/>
      <c r="F343" s="583"/>
      <c r="G343" s="590"/>
      <c r="H343" s="589"/>
      <c r="I343" s="585"/>
      <c r="J343" s="577"/>
    </row>
    <row r="344" spans="1:10" ht="31.5" x14ac:dyDescent="0.45">
      <c r="A344" s="304"/>
      <c r="B344" s="572"/>
      <c r="C344" s="573"/>
      <c r="D344" s="574"/>
      <c r="E344" s="575"/>
      <c r="F344" s="583"/>
      <c r="G344" s="590"/>
      <c r="H344" s="589"/>
      <c r="I344" s="585"/>
      <c r="J344" s="577"/>
    </row>
    <row r="345" spans="1:10" ht="31.5" x14ac:dyDescent="0.45">
      <c r="A345" s="304"/>
      <c r="B345" s="572"/>
      <c r="C345" s="573"/>
      <c r="D345" s="574"/>
      <c r="E345" s="575"/>
      <c r="F345" s="583"/>
      <c r="G345" s="590"/>
      <c r="H345" s="589"/>
      <c r="I345" s="585"/>
      <c r="J345" s="577"/>
    </row>
    <row r="346" spans="1:10" ht="31.5" x14ac:dyDescent="0.45">
      <c r="A346" s="304"/>
      <c r="B346" s="572"/>
      <c r="C346" s="573"/>
      <c r="D346" s="574"/>
      <c r="E346" s="575"/>
      <c r="F346" s="583"/>
      <c r="G346" s="590"/>
      <c r="H346" s="589"/>
      <c r="I346" s="585"/>
      <c r="J346" s="577"/>
    </row>
    <row r="347" spans="1:10" ht="31.5" x14ac:dyDescent="0.45">
      <c r="A347" s="304"/>
      <c r="B347" s="572"/>
      <c r="C347" s="573"/>
      <c r="D347" s="574"/>
      <c r="E347" s="575"/>
      <c r="F347" s="583"/>
      <c r="G347" s="590"/>
      <c r="H347" s="589"/>
      <c r="I347" s="585"/>
      <c r="J347" s="577"/>
    </row>
    <row r="348" spans="1:10" ht="31.5" x14ac:dyDescent="0.45">
      <c r="A348" s="304"/>
      <c r="B348" s="572"/>
      <c r="C348" s="573"/>
      <c r="D348" s="574"/>
      <c r="E348" s="575"/>
      <c r="F348" s="583"/>
      <c r="G348" s="590"/>
      <c r="H348" s="589"/>
      <c r="I348" s="585"/>
      <c r="J348" s="577"/>
    </row>
    <row r="349" spans="1:10" ht="32.25" thickBot="1" x14ac:dyDescent="0.5">
      <c r="A349" s="306"/>
      <c r="B349" s="578"/>
      <c r="C349" s="579"/>
      <c r="D349" s="580"/>
      <c r="E349" s="581"/>
      <c r="F349" s="584"/>
      <c r="G349" s="591"/>
      <c r="H349" s="592"/>
      <c r="I349" s="586"/>
      <c r="J349" s="582"/>
    </row>
    <row r="350" spans="1:10" ht="24.75" thickTop="1" thickBot="1" x14ac:dyDescent="0.3">
      <c r="A350" s="334"/>
      <c r="B350" s="335"/>
      <c r="C350" s="335"/>
      <c r="D350" s="600"/>
      <c r="E350" s="601"/>
      <c r="F350" s="334"/>
      <c r="G350" s="337"/>
      <c r="H350" s="337"/>
      <c r="I350" s="602"/>
      <c r="J350" s="337"/>
    </row>
    <row r="351" spans="1:10" ht="32.25" thickTop="1" x14ac:dyDescent="0.45">
      <c r="A351" s="333"/>
      <c r="B351" s="593"/>
      <c r="C351" s="594"/>
      <c r="D351" s="595"/>
      <c r="E351" s="596"/>
      <c r="F351" s="597"/>
      <c r="G351" s="598"/>
      <c r="H351" s="587"/>
      <c r="I351" s="599"/>
      <c r="J351" s="576"/>
    </row>
    <row r="352" spans="1:10" ht="31.5" x14ac:dyDescent="0.45">
      <c r="A352" s="304"/>
      <c r="B352" s="572"/>
      <c r="C352" s="573"/>
      <c r="D352" s="574"/>
      <c r="E352" s="575"/>
      <c r="F352" s="583"/>
      <c r="G352" s="588"/>
      <c r="H352" s="589"/>
      <c r="I352" s="585"/>
      <c r="J352" s="577"/>
    </row>
    <row r="353" spans="1:10" ht="31.5" x14ac:dyDescent="0.45">
      <c r="A353" s="304"/>
      <c r="B353" s="572"/>
      <c r="C353" s="573"/>
      <c r="D353" s="574"/>
      <c r="E353" s="575"/>
      <c r="F353" s="583"/>
      <c r="G353" s="588"/>
      <c r="H353" s="589"/>
      <c r="I353" s="585"/>
      <c r="J353" s="577"/>
    </row>
    <row r="354" spans="1:10" ht="31.5" x14ac:dyDescent="0.45">
      <c r="A354" s="304"/>
      <c r="B354" s="572"/>
      <c r="C354" s="573"/>
      <c r="D354" s="574"/>
      <c r="E354" s="575"/>
      <c r="F354" s="583"/>
      <c r="G354" s="588"/>
      <c r="H354" s="589"/>
      <c r="I354" s="585"/>
      <c r="J354" s="577"/>
    </row>
    <row r="355" spans="1:10" ht="31.5" x14ac:dyDescent="0.45">
      <c r="A355" s="304"/>
      <c r="B355" s="572"/>
      <c r="C355" s="573"/>
      <c r="D355" s="574"/>
      <c r="E355" s="575"/>
      <c r="F355" s="583"/>
      <c r="G355" s="588"/>
      <c r="H355" s="589"/>
      <c r="I355" s="585"/>
      <c r="J355" s="577"/>
    </row>
    <row r="356" spans="1:10" ht="31.5" x14ac:dyDescent="0.45">
      <c r="A356" s="305"/>
      <c r="B356" s="572"/>
      <c r="C356" s="573"/>
      <c r="D356" s="574"/>
      <c r="E356" s="575"/>
      <c r="F356" s="583"/>
      <c r="G356" s="588"/>
      <c r="H356" s="589"/>
      <c r="I356" s="585"/>
      <c r="J356" s="577"/>
    </row>
    <row r="357" spans="1:10" ht="31.5" x14ac:dyDescent="0.45">
      <c r="A357" s="304"/>
      <c r="B357" s="572"/>
      <c r="C357" s="573"/>
      <c r="D357" s="574"/>
      <c r="E357" s="575"/>
      <c r="F357" s="583"/>
      <c r="G357" s="590"/>
      <c r="H357" s="589"/>
      <c r="I357" s="585"/>
      <c r="J357" s="577"/>
    </row>
    <row r="358" spans="1:10" ht="31.5" x14ac:dyDescent="0.45">
      <c r="A358" s="304"/>
      <c r="B358" s="572"/>
      <c r="C358" s="573"/>
      <c r="D358" s="574"/>
      <c r="E358" s="575"/>
      <c r="F358" s="583"/>
      <c r="G358" s="590"/>
      <c r="H358" s="589"/>
      <c r="I358" s="585"/>
      <c r="J358" s="577"/>
    </row>
    <row r="359" spans="1:10" ht="31.5" x14ac:dyDescent="0.45">
      <c r="A359" s="304"/>
      <c r="B359" s="572"/>
      <c r="C359" s="573"/>
      <c r="D359" s="574"/>
      <c r="E359" s="575"/>
      <c r="F359" s="583"/>
      <c r="G359" s="590"/>
      <c r="H359" s="589"/>
      <c r="I359" s="585"/>
      <c r="J359" s="577"/>
    </row>
    <row r="360" spans="1:10" ht="31.5" x14ac:dyDescent="0.45">
      <c r="A360" s="304"/>
      <c r="B360" s="572"/>
      <c r="C360" s="573"/>
      <c r="D360" s="574"/>
      <c r="E360" s="575"/>
      <c r="F360" s="583"/>
      <c r="G360" s="590"/>
      <c r="H360" s="589"/>
      <c r="I360" s="585"/>
      <c r="J360" s="577"/>
    </row>
    <row r="361" spans="1:10" ht="31.5" x14ac:dyDescent="0.45">
      <c r="A361" s="304"/>
      <c r="B361" s="572"/>
      <c r="C361" s="573"/>
      <c r="D361" s="574"/>
      <c r="E361" s="575"/>
      <c r="F361" s="583"/>
      <c r="G361" s="590"/>
      <c r="H361" s="589"/>
      <c r="I361" s="585"/>
      <c r="J361" s="577"/>
    </row>
    <row r="362" spans="1:10" ht="31.5" x14ac:dyDescent="0.45">
      <c r="A362" s="304"/>
      <c r="B362" s="572"/>
      <c r="C362" s="573"/>
      <c r="D362" s="574"/>
      <c r="E362" s="575"/>
      <c r="F362" s="583"/>
      <c r="G362" s="590"/>
      <c r="H362" s="589"/>
      <c r="I362" s="585"/>
      <c r="J362" s="577"/>
    </row>
    <row r="363" spans="1:10" ht="31.5" x14ac:dyDescent="0.45">
      <c r="A363" s="304"/>
      <c r="B363" s="572"/>
      <c r="C363" s="573"/>
      <c r="D363" s="574"/>
      <c r="E363" s="575"/>
      <c r="F363" s="583"/>
      <c r="G363" s="590"/>
      <c r="H363" s="589"/>
      <c r="I363" s="585"/>
      <c r="J363" s="577"/>
    </row>
    <row r="364" spans="1:10" ht="31.5" x14ac:dyDescent="0.45">
      <c r="A364" s="304"/>
      <c r="B364" s="572"/>
      <c r="C364" s="573"/>
      <c r="D364" s="574"/>
      <c r="E364" s="575"/>
      <c r="F364" s="583"/>
      <c r="G364" s="590"/>
      <c r="H364" s="589"/>
      <c r="I364" s="585"/>
      <c r="J364" s="577"/>
    </row>
    <row r="365" spans="1:10" ht="31.5" x14ac:dyDescent="0.45">
      <c r="A365" s="304"/>
      <c r="B365" s="572"/>
      <c r="C365" s="573"/>
      <c r="D365" s="574"/>
      <c r="E365" s="575"/>
      <c r="F365" s="583"/>
      <c r="G365" s="590"/>
      <c r="H365" s="589"/>
      <c r="I365" s="585"/>
      <c r="J365" s="577"/>
    </row>
    <row r="366" spans="1:10" ht="31.5" x14ac:dyDescent="0.45">
      <c r="A366" s="304"/>
      <c r="B366" s="572"/>
      <c r="C366" s="573"/>
      <c r="D366" s="574"/>
      <c r="E366" s="575"/>
      <c r="F366" s="583"/>
      <c r="G366" s="590"/>
      <c r="H366" s="589"/>
      <c r="I366" s="585"/>
      <c r="J366" s="577"/>
    </row>
    <row r="367" spans="1:10" ht="31.5" x14ac:dyDescent="0.45">
      <c r="A367" s="304"/>
      <c r="B367" s="572"/>
      <c r="C367" s="573"/>
      <c r="D367" s="574"/>
      <c r="E367" s="575"/>
      <c r="F367" s="583"/>
      <c r="G367" s="590"/>
      <c r="H367" s="589"/>
      <c r="I367" s="585"/>
      <c r="J367" s="577"/>
    </row>
    <row r="368" spans="1:10" ht="31.5" x14ac:dyDescent="0.45">
      <c r="A368" s="304"/>
      <c r="B368" s="572"/>
      <c r="C368" s="573"/>
      <c r="D368" s="574"/>
      <c r="E368" s="575"/>
      <c r="F368" s="583"/>
      <c r="G368" s="590"/>
      <c r="H368" s="589"/>
      <c r="I368" s="585"/>
      <c r="J368" s="577"/>
    </row>
    <row r="369" spans="1:10" ht="31.5" x14ac:dyDescent="0.45">
      <c r="A369" s="304"/>
      <c r="B369" s="572"/>
      <c r="C369" s="573"/>
      <c r="D369" s="574"/>
      <c r="E369" s="575"/>
      <c r="F369" s="583"/>
      <c r="G369" s="590"/>
      <c r="H369" s="589"/>
      <c r="I369" s="585"/>
      <c r="J369" s="577"/>
    </row>
    <row r="370" spans="1:10" ht="31.5" x14ac:dyDescent="0.45">
      <c r="A370" s="304"/>
      <c r="B370" s="572"/>
      <c r="C370" s="573"/>
      <c r="D370" s="574"/>
      <c r="E370" s="575"/>
      <c r="F370" s="583"/>
      <c r="G370" s="590"/>
      <c r="H370" s="589"/>
      <c r="I370" s="585"/>
      <c r="J370" s="577"/>
    </row>
    <row r="371" spans="1:10" ht="31.5" x14ac:dyDescent="0.45">
      <c r="A371" s="304"/>
      <c r="B371" s="572"/>
      <c r="C371" s="573"/>
      <c r="D371" s="574"/>
      <c r="E371" s="575"/>
      <c r="F371" s="583"/>
      <c r="G371" s="590"/>
      <c r="H371" s="589"/>
      <c r="I371" s="585"/>
      <c r="J371" s="577"/>
    </row>
    <row r="372" spans="1:10" ht="31.5" x14ac:dyDescent="0.45">
      <c r="A372" s="304"/>
      <c r="B372" s="572"/>
      <c r="C372" s="573"/>
      <c r="D372" s="574"/>
      <c r="E372" s="575"/>
      <c r="F372" s="583"/>
      <c r="G372" s="590"/>
      <c r="H372" s="589"/>
      <c r="I372" s="585"/>
      <c r="J372" s="577"/>
    </row>
    <row r="373" spans="1:10" ht="31.5" x14ac:dyDescent="0.45">
      <c r="A373" s="304"/>
      <c r="B373" s="572"/>
      <c r="C373" s="573"/>
      <c r="D373" s="574"/>
      <c r="E373" s="575"/>
      <c r="F373" s="583"/>
      <c r="G373" s="590"/>
      <c r="H373" s="589"/>
      <c r="I373" s="585"/>
      <c r="J373" s="577"/>
    </row>
    <row r="374" spans="1:10" ht="31.5" x14ac:dyDescent="0.45">
      <c r="A374" s="304"/>
      <c r="B374" s="572"/>
      <c r="C374" s="573"/>
      <c r="D374" s="574"/>
      <c r="E374" s="575"/>
      <c r="F374" s="583"/>
      <c r="G374" s="590"/>
      <c r="H374" s="589"/>
      <c r="I374" s="585"/>
      <c r="J374" s="577"/>
    </row>
    <row r="375" spans="1:10" ht="31.5" x14ac:dyDescent="0.45">
      <c r="A375" s="304"/>
      <c r="B375" s="572"/>
      <c r="C375" s="573"/>
      <c r="D375" s="574"/>
      <c r="E375" s="575"/>
      <c r="F375" s="583"/>
      <c r="G375" s="590"/>
      <c r="H375" s="589"/>
      <c r="I375" s="585"/>
      <c r="J375" s="577"/>
    </row>
    <row r="376" spans="1:10" ht="31.5" x14ac:dyDescent="0.45">
      <c r="A376" s="304"/>
      <c r="B376" s="572"/>
      <c r="C376" s="573"/>
      <c r="D376" s="574"/>
      <c r="E376" s="575"/>
      <c r="F376" s="583"/>
      <c r="G376" s="590"/>
      <c r="H376" s="589"/>
      <c r="I376" s="585"/>
      <c r="J376" s="577"/>
    </row>
    <row r="377" spans="1:10" ht="31.5" x14ac:dyDescent="0.45">
      <c r="A377" s="304"/>
      <c r="B377" s="572"/>
      <c r="C377" s="573"/>
      <c r="D377" s="574"/>
      <c r="E377" s="575"/>
      <c r="F377" s="583"/>
      <c r="G377" s="590"/>
      <c r="H377" s="589"/>
      <c r="I377" s="585"/>
      <c r="J377" s="577"/>
    </row>
    <row r="378" spans="1:10" ht="32.25" thickBot="1" x14ac:dyDescent="0.5">
      <c r="A378" s="306"/>
      <c r="B378" s="578"/>
      <c r="C378" s="579"/>
      <c r="D378" s="580"/>
      <c r="E378" s="581"/>
      <c r="F378" s="584"/>
      <c r="G378" s="591"/>
      <c r="H378" s="592"/>
      <c r="I378" s="586"/>
      <c r="J378" s="582"/>
    </row>
    <row r="379" spans="1:10" ht="24.75" thickTop="1" thickBot="1" x14ac:dyDescent="0.3">
      <c r="A379" s="334"/>
      <c r="B379" s="335"/>
      <c r="C379" s="335"/>
      <c r="D379" s="600"/>
      <c r="E379" s="601"/>
      <c r="F379" s="334"/>
      <c r="G379" s="337"/>
      <c r="H379" s="337"/>
      <c r="I379" s="602"/>
      <c r="J379" s="337"/>
    </row>
    <row r="380" spans="1:10" ht="32.25" thickTop="1" x14ac:dyDescent="0.45">
      <c r="A380" s="333"/>
      <c r="B380" s="593"/>
      <c r="C380" s="594"/>
      <c r="D380" s="595"/>
      <c r="E380" s="596"/>
      <c r="F380" s="597"/>
      <c r="G380" s="598"/>
      <c r="H380" s="587"/>
      <c r="I380" s="599"/>
      <c r="J380" s="576"/>
    </row>
    <row r="381" spans="1:10" ht="31.5" x14ac:dyDescent="0.45">
      <c r="A381" s="304"/>
      <c r="B381" s="572"/>
      <c r="C381" s="573"/>
      <c r="D381" s="574"/>
      <c r="E381" s="575"/>
      <c r="F381" s="583"/>
      <c r="G381" s="588"/>
      <c r="H381" s="589"/>
      <c r="I381" s="585"/>
      <c r="J381" s="577"/>
    </row>
    <row r="382" spans="1:10" ht="31.5" x14ac:dyDescent="0.45">
      <c r="A382" s="304"/>
      <c r="B382" s="572"/>
      <c r="C382" s="573"/>
      <c r="D382" s="574"/>
      <c r="E382" s="575"/>
      <c r="F382" s="583"/>
      <c r="G382" s="588"/>
      <c r="H382" s="589"/>
      <c r="I382" s="585"/>
      <c r="J382" s="577"/>
    </row>
    <row r="383" spans="1:10" ht="31.5" x14ac:dyDescent="0.45">
      <c r="A383" s="304"/>
      <c r="B383" s="572"/>
      <c r="C383" s="573"/>
      <c r="D383" s="574"/>
      <c r="E383" s="575"/>
      <c r="F383" s="583"/>
      <c r="G383" s="588"/>
      <c r="H383" s="589"/>
      <c r="I383" s="585"/>
      <c r="J383" s="577"/>
    </row>
    <row r="384" spans="1:10" ht="31.5" x14ac:dyDescent="0.45">
      <c r="A384" s="304"/>
      <c r="B384" s="572"/>
      <c r="C384" s="573"/>
      <c r="D384" s="574"/>
      <c r="E384" s="575"/>
      <c r="F384" s="583"/>
      <c r="G384" s="588"/>
      <c r="H384" s="589"/>
      <c r="I384" s="585"/>
      <c r="J384" s="577"/>
    </row>
    <row r="385" spans="1:10" ht="31.5" x14ac:dyDescent="0.45">
      <c r="A385" s="305"/>
      <c r="B385" s="572"/>
      <c r="C385" s="573"/>
      <c r="D385" s="574"/>
      <c r="E385" s="575"/>
      <c r="F385" s="583"/>
      <c r="G385" s="588"/>
      <c r="H385" s="589"/>
      <c r="I385" s="585"/>
      <c r="J385" s="577"/>
    </row>
    <row r="386" spans="1:10" ht="31.5" x14ac:dyDescent="0.45">
      <c r="A386" s="304"/>
      <c r="B386" s="572"/>
      <c r="C386" s="573"/>
      <c r="D386" s="574"/>
      <c r="E386" s="575"/>
      <c r="F386" s="583"/>
      <c r="G386" s="590"/>
      <c r="H386" s="589"/>
      <c r="I386" s="585"/>
      <c r="J386" s="577"/>
    </row>
    <row r="387" spans="1:10" ht="31.5" x14ac:dyDescent="0.45">
      <c r="A387" s="304"/>
      <c r="B387" s="572"/>
      <c r="C387" s="573"/>
      <c r="D387" s="574"/>
      <c r="E387" s="575"/>
      <c r="F387" s="583"/>
      <c r="G387" s="590"/>
      <c r="H387" s="589"/>
      <c r="I387" s="585"/>
      <c r="J387" s="577"/>
    </row>
    <row r="388" spans="1:10" ht="31.5" x14ac:dyDescent="0.45">
      <c r="A388" s="304"/>
      <c r="B388" s="572"/>
      <c r="C388" s="573"/>
      <c r="D388" s="574"/>
      <c r="E388" s="575"/>
      <c r="F388" s="583"/>
      <c r="G388" s="590"/>
      <c r="H388" s="589"/>
      <c r="I388" s="585"/>
      <c r="J388" s="577"/>
    </row>
    <row r="389" spans="1:10" ht="31.5" x14ac:dyDescent="0.45">
      <c r="A389" s="304"/>
      <c r="B389" s="572"/>
      <c r="C389" s="573"/>
      <c r="D389" s="574"/>
      <c r="E389" s="575"/>
      <c r="F389" s="583"/>
      <c r="G389" s="590"/>
      <c r="H389" s="589"/>
      <c r="I389" s="585"/>
      <c r="J389" s="577"/>
    </row>
    <row r="390" spans="1:10" ht="31.5" x14ac:dyDescent="0.45">
      <c r="A390" s="304"/>
      <c r="B390" s="572"/>
      <c r="C390" s="573"/>
      <c r="D390" s="574"/>
      <c r="E390" s="575"/>
      <c r="F390" s="583"/>
      <c r="G390" s="590"/>
      <c r="H390" s="589"/>
      <c r="I390" s="585"/>
      <c r="J390" s="577"/>
    </row>
    <row r="391" spans="1:10" ht="31.5" x14ac:dyDescent="0.45">
      <c r="A391" s="304"/>
      <c r="B391" s="572"/>
      <c r="C391" s="573"/>
      <c r="D391" s="574"/>
      <c r="E391" s="575"/>
      <c r="F391" s="583"/>
      <c r="G391" s="590"/>
      <c r="H391" s="589"/>
      <c r="I391" s="585"/>
      <c r="J391" s="577"/>
    </row>
    <row r="392" spans="1:10" ht="31.5" x14ac:dyDescent="0.45">
      <c r="A392" s="304"/>
      <c r="B392" s="572"/>
      <c r="C392" s="573"/>
      <c r="D392" s="574"/>
      <c r="E392" s="575"/>
      <c r="F392" s="583"/>
      <c r="G392" s="590"/>
      <c r="H392" s="589"/>
      <c r="I392" s="585"/>
      <c r="J392" s="577"/>
    </row>
    <row r="393" spans="1:10" ht="31.5" x14ac:dyDescent="0.45">
      <c r="A393" s="304"/>
      <c r="B393" s="572"/>
      <c r="C393" s="573"/>
      <c r="D393" s="574"/>
      <c r="E393" s="575"/>
      <c r="F393" s="583"/>
      <c r="G393" s="590"/>
      <c r="H393" s="589"/>
      <c r="I393" s="585"/>
      <c r="J393" s="577"/>
    </row>
    <row r="394" spans="1:10" ht="31.5" x14ac:dyDescent="0.45">
      <c r="A394" s="304"/>
      <c r="B394" s="572"/>
      <c r="C394" s="573"/>
      <c r="D394" s="574"/>
      <c r="E394" s="575"/>
      <c r="F394" s="583"/>
      <c r="G394" s="590"/>
      <c r="H394" s="589"/>
      <c r="I394" s="585"/>
      <c r="J394" s="577"/>
    </row>
    <row r="395" spans="1:10" ht="31.5" x14ac:dyDescent="0.45">
      <c r="A395" s="304"/>
      <c r="B395" s="572"/>
      <c r="C395" s="573"/>
      <c r="D395" s="574"/>
      <c r="E395" s="575"/>
      <c r="F395" s="583"/>
      <c r="G395" s="590"/>
      <c r="H395" s="589"/>
      <c r="I395" s="585"/>
      <c r="J395" s="577"/>
    </row>
    <row r="396" spans="1:10" ht="31.5" x14ac:dyDescent="0.45">
      <c r="A396" s="304"/>
      <c r="B396" s="572"/>
      <c r="C396" s="573"/>
      <c r="D396" s="574"/>
      <c r="E396" s="575"/>
      <c r="F396" s="583"/>
      <c r="G396" s="590"/>
      <c r="H396" s="589"/>
      <c r="I396" s="585"/>
      <c r="J396" s="577"/>
    </row>
    <row r="397" spans="1:10" ht="31.5" x14ac:dyDescent="0.45">
      <c r="A397" s="304"/>
      <c r="B397" s="572"/>
      <c r="C397" s="573"/>
      <c r="D397" s="574"/>
      <c r="E397" s="575"/>
      <c r="F397" s="583"/>
      <c r="G397" s="590"/>
      <c r="H397" s="589"/>
      <c r="I397" s="585"/>
      <c r="J397" s="577"/>
    </row>
    <row r="398" spans="1:10" ht="31.5" x14ac:dyDescent="0.45">
      <c r="A398" s="304"/>
      <c r="B398" s="572"/>
      <c r="C398" s="573"/>
      <c r="D398" s="574"/>
      <c r="E398" s="575"/>
      <c r="F398" s="583"/>
      <c r="G398" s="590"/>
      <c r="H398" s="589"/>
      <c r="I398" s="585"/>
      <c r="J398" s="577"/>
    </row>
    <row r="399" spans="1:10" ht="31.5" x14ac:dyDescent="0.45">
      <c r="A399" s="304"/>
      <c r="B399" s="572"/>
      <c r="C399" s="573"/>
      <c r="D399" s="574"/>
      <c r="E399" s="575"/>
      <c r="F399" s="583"/>
      <c r="G399" s="590"/>
      <c r="H399" s="589"/>
      <c r="I399" s="585"/>
      <c r="J399" s="577"/>
    </row>
    <row r="400" spans="1:10" ht="31.5" x14ac:dyDescent="0.45">
      <c r="A400" s="304"/>
      <c r="B400" s="572"/>
      <c r="C400" s="573"/>
      <c r="D400" s="574"/>
      <c r="E400" s="575"/>
      <c r="F400" s="583"/>
      <c r="G400" s="590"/>
      <c r="H400" s="589"/>
      <c r="I400" s="585"/>
      <c r="J400" s="577"/>
    </row>
    <row r="401" spans="1:10" ht="31.5" x14ac:dyDescent="0.45">
      <c r="A401" s="304"/>
      <c r="B401" s="572"/>
      <c r="C401" s="573"/>
      <c r="D401" s="574"/>
      <c r="E401" s="575"/>
      <c r="F401" s="583"/>
      <c r="G401" s="590"/>
      <c r="H401" s="589"/>
      <c r="I401" s="585"/>
      <c r="J401" s="577"/>
    </row>
    <row r="402" spans="1:10" ht="31.5" x14ac:dyDescent="0.45">
      <c r="A402" s="304"/>
      <c r="B402" s="572"/>
      <c r="C402" s="573"/>
      <c r="D402" s="574"/>
      <c r="E402" s="575"/>
      <c r="F402" s="583"/>
      <c r="G402" s="590"/>
      <c r="H402" s="589"/>
      <c r="I402" s="585"/>
      <c r="J402" s="577"/>
    </row>
    <row r="403" spans="1:10" ht="31.5" x14ac:dyDescent="0.45">
      <c r="A403" s="304"/>
      <c r="B403" s="572"/>
      <c r="C403" s="573"/>
      <c r="D403" s="574"/>
      <c r="E403" s="575"/>
      <c r="F403" s="583"/>
      <c r="G403" s="590"/>
      <c r="H403" s="589"/>
      <c r="I403" s="585"/>
      <c r="J403" s="577"/>
    </row>
    <row r="404" spans="1:10" ht="31.5" x14ac:dyDescent="0.45">
      <c r="A404" s="304"/>
      <c r="B404" s="572"/>
      <c r="C404" s="573"/>
      <c r="D404" s="574"/>
      <c r="E404" s="575"/>
      <c r="F404" s="583"/>
      <c r="G404" s="590"/>
      <c r="H404" s="589"/>
      <c r="I404" s="585"/>
      <c r="J404" s="577"/>
    </row>
    <row r="405" spans="1:10" ht="31.5" x14ac:dyDescent="0.45">
      <c r="A405" s="304"/>
      <c r="B405" s="572"/>
      <c r="C405" s="573"/>
      <c r="D405" s="574"/>
      <c r="E405" s="575"/>
      <c r="F405" s="583"/>
      <c r="G405" s="590"/>
      <c r="H405" s="589"/>
      <c r="I405" s="585"/>
      <c r="J405" s="577"/>
    </row>
    <row r="406" spans="1:10" ht="31.5" x14ac:dyDescent="0.45">
      <c r="A406" s="304"/>
      <c r="B406" s="572"/>
      <c r="C406" s="573"/>
      <c r="D406" s="574"/>
      <c r="E406" s="575"/>
      <c r="F406" s="583"/>
      <c r="G406" s="590"/>
      <c r="H406" s="589"/>
      <c r="I406" s="585"/>
      <c r="J406" s="577"/>
    </row>
    <row r="407" spans="1:10" ht="32.25" thickBot="1" x14ac:dyDescent="0.5">
      <c r="A407" s="306"/>
      <c r="B407" s="578"/>
      <c r="C407" s="579"/>
      <c r="D407" s="580"/>
      <c r="E407" s="581"/>
      <c r="F407" s="584"/>
      <c r="G407" s="591"/>
      <c r="H407" s="592"/>
      <c r="I407" s="586"/>
      <c r="J407" s="582"/>
    </row>
    <row r="408" spans="1:10" ht="24.75" thickTop="1" thickBot="1" x14ac:dyDescent="0.3">
      <c r="A408" s="334"/>
      <c r="B408" s="335"/>
      <c r="C408" s="335"/>
      <c r="D408" s="600"/>
      <c r="E408" s="601"/>
      <c r="F408" s="334"/>
      <c r="G408" s="337"/>
      <c r="H408" s="337"/>
      <c r="I408" s="602"/>
      <c r="J408" s="337"/>
    </row>
    <row r="409" spans="1:10" ht="32.25" thickTop="1" x14ac:dyDescent="0.45">
      <c r="A409" s="333"/>
      <c r="B409" s="593"/>
      <c r="C409" s="594"/>
      <c r="D409" s="595"/>
      <c r="E409" s="596"/>
      <c r="F409" s="597"/>
      <c r="G409" s="598"/>
      <c r="H409" s="587"/>
      <c r="I409" s="599"/>
      <c r="J409" s="576"/>
    </row>
    <row r="410" spans="1:10" ht="31.5" x14ac:dyDescent="0.45">
      <c r="A410" s="304"/>
      <c r="B410" s="572"/>
      <c r="C410" s="573"/>
      <c r="D410" s="574"/>
      <c r="E410" s="575"/>
      <c r="F410" s="583"/>
      <c r="G410" s="588"/>
      <c r="H410" s="589"/>
      <c r="I410" s="585"/>
      <c r="J410" s="577"/>
    </row>
    <row r="411" spans="1:10" ht="31.5" x14ac:dyDescent="0.45">
      <c r="A411" s="304"/>
      <c r="B411" s="572"/>
      <c r="C411" s="573"/>
      <c r="D411" s="574"/>
      <c r="E411" s="575"/>
      <c r="F411" s="583"/>
      <c r="G411" s="588"/>
      <c r="H411" s="589"/>
      <c r="I411" s="585"/>
      <c r="J411" s="577"/>
    </row>
    <row r="412" spans="1:10" ht="31.5" x14ac:dyDescent="0.45">
      <c r="A412" s="304"/>
      <c r="B412" s="572"/>
      <c r="C412" s="573"/>
      <c r="D412" s="574"/>
      <c r="E412" s="575"/>
      <c r="F412" s="583"/>
      <c r="G412" s="588"/>
      <c r="H412" s="589"/>
      <c r="I412" s="585"/>
      <c r="J412" s="577"/>
    </row>
    <row r="413" spans="1:10" ht="31.5" x14ac:dyDescent="0.45">
      <c r="A413" s="304"/>
      <c r="B413" s="572"/>
      <c r="C413" s="573"/>
      <c r="D413" s="574"/>
      <c r="E413" s="575"/>
      <c r="F413" s="583"/>
      <c r="G413" s="588"/>
      <c r="H413" s="589"/>
      <c r="I413" s="585"/>
      <c r="J413" s="577"/>
    </row>
    <row r="414" spans="1:10" ht="31.5" x14ac:dyDescent="0.45">
      <c r="A414" s="305"/>
      <c r="B414" s="572"/>
      <c r="C414" s="573"/>
      <c r="D414" s="574"/>
      <c r="E414" s="575"/>
      <c r="F414" s="583"/>
      <c r="G414" s="588"/>
      <c r="H414" s="589"/>
      <c r="I414" s="585"/>
      <c r="J414" s="577"/>
    </row>
    <row r="415" spans="1:10" ht="31.5" x14ac:dyDescent="0.45">
      <c r="A415" s="304"/>
      <c r="B415" s="572"/>
      <c r="C415" s="573"/>
      <c r="D415" s="574"/>
      <c r="E415" s="575"/>
      <c r="F415" s="583"/>
      <c r="G415" s="590"/>
      <c r="H415" s="589"/>
      <c r="I415" s="585"/>
      <c r="J415" s="577"/>
    </row>
    <row r="416" spans="1:10" ht="31.5" x14ac:dyDescent="0.45">
      <c r="A416" s="304"/>
      <c r="B416" s="572"/>
      <c r="C416" s="573"/>
      <c r="D416" s="574"/>
      <c r="E416" s="575"/>
      <c r="F416" s="583"/>
      <c r="G416" s="590"/>
      <c r="H416" s="589"/>
      <c r="I416" s="585"/>
      <c r="J416" s="577"/>
    </row>
    <row r="417" spans="1:10" ht="31.5" x14ac:dyDescent="0.45">
      <c r="A417" s="304"/>
      <c r="B417" s="572"/>
      <c r="C417" s="573"/>
      <c r="D417" s="574"/>
      <c r="E417" s="575"/>
      <c r="F417" s="583"/>
      <c r="G417" s="590"/>
      <c r="H417" s="589"/>
      <c r="I417" s="585"/>
      <c r="J417" s="577"/>
    </row>
    <row r="418" spans="1:10" ht="31.5" x14ac:dyDescent="0.45">
      <c r="A418" s="304"/>
      <c r="B418" s="572"/>
      <c r="C418" s="573"/>
      <c r="D418" s="574"/>
      <c r="E418" s="575"/>
      <c r="F418" s="583"/>
      <c r="G418" s="590"/>
      <c r="H418" s="589"/>
      <c r="I418" s="585"/>
      <c r="J418" s="577"/>
    </row>
    <row r="419" spans="1:10" ht="31.5" x14ac:dyDescent="0.45">
      <c r="A419" s="304"/>
      <c r="B419" s="572"/>
      <c r="C419" s="573"/>
      <c r="D419" s="574"/>
      <c r="E419" s="575"/>
      <c r="F419" s="583"/>
      <c r="G419" s="590"/>
      <c r="H419" s="589"/>
      <c r="I419" s="585"/>
      <c r="J419" s="577"/>
    </row>
    <row r="420" spans="1:10" ht="31.5" x14ac:dyDescent="0.45">
      <c r="A420" s="304"/>
      <c r="B420" s="572"/>
      <c r="C420" s="573"/>
      <c r="D420" s="574"/>
      <c r="E420" s="575"/>
      <c r="F420" s="583"/>
      <c r="G420" s="590"/>
      <c r="H420" s="589"/>
      <c r="I420" s="585"/>
      <c r="J420" s="577"/>
    </row>
    <row r="421" spans="1:10" ht="31.5" x14ac:dyDescent="0.45">
      <c r="A421" s="304"/>
      <c r="B421" s="572"/>
      <c r="C421" s="573"/>
      <c r="D421" s="574"/>
      <c r="E421" s="575"/>
      <c r="F421" s="583"/>
      <c r="G421" s="590"/>
      <c r="H421" s="589"/>
      <c r="I421" s="585"/>
      <c r="J421" s="577"/>
    </row>
    <row r="422" spans="1:10" ht="31.5" x14ac:dyDescent="0.45">
      <c r="A422" s="304"/>
      <c r="B422" s="572"/>
      <c r="C422" s="573"/>
      <c r="D422" s="574"/>
      <c r="E422" s="575"/>
      <c r="F422" s="583"/>
      <c r="G422" s="590"/>
      <c r="H422" s="589"/>
      <c r="I422" s="585"/>
      <c r="J422" s="577"/>
    </row>
    <row r="423" spans="1:10" ht="31.5" x14ac:dyDescent="0.45">
      <c r="A423" s="304"/>
      <c r="B423" s="572"/>
      <c r="C423" s="573"/>
      <c r="D423" s="574"/>
      <c r="E423" s="575"/>
      <c r="F423" s="583"/>
      <c r="G423" s="590"/>
      <c r="H423" s="589"/>
      <c r="I423" s="585"/>
      <c r="J423" s="577"/>
    </row>
    <row r="424" spans="1:10" ht="31.5" x14ac:dyDescent="0.45">
      <c r="A424" s="304"/>
      <c r="B424" s="572"/>
      <c r="C424" s="573"/>
      <c r="D424" s="574"/>
      <c r="E424" s="575"/>
      <c r="F424" s="583"/>
      <c r="G424" s="590"/>
      <c r="H424" s="589"/>
      <c r="I424" s="585"/>
      <c r="J424" s="577"/>
    </row>
    <row r="425" spans="1:10" ht="31.5" x14ac:dyDescent="0.45">
      <c r="A425" s="304"/>
      <c r="B425" s="572"/>
      <c r="C425" s="573"/>
      <c r="D425" s="574"/>
      <c r="E425" s="575"/>
      <c r="F425" s="583"/>
      <c r="G425" s="590"/>
      <c r="H425" s="589"/>
      <c r="I425" s="585"/>
      <c r="J425" s="577"/>
    </row>
    <row r="426" spans="1:10" ht="31.5" x14ac:dyDescent="0.45">
      <c r="A426" s="304"/>
      <c r="B426" s="572"/>
      <c r="C426" s="573"/>
      <c r="D426" s="574"/>
      <c r="E426" s="575"/>
      <c r="F426" s="583"/>
      <c r="G426" s="590"/>
      <c r="H426" s="589"/>
      <c r="I426" s="585"/>
      <c r="J426" s="577"/>
    </row>
    <row r="427" spans="1:10" ht="31.5" x14ac:dyDescent="0.45">
      <c r="A427" s="304"/>
      <c r="B427" s="572"/>
      <c r="C427" s="573"/>
      <c r="D427" s="574"/>
      <c r="E427" s="575"/>
      <c r="F427" s="583"/>
      <c r="G427" s="590"/>
      <c r="H427" s="589"/>
      <c r="I427" s="585"/>
      <c r="J427" s="577"/>
    </row>
    <row r="428" spans="1:10" ht="31.5" x14ac:dyDescent="0.45">
      <c r="A428" s="304"/>
      <c r="B428" s="572"/>
      <c r="C428" s="573"/>
      <c r="D428" s="574"/>
      <c r="E428" s="575"/>
      <c r="F428" s="583"/>
      <c r="G428" s="590"/>
      <c r="H428" s="589"/>
      <c r="I428" s="585"/>
      <c r="J428" s="577"/>
    </row>
    <row r="429" spans="1:10" ht="31.5" x14ac:dyDescent="0.45">
      <c r="A429" s="304"/>
      <c r="B429" s="572"/>
      <c r="C429" s="573"/>
      <c r="D429" s="574"/>
      <c r="E429" s="575"/>
      <c r="F429" s="583"/>
      <c r="G429" s="590"/>
      <c r="H429" s="589"/>
      <c r="I429" s="585"/>
      <c r="J429" s="577"/>
    </row>
    <row r="430" spans="1:10" ht="31.5" x14ac:dyDescent="0.45">
      <c r="A430" s="304"/>
      <c r="B430" s="572"/>
      <c r="C430" s="573"/>
      <c r="D430" s="574"/>
      <c r="E430" s="575"/>
      <c r="F430" s="583"/>
      <c r="G430" s="590"/>
      <c r="H430" s="589"/>
      <c r="I430" s="585"/>
      <c r="J430" s="577"/>
    </row>
    <row r="431" spans="1:10" ht="31.5" x14ac:dyDescent="0.45">
      <c r="A431" s="304"/>
      <c r="B431" s="572"/>
      <c r="C431" s="573"/>
      <c r="D431" s="574"/>
      <c r="E431" s="575"/>
      <c r="F431" s="583"/>
      <c r="G431" s="590"/>
      <c r="H431" s="589"/>
      <c r="I431" s="585"/>
      <c r="J431" s="577"/>
    </row>
    <row r="432" spans="1:10" ht="31.5" x14ac:dyDescent="0.45">
      <c r="A432" s="304"/>
      <c r="B432" s="572"/>
      <c r="C432" s="573"/>
      <c r="D432" s="574"/>
      <c r="E432" s="575"/>
      <c r="F432" s="583"/>
      <c r="G432" s="590"/>
      <c r="H432" s="589"/>
      <c r="I432" s="585"/>
      <c r="J432" s="577"/>
    </row>
    <row r="433" spans="1:10" ht="31.5" x14ac:dyDescent="0.45">
      <c r="A433" s="304"/>
      <c r="B433" s="572"/>
      <c r="C433" s="573"/>
      <c r="D433" s="574"/>
      <c r="E433" s="575"/>
      <c r="F433" s="583"/>
      <c r="G433" s="590"/>
      <c r="H433" s="589"/>
      <c r="I433" s="585"/>
      <c r="J433" s="577"/>
    </row>
    <row r="434" spans="1:10" ht="31.5" x14ac:dyDescent="0.45">
      <c r="A434" s="304"/>
      <c r="B434" s="572"/>
      <c r="C434" s="573"/>
      <c r="D434" s="574"/>
      <c r="E434" s="575"/>
      <c r="F434" s="583"/>
      <c r="G434" s="590"/>
      <c r="H434" s="589"/>
      <c r="I434" s="585"/>
      <c r="J434" s="577"/>
    </row>
    <row r="435" spans="1:10" ht="31.5" x14ac:dyDescent="0.45">
      <c r="A435" s="304"/>
      <c r="B435" s="572"/>
      <c r="C435" s="573"/>
      <c r="D435" s="574"/>
      <c r="E435" s="575"/>
      <c r="F435" s="583"/>
      <c r="G435" s="590"/>
      <c r="H435" s="589"/>
      <c r="I435" s="585"/>
      <c r="J435" s="577"/>
    </row>
    <row r="436" spans="1:10" ht="32.25" thickBot="1" x14ac:dyDescent="0.5">
      <c r="A436" s="306"/>
      <c r="B436" s="578"/>
      <c r="C436" s="579"/>
      <c r="D436" s="580"/>
      <c r="E436" s="581"/>
      <c r="F436" s="584"/>
      <c r="G436" s="591"/>
      <c r="H436" s="592"/>
      <c r="I436" s="586"/>
      <c r="J436" s="582"/>
    </row>
    <row r="437" spans="1:10" ht="24.75" thickTop="1" thickBot="1" x14ac:dyDescent="0.3">
      <c r="A437" s="334"/>
      <c r="B437" s="335"/>
      <c r="C437" s="335"/>
      <c r="D437" s="600"/>
      <c r="E437" s="601"/>
      <c r="F437" s="334"/>
      <c r="G437" s="337"/>
      <c r="H437" s="337"/>
      <c r="I437" s="602"/>
      <c r="J437" s="337"/>
    </row>
    <row r="438" spans="1:10" ht="32.25" thickTop="1" x14ac:dyDescent="0.45">
      <c r="A438" s="333"/>
      <c r="B438" s="593"/>
      <c r="C438" s="594"/>
      <c r="D438" s="595"/>
      <c r="E438" s="596"/>
      <c r="F438" s="597"/>
      <c r="G438" s="598"/>
      <c r="H438" s="587"/>
      <c r="I438" s="599"/>
      <c r="J438" s="576"/>
    </row>
    <row r="439" spans="1:10" ht="31.5" x14ac:dyDescent="0.45">
      <c r="A439" s="304"/>
      <c r="B439" s="572"/>
      <c r="C439" s="573"/>
      <c r="D439" s="574"/>
      <c r="E439" s="575"/>
      <c r="F439" s="583"/>
      <c r="G439" s="588"/>
      <c r="H439" s="589"/>
      <c r="I439" s="585"/>
      <c r="J439" s="577"/>
    </row>
    <row r="440" spans="1:10" ht="31.5" x14ac:dyDescent="0.45">
      <c r="A440" s="304"/>
      <c r="B440" s="572"/>
      <c r="C440" s="573"/>
      <c r="D440" s="574"/>
      <c r="E440" s="575"/>
      <c r="F440" s="583"/>
      <c r="G440" s="588"/>
      <c r="H440" s="589"/>
      <c r="I440" s="585"/>
      <c r="J440" s="577"/>
    </row>
    <row r="441" spans="1:10" ht="31.5" x14ac:dyDescent="0.45">
      <c r="A441" s="304"/>
      <c r="B441" s="572"/>
      <c r="C441" s="573"/>
      <c r="D441" s="574"/>
      <c r="E441" s="575"/>
      <c r="F441" s="583"/>
      <c r="G441" s="588"/>
      <c r="H441" s="589"/>
      <c r="I441" s="585"/>
      <c r="J441" s="577"/>
    </row>
    <row r="442" spans="1:10" ht="31.5" x14ac:dyDescent="0.45">
      <c r="A442" s="304"/>
      <c r="B442" s="572"/>
      <c r="C442" s="573"/>
      <c r="D442" s="574"/>
      <c r="E442" s="575"/>
      <c r="F442" s="583"/>
      <c r="G442" s="588"/>
      <c r="H442" s="589"/>
      <c r="I442" s="585"/>
      <c r="J442" s="577"/>
    </row>
    <row r="443" spans="1:10" ht="31.5" x14ac:dyDescent="0.45">
      <c r="A443" s="305"/>
      <c r="B443" s="572"/>
      <c r="C443" s="573"/>
      <c r="D443" s="574"/>
      <c r="E443" s="575"/>
      <c r="F443" s="583"/>
      <c r="G443" s="588"/>
      <c r="H443" s="589"/>
      <c r="I443" s="585"/>
      <c r="J443" s="577"/>
    </row>
    <row r="444" spans="1:10" ht="31.5" x14ac:dyDescent="0.45">
      <c r="A444" s="304"/>
      <c r="B444" s="572"/>
      <c r="C444" s="573"/>
      <c r="D444" s="574"/>
      <c r="E444" s="575"/>
      <c r="F444" s="583"/>
      <c r="G444" s="590"/>
      <c r="H444" s="589"/>
      <c r="I444" s="585"/>
      <c r="J444" s="577"/>
    </row>
    <row r="445" spans="1:10" ht="31.5" x14ac:dyDescent="0.45">
      <c r="A445" s="304"/>
      <c r="B445" s="572"/>
      <c r="C445" s="573"/>
      <c r="D445" s="574"/>
      <c r="E445" s="575"/>
      <c r="F445" s="583"/>
      <c r="G445" s="590"/>
      <c r="H445" s="589"/>
      <c r="I445" s="585"/>
      <c r="J445" s="577"/>
    </row>
    <row r="446" spans="1:10" ht="31.5" x14ac:dyDescent="0.45">
      <c r="A446" s="304"/>
      <c r="B446" s="572"/>
      <c r="C446" s="573"/>
      <c r="D446" s="574"/>
      <c r="E446" s="575"/>
      <c r="F446" s="583"/>
      <c r="G446" s="590"/>
      <c r="H446" s="589"/>
      <c r="I446" s="585"/>
      <c r="J446" s="577"/>
    </row>
    <row r="447" spans="1:10" ht="31.5" x14ac:dyDescent="0.45">
      <c r="A447" s="304"/>
      <c r="B447" s="572"/>
      <c r="C447" s="573"/>
      <c r="D447" s="574"/>
      <c r="E447" s="575"/>
      <c r="F447" s="583"/>
      <c r="G447" s="590"/>
      <c r="H447" s="589"/>
      <c r="I447" s="585"/>
      <c r="J447" s="577"/>
    </row>
    <row r="448" spans="1:10" ht="31.5" x14ac:dyDescent="0.45">
      <c r="A448" s="304"/>
      <c r="B448" s="572"/>
      <c r="C448" s="573"/>
      <c r="D448" s="574"/>
      <c r="E448" s="575"/>
      <c r="F448" s="583"/>
      <c r="G448" s="590"/>
      <c r="H448" s="589"/>
      <c r="I448" s="585"/>
      <c r="J448" s="577"/>
    </row>
    <row r="449" spans="1:10" ht="31.5" x14ac:dyDescent="0.45">
      <c r="A449" s="304"/>
      <c r="B449" s="572"/>
      <c r="C449" s="573"/>
      <c r="D449" s="574"/>
      <c r="E449" s="575"/>
      <c r="F449" s="583"/>
      <c r="G449" s="590"/>
      <c r="H449" s="589"/>
      <c r="I449" s="585"/>
      <c r="J449" s="577"/>
    </row>
    <row r="450" spans="1:10" ht="31.5" x14ac:dyDescent="0.45">
      <c r="A450" s="304"/>
      <c r="B450" s="572"/>
      <c r="C450" s="573"/>
      <c r="D450" s="574"/>
      <c r="E450" s="575"/>
      <c r="F450" s="583"/>
      <c r="G450" s="590"/>
      <c r="H450" s="589"/>
      <c r="I450" s="585"/>
      <c r="J450" s="577"/>
    </row>
    <row r="451" spans="1:10" ht="31.5" x14ac:dyDescent="0.45">
      <c r="A451" s="304"/>
      <c r="B451" s="572"/>
      <c r="C451" s="573"/>
      <c r="D451" s="574"/>
      <c r="E451" s="575"/>
      <c r="F451" s="583"/>
      <c r="G451" s="590"/>
      <c r="H451" s="589"/>
      <c r="I451" s="585"/>
      <c r="J451" s="577"/>
    </row>
    <row r="452" spans="1:10" ht="31.5" x14ac:dyDescent="0.45">
      <c r="A452" s="304"/>
      <c r="B452" s="572"/>
      <c r="C452" s="573"/>
      <c r="D452" s="574"/>
      <c r="E452" s="575"/>
      <c r="F452" s="583"/>
      <c r="G452" s="590"/>
      <c r="H452" s="589"/>
      <c r="I452" s="585"/>
      <c r="J452" s="577"/>
    </row>
    <row r="453" spans="1:10" ht="31.5" x14ac:dyDescent="0.45">
      <c r="A453" s="304"/>
      <c r="B453" s="572"/>
      <c r="C453" s="573"/>
      <c r="D453" s="574"/>
      <c r="E453" s="575"/>
      <c r="F453" s="583"/>
      <c r="G453" s="590"/>
      <c r="H453" s="589"/>
      <c r="I453" s="585"/>
      <c r="J453" s="577"/>
    </row>
    <row r="454" spans="1:10" ht="31.5" x14ac:dyDescent="0.45">
      <c r="A454" s="304"/>
      <c r="B454" s="572"/>
      <c r="C454" s="573"/>
      <c r="D454" s="574"/>
      <c r="E454" s="575"/>
      <c r="F454" s="583"/>
      <c r="G454" s="590"/>
      <c r="H454" s="589"/>
      <c r="I454" s="585"/>
      <c r="J454" s="577"/>
    </row>
    <row r="455" spans="1:10" ht="31.5" x14ac:dyDescent="0.45">
      <c r="A455" s="304"/>
      <c r="B455" s="572"/>
      <c r="C455" s="573"/>
      <c r="D455" s="574"/>
      <c r="E455" s="575"/>
      <c r="F455" s="583"/>
      <c r="G455" s="590"/>
      <c r="H455" s="589"/>
      <c r="I455" s="585"/>
      <c r="J455" s="577"/>
    </row>
    <row r="456" spans="1:10" ht="31.5" x14ac:dyDescent="0.45">
      <c r="A456" s="304"/>
      <c r="B456" s="572"/>
      <c r="C456" s="573"/>
      <c r="D456" s="574"/>
      <c r="E456" s="575"/>
      <c r="F456" s="583"/>
      <c r="G456" s="590"/>
      <c r="H456" s="589"/>
      <c r="I456" s="585"/>
      <c r="J456" s="577"/>
    </row>
    <row r="457" spans="1:10" ht="31.5" x14ac:dyDescent="0.45">
      <c r="A457" s="304"/>
      <c r="B457" s="572"/>
      <c r="C457" s="573"/>
      <c r="D457" s="574"/>
      <c r="E457" s="575"/>
      <c r="F457" s="583"/>
      <c r="G457" s="590"/>
      <c r="H457" s="589"/>
      <c r="I457" s="585"/>
      <c r="J457" s="577"/>
    </row>
    <row r="458" spans="1:10" ht="31.5" x14ac:dyDescent="0.45">
      <c r="A458" s="304"/>
      <c r="B458" s="572"/>
      <c r="C458" s="573"/>
      <c r="D458" s="574"/>
      <c r="E458" s="575"/>
      <c r="F458" s="583"/>
      <c r="G458" s="590"/>
      <c r="H458" s="589"/>
      <c r="I458" s="585"/>
      <c r="J458" s="577"/>
    </row>
    <row r="459" spans="1:10" ht="31.5" x14ac:dyDescent="0.45">
      <c r="A459" s="304"/>
      <c r="B459" s="572"/>
      <c r="C459" s="573"/>
      <c r="D459" s="574"/>
      <c r="E459" s="575"/>
      <c r="F459" s="583"/>
      <c r="G459" s="590"/>
      <c r="H459" s="589"/>
      <c r="I459" s="585"/>
      <c r="J459" s="577"/>
    </row>
    <row r="460" spans="1:10" ht="31.5" x14ac:dyDescent="0.45">
      <c r="A460" s="304"/>
      <c r="B460" s="572"/>
      <c r="C460" s="573"/>
      <c r="D460" s="574"/>
      <c r="E460" s="575"/>
      <c r="F460" s="583"/>
      <c r="G460" s="590"/>
      <c r="H460" s="589"/>
      <c r="I460" s="585"/>
      <c r="J460" s="577"/>
    </row>
    <row r="461" spans="1:10" ht="31.5" x14ac:dyDescent="0.45">
      <c r="A461" s="304"/>
      <c r="B461" s="572"/>
      <c r="C461" s="573"/>
      <c r="D461" s="574"/>
      <c r="E461" s="575"/>
      <c r="F461" s="583"/>
      <c r="G461" s="590"/>
      <c r="H461" s="589"/>
      <c r="I461" s="585"/>
      <c r="J461" s="577"/>
    </row>
    <row r="462" spans="1:10" ht="31.5" x14ac:dyDescent="0.45">
      <c r="A462" s="304"/>
      <c r="B462" s="572"/>
      <c r="C462" s="573"/>
      <c r="D462" s="574"/>
      <c r="E462" s="575"/>
      <c r="F462" s="583"/>
      <c r="G462" s="590"/>
      <c r="H462" s="589"/>
      <c r="I462" s="585"/>
      <c r="J462" s="577"/>
    </row>
    <row r="463" spans="1:10" ht="31.5" x14ac:dyDescent="0.45">
      <c r="A463" s="304"/>
      <c r="B463" s="572"/>
      <c r="C463" s="573"/>
      <c r="D463" s="574"/>
      <c r="E463" s="575"/>
      <c r="F463" s="583"/>
      <c r="G463" s="590"/>
      <c r="H463" s="589"/>
      <c r="I463" s="585"/>
      <c r="J463" s="577"/>
    </row>
    <row r="464" spans="1:10" ht="31.5" x14ac:dyDescent="0.45">
      <c r="A464" s="304"/>
      <c r="B464" s="572"/>
      <c r="C464" s="573"/>
      <c r="D464" s="574"/>
      <c r="E464" s="575"/>
      <c r="F464" s="583"/>
      <c r="G464" s="590"/>
      <c r="H464" s="589"/>
      <c r="I464" s="585"/>
      <c r="J464" s="577"/>
    </row>
    <row r="465" spans="1:10" ht="32.25" thickBot="1" x14ac:dyDescent="0.5">
      <c r="A465" s="306"/>
      <c r="B465" s="578"/>
      <c r="C465" s="579"/>
      <c r="D465" s="580"/>
      <c r="E465" s="581"/>
      <c r="F465" s="584"/>
      <c r="G465" s="591"/>
      <c r="H465" s="592"/>
      <c r="I465" s="586"/>
      <c r="J465" s="582"/>
    </row>
    <row r="466" spans="1:10" ht="24.75" thickTop="1" thickBot="1" x14ac:dyDescent="0.3">
      <c r="A466" s="334"/>
      <c r="B466" s="335"/>
      <c r="C466" s="335"/>
      <c r="D466" s="600"/>
      <c r="E466" s="601"/>
      <c r="F466" s="334"/>
      <c r="G466" s="337"/>
      <c r="H466" s="337"/>
      <c r="I466" s="602"/>
      <c r="J466" s="337"/>
    </row>
    <row r="467" spans="1:10" ht="32.25" thickTop="1" x14ac:dyDescent="0.45">
      <c r="A467" s="333"/>
      <c r="B467" s="593"/>
      <c r="C467" s="594"/>
      <c r="D467" s="595"/>
      <c r="E467" s="596"/>
      <c r="F467" s="597"/>
      <c r="G467" s="598"/>
      <c r="H467" s="587"/>
      <c r="I467" s="599"/>
      <c r="J467" s="576"/>
    </row>
    <row r="468" spans="1:10" ht="31.5" x14ac:dyDescent="0.45">
      <c r="A468" s="304"/>
      <c r="B468" s="572"/>
      <c r="C468" s="573"/>
      <c r="D468" s="574"/>
      <c r="E468" s="575"/>
      <c r="F468" s="583"/>
      <c r="G468" s="588"/>
      <c r="H468" s="589"/>
      <c r="I468" s="585"/>
      <c r="J468" s="577"/>
    </row>
    <row r="469" spans="1:10" ht="31.5" x14ac:dyDescent="0.45">
      <c r="A469" s="304"/>
      <c r="B469" s="572"/>
      <c r="C469" s="573"/>
      <c r="D469" s="574"/>
      <c r="E469" s="575"/>
      <c r="F469" s="583"/>
      <c r="G469" s="588"/>
      <c r="H469" s="589"/>
      <c r="I469" s="585"/>
      <c r="J469" s="577"/>
    </row>
    <row r="470" spans="1:10" ht="31.5" x14ac:dyDescent="0.45">
      <c r="A470" s="304"/>
      <c r="B470" s="572"/>
      <c r="C470" s="573"/>
      <c r="D470" s="574"/>
      <c r="E470" s="575"/>
      <c r="F470" s="583"/>
      <c r="G470" s="588"/>
      <c r="H470" s="589"/>
      <c r="I470" s="585"/>
      <c r="J470" s="577"/>
    </row>
    <row r="471" spans="1:10" ht="31.5" x14ac:dyDescent="0.45">
      <c r="A471" s="304"/>
      <c r="B471" s="572"/>
      <c r="C471" s="573"/>
      <c r="D471" s="574"/>
      <c r="E471" s="575"/>
      <c r="F471" s="583"/>
      <c r="G471" s="588"/>
      <c r="H471" s="589"/>
      <c r="I471" s="585"/>
      <c r="J471" s="577"/>
    </row>
    <row r="472" spans="1:10" ht="31.5" x14ac:dyDescent="0.45">
      <c r="A472" s="305"/>
      <c r="B472" s="572"/>
      <c r="C472" s="573"/>
      <c r="D472" s="574"/>
      <c r="E472" s="575"/>
      <c r="F472" s="583"/>
      <c r="G472" s="588"/>
      <c r="H472" s="589"/>
      <c r="I472" s="585"/>
      <c r="J472" s="577"/>
    </row>
    <row r="473" spans="1:10" ht="31.5" x14ac:dyDescent="0.45">
      <c r="A473" s="304"/>
      <c r="B473" s="572"/>
      <c r="C473" s="573"/>
      <c r="D473" s="574"/>
      <c r="E473" s="575"/>
      <c r="F473" s="583"/>
      <c r="G473" s="590"/>
      <c r="H473" s="589"/>
      <c r="I473" s="585"/>
      <c r="J473" s="577"/>
    </row>
    <row r="474" spans="1:10" ht="31.5" x14ac:dyDescent="0.45">
      <c r="A474" s="304"/>
      <c r="B474" s="572"/>
      <c r="C474" s="573"/>
      <c r="D474" s="574"/>
      <c r="E474" s="575"/>
      <c r="F474" s="583"/>
      <c r="G474" s="590"/>
      <c r="H474" s="589"/>
      <c r="I474" s="585"/>
      <c r="J474" s="577"/>
    </row>
    <row r="475" spans="1:10" ht="31.5" x14ac:dyDescent="0.45">
      <c r="A475" s="304"/>
      <c r="B475" s="572"/>
      <c r="C475" s="573"/>
      <c r="D475" s="574"/>
      <c r="E475" s="575"/>
      <c r="F475" s="583"/>
      <c r="G475" s="590"/>
      <c r="H475" s="589"/>
      <c r="I475" s="585"/>
      <c r="J475" s="577"/>
    </row>
    <row r="476" spans="1:10" ht="31.5" x14ac:dyDescent="0.45">
      <c r="A476" s="304"/>
      <c r="B476" s="572"/>
      <c r="C476" s="573"/>
      <c r="D476" s="574"/>
      <c r="E476" s="575"/>
      <c r="F476" s="583"/>
      <c r="G476" s="590"/>
      <c r="H476" s="589"/>
      <c r="I476" s="585"/>
      <c r="J476" s="577"/>
    </row>
    <row r="477" spans="1:10" ht="31.5" x14ac:dyDescent="0.45">
      <c r="A477" s="304"/>
      <c r="B477" s="572"/>
      <c r="C477" s="573"/>
      <c r="D477" s="574"/>
      <c r="E477" s="575"/>
      <c r="F477" s="583"/>
      <c r="G477" s="590"/>
      <c r="H477" s="589"/>
      <c r="I477" s="585"/>
      <c r="J477" s="577"/>
    </row>
    <row r="478" spans="1:10" ht="31.5" x14ac:dyDescent="0.45">
      <c r="A478" s="304"/>
      <c r="B478" s="572"/>
      <c r="C478" s="573"/>
      <c r="D478" s="574"/>
      <c r="E478" s="575"/>
      <c r="F478" s="583"/>
      <c r="G478" s="590"/>
      <c r="H478" s="589"/>
      <c r="I478" s="585"/>
      <c r="J478" s="577"/>
    </row>
    <row r="479" spans="1:10" ht="31.5" x14ac:dyDescent="0.45">
      <c r="A479" s="304"/>
      <c r="B479" s="572"/>
      <c r="C479" s="573"/>
      <c r="D479" s="574"/>
      <c r="E479" s="575"/>
      <c r="F479" s="583"/>
      <c r="G479" s="590"/>
      <c r="H479" s="589"/>
      <c r="I479" s="585"/>
      <c r="J479" s="577"/>
    </row>
    <row r="480" spans="1:10" ht="31.5" x14ac:dyDescent="0.45">
      <c r="A480" s="304"/>
      <c r="B480" s="572"/>
      <c r="C480" s="573"/>
      <c r="D480" s="574"/>
      <c r="E480" s="575"/>
      <c r="F480" s="583"/>
      <c r="G480" s="590"/>
      <c r="H480" s="589"/>
      <c r="I480" s="585"/>
      <c r="J480" s="577"/>
    </row>
    <row r="481" spans="1:10" ht="31.5" x14ac:dyDescent="0.45">
      <c r="A481" s="304"/>
      <c r="B481" s="572"/>
      <c r="C481" s="573"/>
      <c r="D481" s="574"/>
      <c r="E481" s="575"/>
      <c r="F481" s="583"/>
      <c r="G481" s="590"/>
      <c r="H481" s="589"/>
      <c r="I481" s="585"/>
      <c r="J481" s="577"/>
    </row>
    <row r="482" spans="1:10" ht="31.5" x14ac:dyDescent="0.45">
      <c r="A482" s="304"/>
      <c r="B482" s="572"/>
      <c r="C482" s="573"/>
      <c r="D482" s="574"/>
      <c r="E482" s="575"/>
      <c r="F482" s="583"/>
      <c r="G482" s="590"/>
      <c r="H482" s="589"/>
      <c r="I482" s="585"/>
      <c r="J482" s="577"/>
    </row>
    <row r="483" spans="1:10" ht="31.5" x14ac:dyDescent="0.45">
      <c r="A483" s="304"/>
      <c r="B483" s="572"/>
      <c r="C483" s="573"/>
      <c r="D483" s="574"/>
      <c r="E483" s="575"/>
      <c r="F483" s="583"/>
      <c r="G483" s="590"/>
      <c r="H483" s="589"/>
      <c r="I483" s="585"/>
      <c r="J483" s="577"/>
    </row>
    <row r="484" spans="1:10" ht="31.5" x14ac:dyDescent="0.45">
      <c r="A484" s="304"/>
      <c r="B484" s="572"/>
      <c r="C484" s="573"/>
      <c r="D484" s="574"/>
      <c r="E484" s="575"/>
      <c r="F484" s="583"/>
      <c r="G484" s="590"/>
      <c r="H484" s="589"/>
      <c r="I484" s="585"/>
      <c r="J484" s="577"/>
    </row>
    <row r="485" spans="1:10" ht="31.5" x14ac:dyDescent="0.45">
      <c r="A485" s="304"/>
      <c r="B485" s="572"/>
      <c r="C485" s="573"/>
      <c r="D485" s="574"/>
      <c r="E485" s="575"/>
      <c r="F485" s="583"/>
      <c r="G485" s="590"/>
      <c r="H485" s="589"/>
      <c r="I485" s="585"/>
      <c r="J485" s="577"/>
    </row>
    <row r="486" spans="1:10" ht="31.5" x14ac:dyDescent="0.45">
      <c r="A486" s="304"/>
      <c r="B486" s="572"/>
      <c r="C486" s="573"/>
      <c r="D486" s="574"/>
      <c r="E486" s="575"/>
      <c r="F486" s="583"/>
      <c r="G486" s="590"/>
      <c r="H486" s="589"/>
      <c r="I486" s="585"/>
      <c r="J486" s="577"/>
    </row>
    <row r="487" spans="1:10" ht="31.5" x14ac:dyDescent="0.45">
      <c r="A487" s="304"/>
      <c r="B487" s="572"/>
      <c r="C487" s="573"/>
      <c r="D487" s="574"/>
      <c r="E487" s="575"/>
      <c r="F487" s="583"/>
      <c r="G487" s="590"/>
      <c r="H487" s="589"/>
      <c r="I487" s="585"/>
      <c r="J487" s="577"/>
    </row>
    <row r="488" spans="1:10" ht="31.5" x14ac:dyDescent="0.45">
      <c r="A488" s="304"/>
      <c r="B488" s="572"/>
      <c r="C488" s="573"/>
      <c r="D488" s="574"/>
      <c r="E488" s="575"/>
      <c r="F488" s="583"/>
      <c r="G488" s="590"/>
      <c r="H488" s="589"/>
      <c r="I488" s="585"/>
      <c r="J488" s="577"/>
    </row>
    <row r="489" spans="1:10" ht="31.5" x14ac:dyDescent="0.45">
      <c r="A489" s="304"/>
      <c r="B489" s="572"/>
      <c r="C489" s="573"/>
      <c r="D489" s="574"/>
      <c r="E489" s="575"/>
      <c r="F489" s="583"/>
      <c r="G489" s="590"/>
      <c r="H489" s="589"/>
      <c r="I489" s="585"/>
      <c r="J489" s="577"/>
    </row>
    <row r="490" spans="1:10" ht="31.5" x14ac:dyDescent="0.45">
      <c r="A490" s="304"/>
      <c r="B490" s="572"/>
      <c r="C490" s="573"/>
      <c r="D490" s="574"/>
      <c r="E490" s="575"/>
      <c r="F490" s="583"/>
      <c r="G490" s="590"/>
      <c r="H490" s="589"/>
      <c r="I490" s="585"/>
      <c r="J490" s="577"/>
    </row>
    <row r="491" spans="1:10" ht="31.5" x14ac:dyDescent="0.45">
      <c r="A491" s="304"/>
      <c r="B491" s="572"/>
      <c r="C491" s="573"/>
      <c r="D491" s="574"/>
      <c r="E491" s="575"/>
      <c r="F491" s="583"/>
      <c r="G491" s="590"/>
      <c r="H491" s="589"/>
      <c r="I491" s="585"/>
      <c r="J491" s="577"/>
    </row>
    <row r="492" spans="1:10" ht="31.5" x14ac:dyDescent="0.45">
      <c r="A492" s="304"/>
      <c r="B492" s="572"/>
      <c r="C492" s="573"/>
      <c r="D492" s="574"/>
      <c r="E492" s="575"/>
      <c r="F492" s="583"/>
      <c r="G492" s="590"/>
      <c r="H492" s="589"/>
      <c r="I492" s="585"/>
      <c r="J492" s="577"/>
    </row>
    <row r="493" spans="1:10" ht="31.5" x14ac:dyDescent="0.45">
      <c r="A493" s="304"/>
      <c r="B493" s="572"/>
      <c r="C493" s="573"/>
      <c r="D493" s="574"/>
      <c r="E493" s="575"/>
      <c r="F493" s="583"/>
      <c r="G493" s="590"/>
      <c r="H493" s="589"/>
      <c r="I493" s="585"/>
      <c r="J493" s="577"/>
    </row>
    <row r="494" spans="1:10" ht="32.25" thickBot="1" x14ac:dyDescent="0.5">
      <c r="A494" s="306"/>
      <c r="B494" s="578"/>
      <c r="C494" s="579"/>
      <c r="D494" s="580"/>
      <c r="E494" s="581"/>
      <c r="F494" s="584"/>
      <c r="G494" s="591"/>
      <c r="H494" s="592"/>
      <c r="I494" s="586"/>
      <c r="J494" s="582"/>
    </row>
    <row r="495" spans="1:10" ht="24.75" thickTop="1" thickBot="1" x14ac:dyDescent="0.3">
      <c r="A495" s="334"/>
      <c r="B495" s="335"/>
      <c r="C495" s="335"/>
      <c r="D495" s="600"/>
      <c r="E495" s="601"/>
      <c r="F495" s="334"/>
      <c r="G495" s="337"/>
      <c r="H495" s="337"/>
      <c r="I495" s="602"/>
      <c r="J495" s="337"/>
    </row>
    <row r="496" spans="1:10" ht="32.25" thickTop="1" x14ac:dyDescent="0.45">
      <c r="A496" s="333"/>
      <c r="B496" s="593"/>
      <c r="C496" s="594"/>
      <c r="D496" s="595"/>
      <c r="E496" s="596"/>
      <c r="F496" s="597"/>
      <c r="G496" s="598"/>
      <c r="H496" s="587"/>
      <c r="I496" s="599"/>
      <c r="J496" s="576"/>
    </row>
    <row r="497" spans="1:10" ht="31.5" x14ac:dyDescent="0.45">
      <c r="A497" s="304"/>
      <c r="B497" s="572"/>
      <c r="C497" s="573"/>
      <c r="D497" s="574"/>
      <c r="E497" s="575"/>
      <c r="F497" s="583"/>
      <c r="G497" s="588"/>
      <c r="H497" s="589"/>
      <c r="I497" s="585"/>
      <c r="J497" s="577"/>
    </row>
    <row r="498" spans="1:10" ht="31.5" x14ac:dyDescent="0.45">
      <c r="A498" s="304"/>
      <c r="B498" s="572"/>
      <c r="C498" s="573"/>
      <c r="D498" s="574"/>
      <c r="E498" s="575"/>
      <c r="F498" s="583"/>
      <c r="G498" s="588"/>
      <c r="H498" s="589"/>
      <c r="I498" s="585"/>
      <c r="J498" s="577"/>
    </row>
    <row r="499" spans="1:10" ht="31.5" x14ac:dyDescent="0.45">
      <c r="A499" s="304"/>
      <c r="B499" s="572"/>
      <c r="C499" s="573"/>
      <c r="D499" s="574"/>
      <c r="E499" s="575"/>
      <c r="F499" s="583"/>
      <c r="G499" s="588"/>
      <c r="H499" s="589"/>
      <c r="I499" s="585"/>
      <c r="J499" s="577"/>
    </row>
    <row r="500" spans="1:10" ht="31.5" x14ac:dyDescent="0.45">
      <c r="A500" s="304"/>
      <c r="B500" s="572"/>
      <c r="C500" s="573"/>
      <c r="D500" s="574"/>
      <c r="E500" s="575"/>
      <c r="F500" s="583"/>
      <c r="G500" s="588"/>
      <c r="H500" s="589"/>
      <c r="I500" s="585"/>
      <c r="J500" s="577"/>
    </row>
    <row r="501" spans="1:10" ht="31.5" x14ac:dyDescent="0.45">
      <c r="A501" s="305"/>
      <c r="B501" s="572"/>
      <c r="C501" s="573"/>
      <c r="D501" s="574"/>
      <c r="E501" s="575"/>
      <c r="F501" s="583"/>
      <c r="G501" s="588"/>
      <c r="H501" s="589"/>
      <c r="I501" s="585"/>
      <c r="J501" s="577"/>
    </row>
    <row r="502" spans="1:10" ht="31.5" x14ac:dyDescent="0.45">
      <c r="A502" s="304"/>
      <c r="B502" s="572"/>
      <c r="C502" s="573"/>
      <c r="D502" s="574"/>
      <c r="E502" s="575"/>
      <c r="F502" s="583"/>
      <c r="G502" s="590"/>
      <c r="H502" s="589"/>
      <c r="I502" s="585"/>
      <c r="J502" s="577"/>
    </row>
    <row r="503" spans="1:10" ht="31.5" x14ac:dyDescent="0.45">
      <c r="A503" s="304"/>
      <c r="B503" s="572"/>
      <c r="C503" s="573"/>
      <c r="D503" s="574"/>
      <c r="E503" s="575"/>
      <c r="F503" s="583"/>
      <c r="G503" s="590"/>
      <c r="H503" s="589"/>
      <c r="I503" s="585"/>
      <c r="J503" s="577"/>
    </row>
    <row r="504" spans="1:10" ht="31.5" x14ac:dyDescent="0.45">
      <c r="A504" s="304"/>
      <c r="B504" s="572"/>
      <c r="C504" s="573"/>
      <c r="D504" s="574"/>
      <c r="E504" s="575"/>
      <c r="F504" s="583"/>
      <c r="G504" s="590"/>
      <c r="H504" s="589"/>
      <c r="I504" s="585"/>
      <c r="J504" s="577"/>
    </row>
    <row r="505" spans="1:10" ht="31.5" x14ac:dyDescent="0.45">
      <c r="A505" s="304"/>
      <c r="B505" s="572"/>
      <c r="C505" s="573"/>
      <c r="D505" s="574"/>
      <c r="E505" s="575"/>
      <c r="F505" s="583"/>
      <c r="G505" s="590"/>
      <c r="H505" s="589"/>
      <c r="I505" s="585"/>
      <c r="J505" s="577"/>
    </row>
    <row r="506" spans="1:10" ht="31.5" x14ac:dyDescent="0.45">
      <c r="A506" s="304"/>
      <c r="B506" s="572"/>
      <c r="C506" s="573"/>
      <c r="D506" s="574"/>
      <c r="E506" s="575"/>
      <c r="F506" s="583"/>
      <c r="G506" s="590"/>
      <c r="H506" s="589"/>
      <c r="I506" s="585"/>
      <c r="J506" s="577"/>
    </row>
    <row r="507" spans="1:10" ht="31.5" x14ac:dyDescent="0.45">
      <c r="A507" s="304"/>
      <c r="B507" s="572"/>
      <c r="C507" s="573"/>
      <c r="D507" s="574"/>
      <c r="E507" s="575"/>
      <c r="F507" s="583"/>
      <c r="G507" s="590"/>
      <c r="H507" s="589"/>
      <c r="I507" s="585"/>
      <c r="J507" s="577"/>
    </row>
    <row r="508" spans="1:10" ht="31.5" x14ac:dyDescent="0.45">
      <c r="A508" s="304"/>
      <c r="B508" s="572"/>
      <c r="C508" s="573"/>
      <c r="D508" s="574"/>
      <c r="E508" s="575"/>
      <c r="F508" s="583"/>
      <c r="G508" s="590"/>
      <c r="H508" s="589"/>
      <c r="I508" s="585"/>
      <c r="J508" s="577"/>
    </row>
    <row r="509" spans="1:10" ht="31.5" x14ac:dyDescent="0.45">
      <c r="A509" s="304"/>
      <c r="B509" s="572"/>
      <c r="C509" s="573"/>
      <c r="D509" s="574"/>
      <c r="E509" s="575"/>
      <c r="F509" s="583"/>
      <c r="G509" s="590"/>
      <c r="H509" s="589"/>
      <c r="I509" s="585"/>
      <c r="J509" s="577"/>
    </row>
    <row r="510" spans="1:10" ht="31.5" x14ac:dyDescent="0.45">
      <c r="A510" s="304"/>
      <c r="B510" s="572"/>
      <c r="C510" s="573"/>
      <c r="D510" s="574"/>
      <c r="E510" s="575"/>
      <c r="F510" s="583"/>
      <c r="G510" s="590"/>
      <c r="H510" s="589"/>
      <c r="I510" s="585"/>
      <c r="J510" s="577"/>
    </row>
    <row r="511" spans="1:10" ht="31.5" x14ac:dyDescent="0.45">
      <c r="A511" s="304"/>
      <c r="B511" s="572"/>
      <c r="C511" s="573"/>
      <c r="D511" s="574"/>
      <c r="E511" s="575"/>
      <c r="F511" s="583"/>
      <c r="G511" s="590"/>
      <c r="H511" s="589"/>
      <c r="I511" s="585"/>
      <c r="J511" s="577"/>
    </row>
    <row r="512" spans="1:10" ht="31.5" x14ac:dyDescent="0.45">
      <c r="A512" s="304"/>
      <c r="B512" s="572"/>
      <c r="C512" s="573"/>
      <c r="D512" s="574"/>
      <c r="E512" s="575"/>
      <c r="F512" s="583"/>
      <c r="G512" s="590"/>
      <c r="H512" s="589"/>
      <c r="I512" s="585"/>
      <c r="J512" s="577"/>
    </row>
    <row r="513" spans="1:10" ht="31.5" x14ac:dyDescent="0.45">
      <c r="A513" s="304"/>
      <c r="B513" s="572"/>
      <c r="C513" s="573"/>
      <c r="D513" s="574"/>
      <c r="E513" s="575"/>
      <c r="F513" s="583"/>
      <c r="G513" s="590"/>
      <c r="H513" s="589"/>
      <c r="I513" s="585"/>
      <c r="J513" s="577"/>
    </row>
    <row r="514" spans="1:10" ht="31.5" x14ac:dyDescent="0.45">
      <c r="A514" s="304"/>
      <c r="B514" s="572"/>
      <c r="C514" s="573"/>
      <c r="D514" s="574"/>
      <c r="E514" s="575"/>
      <c r="F514" s="583"/>
      <c r="G514" s="590"/>
      <c r="H514" s="589"/>
      <c r="I514" s="585"/>
      <c r="J514" s="577"/>
    </row>
    <row r="515" spans="1:10" ht="31.5" x14ac:dyDescent="0.45">
      <c r="A515" s="304"/>
      <c r="B515" s="572"/>
      <c r="C515" s="573"/>
      <c r="D515" s="574"/>
      <c r="E515" s="575"/>
      <c r="F515" s="583"/>
      <c r="G515" s="590"/>
      <c r="H515" s="589"/>
      <c r="I515" s="585"/>
      <c r="J515" s="577"/>
    </row>
    <row r="516" spans="1:10" ht="31.5" x14ac:dyDescent="0.45">
      <c r="A516" s="304"/>
      <c r="B516" s="572"/>
      <c r="C516" s="573"/>
      <c r="D516" s="574"/>
      <c r="E516" s="575"/>
      <c r="F516" s="583"/>
      <c r="G516" s="590"/>
      <c r="H516" s="589"/>
      <c r="I516" s="585"/>
      <c r="J516" s="577"/>
    </row>
    <row r="517" spans="1:10" ht="31.5" x14ac:dyDescent="0.45">
      <c r="A517" s="304"/>
      <c r="B517" s="572"/>
      <c r="C517" s="573"/>
      <c r="D517" s="574"/>
      <c r="E517" s="575"/>
      <c r="F517" s="583"/>
      <c r="G517" s="590"/>
      <c r="H517" s="589"/>
      <c r="I517" s="585"/>
      <c r="J517" s="577"/>
    </row>
    <row r="518" spans="1:10" ht="31.5" x14ac:dyDescent="0.45">
      <c r="A518" s="304"/>
      <c r="B518" s="572"/>
      <c r="C518" s="573"/>
      <c r="D518" s="574"/>
      <c r="E518" s="575"/>
      <c r="F518" s="583"/>
      <c r="G518" s="590"/>
      <c r="H518" s="589"/>
      <c r="I518" s="585"/>
      <c r="J518" s="577"/>
    </row>
    <row r="519" spans="1:10" ht="31.5" x14ac:dyDescent="0.45">
      <c r="A519" s="304"/>
      <c r="B519" s="572"/>
      <c r="C519" s="573"/>
      <c r="D519" s="574"/>
      <c r="E519" s="575"/>
      <c r="F519" s="583"/>
      <c r="G519" s="590"/>
      <c r="H519" s="589"/>
      <c r="I519" s="585"/>
      <c r="J519" s="577"/>
    </row>
    <row r="520" spans="1:10" ht="31.5" x14ac:dyDescent="0.45">
      <c r="A520" s="304"/>
      <c r="B520" s="572"/>
      <c r="C520" s="573"/>
      <c r="D520" s="574"/>
      <c r="E520" s="575"/>
      <c r="F520" s="583"/>
      <c r="G520" s="590"/>
      <c r="H520" s="589"/>
      <c r="I520" s="585"/>
      <c r="J520" s="577"/>
    </row>
    <row r="521" spans="1:10" ht="31.5" x14ac:dyDescent="0.45">
      <c r="A521" s="304"/>
      <c r="B521" s="572"/>
      <c r="C521" s="573"/>
      <c r="D521" s="574"/>
      <c r="E521" s="575"/>
      <c r="F521" s="583"/>
      <c r="G521" s="590"/>
      <c r="H521" s="589"/>
      <c r="I521" s="585"/>
      <c r="J521" s="577"/>
    </row>
    <row r="522" spans="1:10" ht="31.5" x14ac:dyDescent="0.45">
      <c r="A522" s="304"/>
      <c r="B522" s="572"/>
      <c r="C522" s="573"/>
      <c r="D522" s="574"/>
      <c r="E522" s="575"/>
      <c r="F522" s="583"/>
      <c r="G522" s="590"/>
      <c r="H522" s="589"/>
      <c r="I522" s="585"/>
      <c r="J522" s="577"/>
    </row>
    <row r="523" spans="1:10" ht="32.25" thickBot="1" x14ac:dyDescent="0.5">
      <c r="A523" s="306"/>
      <c r="B523" s="578"/>
      <c r="C523" s="579"/>
      <c r="D523" s="580"/>
      <c r="E523" s="581"/>
      <c r="F523" s="584"/>
      <c r="G523" s="591"/>
      <c r="H523" s="592"/>
      <c r="I523" s="586"/>
      <c r="J523" s="582"/>
    </row>
    <row r="524" spans="1:10" ht="24.75" thickTop="1" thickBot="1" x14ac:dyDescent="0.3">
      <c r="A524" s="334"/>
      <c r="B524" s="335"/>
      <c r="C524" s="335"/>
      <c r="D524" s="600"/>
      <c r="E524" s="601"/>
      <c r="F524" s="334"/>
      <c r="G524" s="337"/>
      <c r="H524" s="337"/>
      <c r="I524" s="602"/>
      <c r="J524" s="337"/>
    </row>
    <row r="525" spans="1:10" ht="32.25" thickTop="1" x14ac:dyDescent="0.45">
      <c r="A525" s="333"/>
      <c r="B525" s="593"/>
      <c r="C525" s="594"/>
      <c r="D525" s="595"/>
      <c r="E525" s="596"/>
      <c r="F525" s="597"/>
      <c r="G525" s="598"/>
      <c r="H525" s="587"/>
      <c r="I525" s="599"/>
      <c r="J525" s="576"/>
    </row>
    <row r="526" spans="1:10" ht="31.5" x14ac:dyDescent="0.45">
      <c r="A526" s="304"/>
      <c r="B526" s="572"/>
      <c r="C526" s="573"/>
      <c r="D526" s="574"/>
      <c r="E526" s="575"/>
      <c r="F526" s="583"/>
      <c r="G526" s="588"/>
      <c r="H526" s="589"/>
      <c r="I526" s="585"/>
      <c r="J526" s="577"/>
    </row>
    <row r="527" spans="1:10" ht="31.5" x14ac:dyDescent="0.45">
      <c r="A527" s="304"/>
      <c r="B527" s="572"/>
      <c r="C527" s="573"/>
      <c r="D527" s="574"/>
      <c r="E527" s="575"/>
      <c r="F527" s="583"/>
      <c r="G527" s="588"/>
      <c r="H527" s="589"/>
      <c r="I527" s="585"/>
      <c r="J527" s="577"/>
    </row>
    <row r="528" spans="1:10" ht="31.5" x14ac:dyDescent="0.45">
      <c r="A528" s="304"/>
      <c r="B528" s="572"/>
      <c r="C528" s="573"/>
      <c r="D528" s="574"/>
      <c r="E528" s="575"/>
      <c r="F528" s="583"/>
      <c r="G528" s="588"/>
      <c r="H528" s="589"/>
      <c r="I528" s="585"/>
      <c r="J528" s="577"/>
    </row>
    <row r="529" spans="1:10" ht="31.5" x14ac:dyDescent="0.45">
      <c r="A529" s="304"/>
      <c r="B529" s="572"/>
      <c r="C529" s="573"/>
      <c r="D529" s="574"/>
      <c r="E529" s="575"/>
      <c r="F529" s="583"/>
      <c r="G529" s="588"/>
      <c r="H529" s="589"/>
      <c r="I529" s="585"/>
      <c r="J529" s="577"/>
    </row>
    <row r="530" spans="1:10" ht="31.5" x14ac:dyDescent="0.45">
      <c r="A530" s="305"/>
      <c r="B530" s="572"/>
      <c r="C530" s="573"/>
      <c r="D530" s="574"/>
      <c r="E530" s="575"/>
      <c r="F530" s="583"/>
      <c r="G530" s="588"/>
      <c r="H530" s="589"/>
      <c r="I530" s="585"/>
      <c r="J530" s="577"/>
    </row>
    <row r="531" spans="1:10" ht="31.5" x14ac:dyDescent="0.45">
      <c r="A531" s="304"/>
      <c r="B531" s="572"/>
      <c r="C531" s="573"/>
      <c r="D531" s="574"/>
      <c r="E531" s="575"/>
      <c r="F531" s="583"/>
      <c r="G531" s="590"/>
      <c r="H531" s="589"/>
      <c r="I531" s="585"/>
      <c r="J531" s="577"/>
    </row>
    <row r="532" spans="1:10" ht="31.5" x14ac:dyDescent="0.45">
      <c r="A532" s="304"/>
      <c r="B532" s="572"/>
      <c r="C532" s="573"/>
      <c r="D532" s="574"/>
      <c r="E532" s="575"/>
      <c r="F532" s="583"/>
      <c r="G532" s="590"/>
      <c r="H532" s="589"/>
      <c r="I532" s="585"/>
      <c r="J532" s="577"/>
    </row>
    <row r="533" spans="1:10" ht="31.5" x14ac:dyDescent="0.45">
      <c r="A533" s="304"/>
      <c r="B533" s="572"/>
      <c r="C533" s="573"/>
      <c r="D533" s="574"/>
      <c r="E533" s="575"/>
      <c r="F533" s="583"/>
      <c r="G533" s="590"/>
      <c r="H533" s="589"/>
      <c r="I533" s="585"/>
      <c r="J533" s="577"/>
    </row>
    <row r="534" spans="1:10" ht="31.5" x14ac:dyDescent="0.45">
      <c r="A534" s="304"/>
      <c r="B534" s="572"/>
      <c r="C534" s="573"/>
      <c r="D534" s="574"/>
      <c r="E534" s="575"/>
      <c r="F534" s="583"/>
      <c r="G534" s="590"/>
      <c r="H534" s="589"/>
      <c r="I534" s="585"/>
      <c r="J534" s="577"/>
    </row>
    <row r="535" spans="1:10" ht="31.5" x14ac:dyDescent="0.45">
      <c r="A535" s="304"/>
      <c r="B535" s="572"/>
      <c r="C535" s="573"/>
      <c r="D535" s="574"/>
      <c r="E535" s="575"/>
      <c r="F535" s="583"/>
      <c r="G535" s="590"/>
      <c r="H535" s="589"/>
      <c r="I535" s="585"/>
      <c r="J535" s="577"/>
    </row>
    <row r="536" spans="1:10" ht="31.5" x14ac:dyDescent="0.45">
      <c r="A536" s="304"/>
      <c r="B536" s="572"/>
      <c r="C536" s="573"/>
      <c r="D536" s="574"/>
      <c r="E536" s="575"/>
      <c r="F536" s="583"/>
      <c r="G536" s="590"/>
      <c r="H536" s="589"/>
      <c r="I536" s="585"/>
      <c r="J536" s="577"/>
    </row>
    <row r="537" spans="1:10" ht="31.5" x14ac:dyDescent="0.45">
      <c r="A537" s="304"/>
      <c r="B537" s="572"/>
      <c r="C537" s="573"/>
      <c r="D537" s="574"/>
      <c r="E537" s="575"/>
      <c r="F537" s="583"/>
      <c r="G537" s="590"/>
      <c r="H537" s="589"/>
      <c r="I537" s="585"/>
      <c r="J537" s="577"/>
    </row>
    <row r="538" spans="1:10" ht="31.5" x14ac:dyDescent="0.45">
      <c r="A538" s="304"/>
      <c r="B538" s="572"/>
      <c r="C538" s="573"/>
      <c r="D538" s="574"/>
      <c r="E538" s="575"/>
      <c r="F538" s="583"/>
      <c r="G538" s="590"/>
      <c r="H538" s="589"/>
      <c r="I538" s="585"/>
      <c r="J538" s="577"/>
    </row>
    <row r="539" spans="1:10" ht="31.5" x14ac:dyDescent="0.45">
      <c r="A539" s="304"/>
      <c r="B539" s="572"/>
      <c r="C539" s="573"/>
      <c r="D539" s="574"/>
      <c r="E539" s="575"/>
      <c r="F539" s="583"/>
      <c r="G539" s="590"/>
      <c r="H539" s="589"/>
      <c r="I539" s="585"/>
      <c r="J539" s="577"/>
    </row>
    <row r="540" spans="1:10" ht="31.5" x14ac:dyDescent="0.45">
      <c r="A540" s="304"/>
      <c r="B540" s="572"/>
      <c r="C540" s="573"/>
      <c r="D540" s="574"/>
      <c r="E540" s="575"/>
      <c r="F540" s="583"/>
      <c r="G540" s="590"/>
      <c r="H540" s="589"/>
      <c r="I540" s="585"/>
      <c r="J540" s="577"/>
    </row>
    <row r="541" spans="1:10" ht="31.5" x14ac:dyDescent="0.45">
      <c r="A541" s="304"/>
      <c r="B541" s="572"/>
      <c r="C541" s="573"/>
      <c r="D541" s="574"/>
      <c r="E541" s="575"/>
      <c r="F541" s="583"/>
      <c r="G541" s="590"/>
      <c r="H541" s="589"/>
      <c r="I541" s="585"/>
      <c r="J541" s="577"/>
    </row>
    <row r="542" spans="1:10" ht="31.5" x14ac:dyDescent="0.45">
      <c r="A542" s="304"/>
      <c r="B542" s="572"/>
      <c r="C542" s="573"/>
      <c r="D542" s="574"/>
      <c r="E542" s="575"/>
      <c r="F542" s="583"/>
      <c r="G542" s="590"/>
      <c r="H542" s="589"/>
      <c r="I542" s="585"/>
      <c r="J542" s="577"/>
    </row>
    <row r="543" spans="1:10" ht="31.5" x14ac:dyDescent="0.45">
      <c r="A543" s="304"/>
      <c r="B543" s="572"/>
      <c r="C543" s="573"/>
      <c r="D543" s="574"/>
      <c r="E543" s="575"/>
      <c r="F543" s="583"/>
      <c r="G543" s="590"/>
      <c r="H543" s="589"/>
      <c r="I543" s="585"/>
      <c r="J543" s="577"/>
    </row>
    <row r="544" spans="1:10" ht="31.5" x14ac:dyDescent="0.45">
      <c r="A544" s="304"/>
      <c r="B544" s="572"/>
      <c r="C544" s="573"/>
      <c r="D544" s="574"/>
      <c r="E544" s="575"/>
      <c r="F544" s="583"/>
      <c r="G544" s="590"/>
      <c r="H544" s="589"/>
      <c r="I544" s="585"/>
      <c r="J544" s="577"/>
    </row>
    <row r="545" spans="1:10" ht="31.5" x14ac:dyDescent="0.45">
      <c r="A545" s="304"/>
      <c r="B545" s="572"/>
      <c r="C545" s="573"/>
      <c r="D545" s="574"/>
      <c r="E545" s="575"/>
      <c r="F545" s="583"/>
      <c r="G545" s="590"/>
      <c r="H545" s="589"/>
      <c r="I545" s="585"/>
      <c r="J545" s="577"/>
    </row>
    <row r="546" spans="1:10" ht="31.5" x14ac:dyDescent="0.45">
      <c r="A546" s="304"/>
      <c r="B546" s="572"/>
      <c r="C546" s="573"/>
      <c r="D546" s="574"/>
      <c r="E546" s="575"/>
      <c r="F546" s="583"/>
      <c r="G546" s="590"/>
      <c r="H546" s="589"/>
      <c r="I546" s="585"/>
      <c r="J546" s="577"/>
    </row>
    <row r="547" spans="1:10" ht="31.5" x14ac:dyDescent="0.45">
      <c r="A547" s="304"/>
      <c r="B547" s="572"/>
      <c r="C547" s="573"/>
      <c r="D547" s="574"/>
      <c r="E547" s="575"/>
      <c r="F547" s="583"/>
      <c r="G547" s="590"/>
      <c r="H547" s="589"/>
      <c r="I547" s="585"/>
      <c r="J547" s="577"/>
    </row>
    <row r="548" spans="1:10" ht="31.5" x14ac:dyDescent="0.45">
      <c r="A548" s="304"/>
      <c r="B548" s="572"/>
      <c r="C548" s="573"/>
      <c r="D548" s="574"/>
      <c r="E548" s="575"/>
      <c r="F548" s="583"/>
      <c r="G548" s="590"/>
      <c r="H548" s="589"/>
      <c r="I548" s="585"/>
      <c r="J548" s="577"/>
    </row>
    <row r="549" spans="1:10" ht="31.5" x14ac:dyDescent="0.45">
      <c r="A549" s="304"/>
      <c r="B549" s="572"/>
      <c r="C549" s="573"/>
      <c r="D549" s="574"/>
      <c r="E549" s="575"/>
      <c r="F549" s="583"/>
      <c r="G549" s="590"/>
      <c r="H549" s="589"/>
      <c r="I549" s="585"/>
      <c r="J549" s="577"/>
    </row>
    <row r="550" spans="1:10" ht="31.5" x14ac:dyDescent="0.45">
      <c r="A550" s="304"/>
      <c r="B550" s="572"/>
      <c r="C550" s="573"/>
      <c r="D550" s="574"/>
      <c r="E550" s="575"/>
      <c r="F550" s="583"/>
      <c r="G550" s="590"/>
      <c r="H550" s="589"/>
      <c r="I550" s="585"/>
      <c r="J550" s="577"/>
    </row>
    <row r="551" spans="1:10" ht="31.5" x14ac:dyDescent="0.45">
      <c r="A551" s="304"/>
      <c r="B551" s="572"/>
      <c r="C551" s="573"/>
      <c r="D551" s="574"/>
      <c r="E551" s="575"/>
      <c r="F551" s="583"/>
      <c r="G551" s="590"/>
      <c r="H551" s="589"/>
      <c r="I551" s="585"/>
      <c r="J551" s="577"/>
    </row>
    <row r="552" spans="1:10" ht="32.25" thickBot="1" x14ac:dyDescent="0.5">
      <c r="A552" s="306"/>
      <c r="B552" s="578"/>
      <c r="C552" s="579"/>
      <c r="D552" s="580"/>
      <c r="E552" s="581"/>
      <c r="F552" s="584"/>
      <c r="G552" s="591"/>
      <c r="H552" s="592"/>
      <c r="I552" s="586"/>
      <c r="J552" s="582"/>
    </row>
    <row r="553" spans="1:10" ht="24.75" thickTop="1" thickBot="1" x14ac:dyDescent="0.3">
      <c r="A553" s="334"/>
      <c r="B553" s="335"/>
      <c r="C553" s="335"/>
      <c r="D553" s="600"/>
      <c r="E553" s="601"/>
      <c r="F553" s="334"/>
      <c r="G553" s="337"/>
      <c r="H553" s="337"/>
      <c r="I553" s="602"/>
      <c r="J553" s="337"/>
    </row>
    <row r="554" spans="1:10" ht="32.25" thickTop="1" x14ac:dyDescent="0.45">
      <c r="A554" s="333"/>
      <c r="B554" s="593"/>
      <c r="C554" s="594"/>
      <c r="D554" s="595"/>
      <c r="E554" s="596"/>
      <c r="F554" s="597"/>
      <c r="G554" s="598"/>
      <c r="H554" s="587"/>
      <c r="I554" s="599"/>
      <c r="J554" s="576"/>
    </row>
    <row r="555" spans="1:10" ht="31.5" x14ac:dyDescent="0.45">
      <c r="A555" s="304"/>
      <c r="B555" s="572"/>
      <c r="C555" s="573"/>
      <c r="D555" s="574"/>
      <c r="E555" s="575"/>
      <c r="F555" s="583"/>
      <c r="G555" s="588"/>
      <c r="H555" s="589"/>
      <c r="I555" s="585"/>
      <c r="J555" s="577"/>
    </row>
    <row r="556" spans="1:10" ht="31.5" x14ac:dyDescent="0.45">
      <c r="A556" s="304"/>
      <c r="B556" s="572"/>
      <c r="C556" s="573"/>
      <c r="D556" s="574"/>
      <c r="E556" s="575"/>
      <c r="F556" s="583"/>
      <c r="G556" s="588"/>
      <c r="H556" s="589"/>
      <c r="I556" s="585"/>
      <c r="J556" s="577"/>
    </row>
    <row r="557" spans="1:10" ht="31.5" x14ac:dyDescent="0.45">
      <c r="A557" s="304"/>
      <c r="B557" s="572"/>
      <c r="C557" s="573"/>
      <c r="D557" s="574"/>
      <c r="E557" s="575"/>
      <c r="F557" s="583"/>
      <c r="G557" s="588"/>
      <c r="H557" s="589"/>
      <c r="I557" s="585"/>
      <c r="J557" s="577"/>
    </row>
    <row r="558" spans="1:10" ht="31.5" x14ac:dyDescent="0.45">
      <c r="A558" s="304"/>
      <c r="B558" s="572"/>
      <c r="C558" s="573"/>
      <c r="D558" s="574"/>
      <c r="E558" s="575"/>
      <c r="F558" s="583"/>
      <c r="G558" s="588"/>
      <c r="H558" s="589"/>
      <c r="I558" s="585"/>
      <c r="J558" s="577"/>
    </row>
    <row r="559" spans="1:10" ht="31.5" x14ac:dyDescent="0.45">
      <c r="A559" s="305"/>
      <c r="B559" s="572"/>
      <c r="C559" s="573"/>
      <c r="D559" s="574"/>
      <c r="E559" s="575"/>
      <c r="F559" s="583"/>
      <c r="G559" s="588"/>
      <c r="H559" s="589"/>
      <c r="I559" s="585"/>
      <c r="J559" s="577"/>
    </row>
    <row r="560" spans="1:10" ht="31.5" x14ac:dyDescent="0.45">
      <c r="A560" s="304"/>
      <c r="B560" s="572"/>
      <c r="C560" s="573"/>
      <c r="D560" s="574"/>
      <c r="E560" s="575"/>
      <c r="F560" s="583"/>
      <c r="G560" s="590"/>
      <c r="H560" s="589"/>
      <c r="I560" s="585"/>
      <c r="J560" s="577"/>
    </row>
    <row r="561" spans="1:10" ht="31.5" x14ac:dyDescent="0.45">
      <c r="A561" s="304"/>
      <c r="B561" s="572"/>
      <c r="C561" s="573"/>
      <c r="D561" s="574"/>
      <c r="E561" s="575"/>
      <c r="F561" s="583"/>
      <c r="G561" s="590"/>
      <c r="H561" s="589"/>
      <c r="I561" s="585"/>
      <c r="J561" s="577"/>
    </row>
    <row r="562" spans="1:10" ht="31.5" x14ac:dyDescent="0.45">
      <c r="A562" s="304"/>
      <c r="B562" s="572"/>
      <c r="C562" s="573"/>
      <c r="D562" s="574"/>
      <c r="E562" s="575"/>
      <c r="F562" s="583"/>
      <c r="G562" s="590"/>
      <c r="H562" s="589"/>
      <c r="I562" s="585"/>
      <c r="J562" s="577"/>
    </row>
    <row r="563" spans="1:10" ht="31.5" x14ac:dyDescent="0.45">
      <c r="A563" s="304"/>
      <c r="B563" s="572"/>
      <c r="C563" s="573"/>
      <c r="D563" s="574"/>
      <c r="E563" s="575"/>
      <c r="F563" s="583"/>
      <c r="G563" s="590"/>
      <c r="H563" s="589"/>
      <c r="I563" s="585"/>
      <c r="J563" s="577"/>
    </row>
    <row r="564" spans="1:10" ht="31.5" x14ac:dyDescent="0.45">
      <c r="A564" s="304"/>
      <c r="B564" s="572"/>
      <c r="C564" s="573"/>
      <c r="D564" s="574"/>
      <c r="E564" s="575"/>
      <c r="F564" s="583"/>
      <c r="G564" s="590"/>
      <c r="H564" s="589"/>
      <c r="I564" s="585"/>
      <c r="J564" s="577"/>
    </row>
    <row r="565" spans="1:10" ht="31.5" x14ac:dyDescent="0.45">
      <c r="A565" s="304"/>
      <c r="B565" s="572"/>
      <c r="C565" s="573"/>
      <c r="D565" s="574"/>
      <c r="E565" s="575"/>
      <c r="F565" s="583"/>
      <c r="G565" s="590"/>
      <c r="H565" s="589"/>
      <c r="I565" s="585"/>
      <c r="J565" s="577"/>
    </row>
    <row r="566" spans="1:10" ht="31.5" x14ac:dyDescent="0.45">
      <c r="A566" s="304"/>
      <c r="B566" s="572"/>
      <c r="C566" s="573"/>
      <c r="D566" s="574"/>
      <c r="E566" s="575"/>
      <c r="F566" s="583"/>
      <c r="G566" s="590"/>
      <c r="H566" s="589"/>
      <c r="I566" s="585"/>
      <c r="J566" s="577"/>
    </row>
    <row r="567" spans="1:10" ht="31.5" x14ac:dyDescent="0.45">
      <c r="A567" s="304"/>
      <c r="B567" s="572"/>
      <c r="C567" s="573"/>
      <c r="D567" s="574"/>
      <c r="E567" s="575"/>
      <c r="F567" s="583"/>
      <c r="G567" s="590"/>
      <c r="H567" s="589"/>
      <c r="I567" s="585"/>
      <c r="J567" s="577"/>
    </row>
    <row r="568" spans="1:10" ht="31.5" x14ac:dyDescent="0.45">
      <c r="A568" s="304"/>
      <c r="B568" s="572"/>
      <c r="C568" s="573"/>
      <c r="D568" s="574"/>
      <c r="E568" s="575"/>
      <c r="F568" s="583"/>
      <c r="G568" s="590"/>
      <c r="H568" s="589"/>
      <c r="I568" s="585"/>
      <c r="J568" s="577"/>
    </row>
    <row r="569" spans="1:10" ht="31.5" x14ac:dyDescent="0.45">
      <c r="A569" s="304"/>
      <c r="B569" s="572"/>
      <c r="C569" s="573"/>
      <c r="D569" s="574"/>
      <c r="E569" s="575"/>
      <c r="F569" s="583"/>
      <c r="G569" s="590"/>
      <c r="H569" s="589"/>
      <c r="I569" s="585"/>
      <c r="J569" s="577"/>
    </row>
    <row r="570" spans="1:10" ht="31.5" x14ac:dyDescent="0.45">
      <c r="A570" s="304"/>
      <c r="B570" s="572"/>
      <c r="C570" s="573"/>
      <c r="D570" s="574"/>
      <c r="E570" s="575"/>
      <c r="F570" s="583"/>
      <c r="G570" s="590"/>
      <c r="H570" s="589"/>
      <c r="I570" s="585"/>
      <c r="J570" s="577"/>
    </row>
    <row r="571" spans="1:10" ht="31.5" x14ac:dyDescent="0.45">
      <c r="A571" s="304"/>
      <c r="B571" s="572"/>
      <c r="C571" s="573"/>
      <c r="D571" s="574"/>
      <c r="E571" s="575"/>
      <c r="F571" s="583"/>
      <c r="G571" s="590"/>
      <c r="H571" s="589"/>
      <c r="I571" s="585"/>
      <c r="J571" s="577"/>
    </row>
    <row r="572" spans="1:10" ht="31.5" x14ac:dyDescent="0.45">
      <c r="A572" s="304"/>
      <c r="B572" s="572"/>
      <c r="C572" s="573"/>
      <c r="D572" s="574"/>
      <c r="E572" s="575"/>
      <c r="F572" s="583"/>
      <c r="G572" s="590"/>
      <c r="H572" s="589"/>
      <c r="I572" s="585"/>
      <c r="J572" s="577"/>
    </row>
    <row r="573" spans="1:10" ht="31.5" x14ac:dyDescent="0.45">
      <c r="A573" s="304"/>
      <c r="B573" s="572"/>
      <c r="C573" s="573"/>
      <c r="D573" s="574"/>
      <c r="E573" s="575"/>
      <c r="F573" s="583"/>
      <c r="G573" s="590"/>
      <c r="H573" s="589"/>
      <c r="I573" s="585"/>
      <c r="J573" s="577"/>
    </row>
    <row r="574" spans="1:10" ht="31.5" x14ac:dyDescent="0.45">
      <c r="A574" s="304"/>
      <c r="B574" s="572"/>
      <c r="C574" s="573"/>
      <c r="D574" s="574"/>
      <c r="E574" s="575"/>
      <c r="F574" s="583"/>
      <c r="G574" s="590"/>
      <c r="H574" s="589"/>
      <c r="I574" s="585"/>
      <c r="J574" s="577"/>
    </row>
    <row r="575" spans="1:10" ht="31.5" x14ac:dyDescent="0.45">
      <c r="A575" s="304"/>
      <c r="B575" s="572"/>
      <c r="C575" s="573"/>
      <c r="D575" s="574"/>
      <c r="E575" s="575"/>
      <c r="F575" s="583"/>
      <c r="G575" s="590"/>
      <c r="H575" s="589"/>
      <c r="I575" s="585"/>
      <c r="J575" s="577"/>
    </row>
    <row r="576" spans="1:10" ht="31.5" x14ac:dyDescent="0.45">
      <c r="A576" s="304"/>
      <c r="B576" s="572"/>
      <c r="C576" s="573"/>
      <c r="D576" s="574"/>
      <c r="E576" s="575"/>
      <c r="F576" s="583"/>
      <c r="G576" s="590"/>
      <c r="H576" s="589"/>
      <c r="I576" s="585"/>
      <c r="J576" s="577"/>
    </row>
    <row r="577" spans="1:10" ht="31.5" x14ac:dyDescent="0.45">
      <c r="A577" s="304"/>
      <c r="B577" s="572"/>
      <c r="C577" s="573"/>
      <c r="D577" s="574"/>
      <c r="E577" s="575"/>
      <c r="F577" s="583"/>
      <c r="G577" s="590"/>
      <c r="H577" s="589"/>
      <c r="I577" s="585"/>
      <c r="J577" s="577"/>
    </row>
    <row r="578" spans="1:10" ht="31.5" x14ac:dyDescent="0.45">
      <c r="A578" s="304"/>
      <c r="B578" s="572"/>
      <c r="C578" s="573"/>
      <c r="D578" s="574"/>
      <c r="E578" s="575"/>
      <c r="F578" s="583"/>
      <c r="G578" s="590"/>
      <c r="H578" s="589"/>
      <c r="I578" s="585"/>
      <c r="J578" s="577"/>
    </row>
    <row r="579" spans="1:10" ht="31.5" x14ac:dyDescent="0.45">
      <c r="A579" s="304"/>
      <c r="B579" s="572"/>
      <c r="C579" s="573"/>
      <c r="D579" s="574"/>
      <c r="E579" s="575"/>
      <c r="F579" s="583"/>
      <c r="G579" s="590"/>
      <c r="H579" s="589"/>
      <c r="I579" s="585"/>
      <c r="J579" s="577"/>
    </row>
    <row r="580" spans="1:10" ht="31.5" x14ac:dyDescent="0.45">
      <c r="A580" s="304"/>
      <c r="B580" s="572"/>
      <c r="C580" s="573"/>
      <c r="D580" s="574"/>
      <c r="E580" s="575"/>
      <c r="F580" s="583"/>
      <c r="G580" s="590"/>
      <c r="H580" s="589"/>
      <c r="I580" s="585"/>
      <c r="J580" s="577"/>
    </row>
    <row r="581" spans="1:10" ht="32.25" thickBot="1" x14ac:dyDescent="0.5">
      <c r="A581" s="306"/>
      <c r="B581" s="578"/>
      <c r="C581" s="579"/>
      <c r="D581" s="580"/>
      <c r="E581" s="581"/>
      <c r="F581" s="584"/>
      <c r="G581" s="591"/>
      <c r="H581" s="592"/>
      <c r="I581" s="586"/>
      <c r="J581" s="582"/>
    </row>
    <row r="582" spans="1:10" ht="24.75" thickTop="1" thickBot="1" x14ac:dyDescent="0.3">
      <c r="A582" s="334"/>
      <c r="B582" s="335"/>
      <c r="C582" s="335"/>
      <c r="D582" s="600"/>
      <c r="E582" s="601"/>
      <c r="F582" s="334"/>
      <c r="G582" s="337"/>
      <c r="H582" s="337"/>
      <c r="I582" s="602"/>
      <c r="J582" s="337"/>
    </row>
    <row r="583" spans="1:10" ht="32.25" thickTop="1" x14ac:dyDescent="0.45">
      <c r="A583" s="333"/>
      <c r="B583" s="593"/>
      <c r="C583" s="594"/>
      <c r="D583" s="595"/>
      <c r="E583" s="596"/>
      <c r="F583" s="597"/>
      <c r="G583" s="598"/>
      <c r="H583" s="587"/>
      <c r="I583" s="599"/>
      <c r="J583" s="576"/>
    </row>
    <row r="584" spans="1:10" ht="31.5" x14ac:dyDescent="0.45">
      <c r="A584" s="304"/>
      <c r="B584" s="572"/>
      <c r="C584" s="573"/>
      <c r="D584" s="574"/>
      <c r="E584" s="575"/>
      <c r="F584" s="583"/>
      <c r="G584" s="588"/>
      <c r="H584" s="589"/>
      <c r="I584" s="585"/>
      <c r="J584" s="577"/>
    </row>
    <row r="585" spans="1:10" ht="31.5" x14ac:dyDescent="0.45">
      <c r="A585" s="304"/>
      <c r="B585" s="572"/>
      <c r="C585" s="573"/>
      <c r="D585" s="574"/>
      <c r="E585" s="575"/>
      <c r="F585" s="583"/>
      <c r="G585" s="588"/>
      <c r="H585" s="589"/>
      <c r="I585" s="585"/>
      <c r="J585" s="577"/>
    </row>
    <row r="586" spans="1:10" ht="31.5" x14ac:dyDescent="0.45">
      <c r="A586" s="304"/>
      <c r="B586" s="572"/>
      <c r="C586" s="573"/>
      <c r="D586" s="574"/>
      <c r="E586" s="575"/>
      <c r="F586" s="583"/>
      <c r="G586" s="588"/>
      <c r="H586" s="589"/>
      <c r="I586" s="585"/>
      <c r="J586" s="577"/>
    </row>
    <row r="587" spans="1:10" ht="31.5" x14ac:dyDescent="0.45">
      <c r="A587" s="304"/>
      <c r="B587" s="572"/>
      <c r="C587" s="573"/>
      <c r="D587" s="574"/>
      <c r="E587" s="575"/>
      <c r="F587" s="583"/>
      <c r="G587" s="588"/>
      <c r="H587" s="589"/>
      <c r="I587" s="585"/>
      <c r="J587" s="577"/>
    </row>
    <row r="588" spans="1:10" ht="31.5" x14ac:dyDescent="0.45">
      <c r="A588" s="305"/>
      <c r="B588" s="572"/>
      <c r="C588" s="573"/>
      <c r="D588" s="574"/>
      <c r="E588" s="575"/>
      <c r="F588" s="583"/>
      <c r="G588" s="588"/>
      <c r="H588" s="589"/>
      <c r="I588" s="585"/>
      <c r="J588" s="577"/>
    </row>
    <row r="589" spans="1:10" ht="31.5" x14ac:dyDescent="0.45">
      <c r="A589" s="304"/>
      <c r="B589" s="572"/>
      <c r="C589" s="573"/>
      <c r="D589" s="574"/>
      <c r="E589" s="575"/>
      <c r="F589" s="583"/>
      <c r="G589" s="590"/>
      <c r="H589" s="589"/>
      <c r="I589" s="585"/>
      <c r="J589" s="577"/>
    </row>
    <row r="590" spans="1:10" ht="31.5" x14ac:dyDescent="0.45">
      <c r="A590" s="304"/>
      <c r="B590" s="572"/>
      <c r="C590" s="573"/>
      <c r="D590" s="574"/>
      <c r="E590" s="575"/>
      <c r="F590" s="583"/>
      <c r="G590" s="590"/>
      <c r="H590" s="589"/>
      <c r="I590" s="585"/>
      <c r="J590" s="577"/>
    </row>
    <row r="591" spans="1:10" ht="31.5" x14ac:dyDescent="0.45">
      <c r="A591" s="304"/>
      <c r="B591" s="572"/>
      <c r="C591" s="573"/>
      <c r="D591" s="574"/>
      <c r="E591" s="575"/>
      <c r="F591" s="583"/>
      <c r="G591" s="590"/>
      <c r="H591" s="589"/>
      <c r="I591" s="585"/>
      <c r="J591" s="577"/>
    </row>
    <row r="592" spans="1:10" ht="31.5" x14ac:dyDescent="0.45">
      <c r="A592" s="304"/>
      <c r="B592" s="572"/>
      <c r="C592" s="573"/>
      <c r="D592" s="574"/>
      <c r="E592" s="575"/>
      <c r="F592" s="583"/>
      <c r="G592" s="590"/>
      <c r="H592" s="589"/>
      <c r="I592" s="585"/>
      <c r="J592" s="577"/>
    </row>
    <row r="593" spans="1:10" ht="31.5" x14ac:dyDescent="0.45">
      <c r="A593" s="304"/>
      <c r="B593" s="572"/>
      <c r="C593" s="573"/>
      <c r="D593" s="574"/>
      <c r="E593" s="575"/>
      <c r="F593" s="583"/>
      <c r="G593" s="590"/>
      <c r="H593" s="589"/>
      <c r="I593" s="585"/>
      <c r="J593" s="577"/>
    </row>
    <row r="594" spans="1:10" ht="31.5" x14ac:dyDescent="0.45">
      <c r="A594" s="304"/>
      <c r="B594" s="572"/>
      <c r="C594" s="573"/>
      <c r="D594" s="574"/>
      <c r="E594" s="575"/>
      <c r="F594" s="583"/>
      <c r="G594" s="590"/>
      <c r="H594" s="589"/>
      <c r="I594" s="585"/>
      <c r="J594" s="577"/>
    </row>
    <row r="595" spans="1:10" ht="31.5" x14ac:dyDescent="0.45">
      <c r="A595" s="304"/>
      <c r="B595" s="572"/>
      <c r="C595" s="573"/>
      <c r="D595" s="574"/>
      <c r="E595" s="575"/>
      <c r="F595" s="583"/>
      <c r="G595" s="590"/>
      <c r="H595" s="589"/>
      <c r="I595" s="585"/>
      <c r="J595" s="577"/>
    </row>
    <row r="596" spans="1:10" ht="31.5" x14ac:dyDescent="0.45">
      <c r="A596" s="304"/>
      <c r="B596" s="572"/>
      <c r="C596" s="573"/>
      <c r="D596" s="574"/>
      <c r="E596" s="575"/>
      <c r="F596" s="583"/>
      <c r="G596" s="590"/>
      <c r="H596" s="589"/>
      <c r="I596" s="585"/>
      <c r="J596" s="577"/>
    </row>
    <row r="597" spans="1:10" ht="31.5" x14ac:dyDescent="0.45">
      <c r="A597" s="304"/>
      <c r="B597" s="572"/>
      <c r="C597" s="573"/>
      <c r="D597" s="574"/>
      <c r="E597" s="575"/>
      <c r="F597" s="583"/>
      <c r="G597" s="590"/>
      <c r="H597" s="589"/>
      <c r="I597" s="585"/>
      <c r="J597" s="577"/>
    </row>
    <row r="598" spans="1:10" ht="31.5" x14ac:dyDescent="0.45">
      <c r="A598" s="304"/>
      <c r="B598" s="572"/>
      <c r="C598" s="573"/>
      <c r="D598" s="574"/>
      <c r="E598" s="575"/>
      <c r="F598" s="583"/>
      <c r="G598" s="590"/>
      <c r="H598" s="589"/>
      <c r="I598" s="585"/>
      <c r="J598" s="577"/>
    </row>
    <row r="599" spans="1:10" ht="31.5" x14ac:dyDescent="0.45">
      <c r="A599" s="304"/>
      <c r="B599" s="572"/>
      <c r="C599" s="573"/>
      <c r="D599" s="574"/>
      <c r="E599" s="575"/>
      <c r="F599" s="583"/>
      <c r="G599" s="590"/>
      <c r="H599" s="589"/>
      <c r="I599" s="585"/>
      <c r="J599" s="577"/>
    </row>
    <row r="600" spans="1:10" ht="31.5" x14ac:dyDescent="0.45">
      <c r="A600" s="304"/>
      <c r="B600" s="572"/>
      <c r="C600" s="573"/>
      <c r="D600" s="574"/>
      <c r="E600" s="575"/>
      <c r="F600" s="583"/>
      <c r="G600" s="590"/>
      <c r="H600" s="589"/>
      <c r="I600" s="585"/>
      <c r="J600" s="577"/>
    </row>
    <row r="601" spans="1:10" ht="31.5" x14ac:dyDescent="0.45">
      <c r="A601" s="304"/>
      <c r="B601" s="572"/>
      <c r="C601" s="573"/>
      <c r="D601" s="574"/>
      <c r="E601" s="575"/>
      <c r="F601" s="583"/>
      <c r="G601" s="590"/>
      <c r="H601" s="589"/>
      <c r="I601" s="585"/>
      <c r="J601" s="577"/>
    </row>
    <row r="602" spans="1:10" ht="31.5" x14ac:dyDescent="0.45">
      <c r="A602" s="304"/>
      <c r="B602" s="572"/>
      <c r="C602" s="573"/>
      <c r="D602" s="574"/>
      <c r="E602" s="575"/>
      <c r="F602" s="583"/>
      <c r="G602" s="590"/>
      <c r="H602" s="589"/>
      <c r="I602" s="585"/>
      <c r="J602" s="577"/>
    </row>
    <row r="603" spans="1:10" ht="31.5" x14ac:dyDescent="0.45">
      <c r="A603" s="304"/>
      <c r="B603" s="572"/>
      <c r="C603" s="573"/>
      <c r="D603" s="574"/>
      <c r="E603" s="575"/>
      <c r="F603" s="583"/>
      <c r="G603" s="590"/>
      <c r="H603" s="589"/>
      <c r="I603" s="585"/>
      <c r="J603" s="577"/>
    </row>
    <row r="604" spans="1:10" ht="31.5" x14ac:dyDescent="0.45">
      <c r="A604" s="304"/>
      <c r="B604" s="572"/>
      <c r="C604" s="573"/>
      <c r="D604" s="574"/>
      <c r="E604" s="575"/>
      <c r="F604" s="583"/>
      <c r="G604" s="590"/>
      <c r="H604" s="589"/>
      <c r="I604" s="585"/>
      <c r="J604" s="577"/>
    </row>
    <row r="605" spans="1:10" ht="31.5" x14ac:dyDescent="0.45">
      <c r="A605" s="304"/>
      <c r="B605" s="572"/>
      <c r="C605" s="573"/>
      <c r="D605" s="574"/>
      <c r="E605" s="575"/>
      <c r="F605" s="583"/>
      <c r="G605" s="590"/>
      <c r="H605" s="589"/>
      <c r="I605" s="585"/>
      <c r="J605" s="577"/>
    </row>
    <row r="606" spans="1:10" ht="31.5" x14ac:dyDescent="0.45">
      <c r="A606" s="304"/>
      <c r="B606" s="572"/>
      <c r="C606" s="573"/>
      <c r="D606" s="574"/>
      <c r="E606" s="575"/>
      <c r="F606" s="583"/>
      <c r="G606" s="590"/>
      <c r="H606" s="589"/>
      <c r="I606" s="585"/>
      <c r="J606" s="577"/>
    </row>
    <row r="607" spans="1:10" ht="31.5" x14ac:dyDescent="0.45">
      <c r="A607" s="304"/>
      <c r="B607" s="572"/>
      <c r="C607" s="573"/>
      <c r="D607" s="574"/>
      <c r="E607" s="575"/>
      <c r="F607" s="583"/>
      <c r="G607" s="590"/>
      <c r="H607" s="589"/>
      <c r="I607" s="585"/>
      <c r="J607" s="577"/>
    </row>
    <row r="608" spans="1:10" ht="31.5" x14ac:dyDescent="0.45">
      <c r="A608" s="304"/>
      <c r="B608" s="572"/>
      <c r="C608" s="573"/>
      <c r="D608" s="574"/>
      <c r="E608" s="575"/>
      <c r="F608" s="583"/>
      <c r="G608" s="590"/>
      <c r="H608" s="589"/>
      <c r="I608" s="585"/>
      <c r="J608" s="577"/>
    </row>
    <row r="609" spans="1:10" ht="31.5" x14ac:dyDescent="0.45">
      <c r="A609" s="304"/>
      <c r="B609" s="572"/>
      <c r="C609" s="573"/>
      <c r="D609" s="574"/>
      <c r="E609" s="575"/>
      <c r="F609" s="583"/>
      <c r="G609" s="590"/>
      <c r="H609" s="589"/>
      <c r="I609" s="585"/>
      <c r="J609" s="577"/>
    </row>
    <row r="610" spans="1:10" ht="32.25" thickBot="1" x14ac:dyDescent="0.5">
      <c r="A610" s="306"/>
      <c r="B610" s="578"/>
      <c r="C610" s="579"/>
      <c r="D610" s="580"/>
      <c r="E610" s="581"/>
      <c r="F610" s="584"/>
      <c r="G610" s="591"/>
      <c r="H610" s="592"/>
      <c r="I610" s="586"/>
      <c r="J610" s="582"/>
    </row>
    <row r="611" spans="1:10" ht="24.75" thickTop="1" thickBot="1" x14ac:dyDescent="0.3">
      <c r="A611" s="334"/>
      <c r="B611" s="335"/>
      <c r="C611" s="335"/>
      <c r="D611" s="600"/>
      <c r="E611" s="601"/>
      <c r="F611" s="334"/>
      <c r="G611" s="337"/>
      <c r="H611" s="337"/>
      <c r="I611" s="602"/>
      <c r="J611" s="337"/>
    </row>
    <row r="612" spans="1:10" ht="32.25" thickTop="1" x14ac:dyDescent="0.45">
      <c r="A612" s="333"/>
      <c r="B612" s="593"/>
      <c r="C612" s="594"/>
      <c r="D612" s="595"/>
      <c r="E612" s="596"/>
      <c r="F612" s="597"/>
      <c r="G612" s="598"/>
      <c r="H612" s="587"/>
      <c r="I612" s="599"/>
      <c r="J612" s="576"/>
    </row>
    <row r="613" spans="1:10" ht="31.5" x14ac:dyDescent="0.45">
      <c r="A613" s="304"/>
      <c r="B613" s="572"/>
      <c r="C613" s="573"/>
      <c r="D613" s="574"/>
      <c r="E613" s="575"/>
      <c r="F613" s="583"/>
      <c r="G613" s="588"/>
      <c r="H613" s="589"/>
      <c r="I613" s="585"/>
      <c r="J613" s="577"/>
    </row>
    <row r="614" spans="1:10" ht="31.5" x14ac:dyDescent="0.45">
      <c r="A614" s="304"/>
      <c r="B614" s="572"/>
      <c r="C614" s="573"/>
      <c r="D614" s="574"/>
      <c r="E614" s="575"/>
      <c r="F614" s="583"/>
      <c r="G614" s="588"/>
      <c r="H614" s="589"/>
      <c r="I614" s="585"/>
      <c r="J614" s="577"/>
    </row>
    <row r="615" spans="1:10" ht="31.5" x14ac:dyDescent="0.45">
      <c r="A615" s="304"/>
      <c r="B615" s="572"/>
      <c r="C615" s="573"/>
      <c r="D615" s="574"/>
      <c r="E615" s="575"/>
      <c r="F615" s="583"/>
      <c r="G615" s="588"/>
      <c r="H615" s="589"/>
      <c r="I615" s="585"/>
      <c r="J615" s="577"/>
    </row>
    <row r="616" spans="1:10" ht="31.5" x14ac:dyDescent="0.45">
      <c r="A616" s="304"/>
      <c r="B616" s="572"/>
      <c r="C616" s="573"/>
      <c r="D616" s="574"/>
      <c r="E616" s="575"/>
      <c r="F616" s="583"/>
      <c r="G616" s="588"/>
      <c r="H616" s="589"/>
      <c r="I616" s="585"/>
      <c r="J616" s="577"/>
    </row>
    <row r="617" spans="1:10" ht="31.5" x14ac:dyDescent="0.45">
      <c r="A617" s="305"/>
      <c r="B617" s="572"/>
      <c r="C617" s="573"/>
      <c r="D617" s="574"/>
      <c r="E617" s="575"/>
      <c r="F617" s="583"/>
      <c r="G617" s="588"/>
      <c r="H617" s="589"/>
      <c r="I617" s="585"/>
      <c r="J617" s="577"/>
    </row>
    <row r="618" spans="1:10" ht="31.5" x14ac:dyDescent="0.45">
      <c r="A618" s="304"/>
      <c r="B618" s="572"/>
      <c r="C618" s="573"/>
      <c r="D618" s="574"/>
      <c r="E618" s="575"/>
      <c r="F618" s="583"/>
      <c r="G618" s="590"/>
      <c r="H618" s="589"/>
      <c r="I618" s="585"/>
      <c r="J618" s="577"/>
    </row>
    <row r="619" spans="1:10" ht="31.5" x14ac:dyDescent="0.45">
      <c r="A619" s="304"/>
      <c r="B619" s="572"/>
      <c r="C619" s="573"/>
      <c r="D619" s="574"/>
      <c r="E619" s="575"/>
      <c r="F619" s="583"/>
      <c r="G619" s="590"/>
      <c r="H619" s="589"/>
      <c r="I619" s="585"/>
      <c r="J619" s="577"/>
    </row>
    <row r="620" spans="1:10" ht="31.5" x14ac:dyDescent="0.45">
      <c r="A620" s="304"/>
      <c r="B620" s="572"/>
      <c r="C620" s="573"/>
      <c r="D620" s="574"/>
      <c r="E620" s="575"/>
      <c r="F620" s="583"/>
      <c r="G620" s="590"/>
      <c r="H620" s="589"/>
      <c r="I620" s="585"/>
      <c r="J620" s="577"/>
    </row>
    <row r="621" spans="1:10" ht="31.5" x14ac:dyDescent="0.45">
      <c r="A621" s="304"/>
      <c r="B621" s="572"/>
      <c r="C621" s="573"/>
      <c r="D621" s="574"/>
      <c r="E621" s="575"/>
      <c r="F621" s="583"/>
      <c r="G621" s="590"/>
      <c r="H621" s="589"/>
      <c r="I621" s="585"/>
      <c r="J621" s="577"/>
    </row>
    <row r="622" spans="1:10" ht="31.5" x14ac:dyDescent="0.45">
      <c r="A622" s="304"/>
      <c r="B622" s="572"/>
      <c r="C622" s="573"/>
      <c r="D622" s="574"/>
      <c r="E622" s="575"/>
      <c r="F622" s="583"/>
      <c r="G622" s="590"/>
      <c r="H622" s="589"/>
      <c r="I622" s="585"/>
      <c r="J622" s="577"/>
    </row>
    <row r="623" spans="1:10" ht="31.5" x14ac:dyDescent="0.45">
      <c r="A623" s="304"/>
      <c r="B623" s="572"/>
      <c r="C623" s="573"/>
      <c r="D623" s="574"/>
      <c r="E623" s="575"/>
      <c r="F623" s="583"/>
      <c r="G623" s="590"/>
      <c r="H623" s="589"/>
      <c r="I623" s="585"/>
      <c r="J623" s="577"/>
    </row>
    <row r="624" spans="1:10" ht="31.5" x14ac:dyDescent="0.45">
      <c r="A624" s="304"/>
      <c r="B624" s="572"/>
      <c r="C624" s="573"/>
      <c r="D624" s="574"/>
      <c r="E624" s="575"/>
      <c r="F624" s="583"/>
      <c r="G624" s="590"/>
      <c r="H624" s="589"/>
      <c r="I624" s="585"/>
      <c r="J624" s="577"/>
    </row>
    <row r="625" spans="1:10" ht="31.5" x14ac:dyDescent="0.45">
      <c r="A625" s="304"/>
      <c r="B625" s="572"/>
      <c r="C625" s="573"/>
      <c r="D625" s="574"/>
      <c r="E625" s="575"/>
      <c r="F625" s="583"/>
      <c r="G625" s="590"/>
      <c r="H625" s="589"/>
      <c r="I625" s="585"/>
      <c r="J625" s="577"/>
    </row>
    <row r="626" spans="1:10" ht="31.5" x14ac:dyDescent="0.45">
      <c r="A626" s="304"/>
      <c r="B626" s="572"/>
      <c r="C626" s="573"/>
      <c r="D626" s="574"/>
      <c r="E626" s="575"/>
      <c r="F626" s="583"/>
      <c r="G626" s="590"/>
      <c r="H626" s="589"/>
      <c r="I626" s="585"/>
      <c r="J626" s="577"/>
    </row>
  </sheetData>
  <pageMargins left="0.7" right="0.7" top="0.75" bottom="0.75" header="0.3" footer="0.3"/>
  <pageSetup paperSize="9" scale="54" orientation="portrait" r:id="rId1"/>
  <rowBreaks count="4" manualBreakCount="4">
    <brk id="29" max="9" man="1"/>
    <brk id="58" max="9" man="1"/>
    <brk id="87" max="9" man="1"/>
    <brk id="118" max="9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="Please Select a right value from the list">
          <x14:formula1>
            <xm:f>' Data Lists'!$B$3:$B$147</xm:f>
          </x14:formula1>
          <xm:sqref>A116:A118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view="pageBreakPreview" zoomScale="60" zoomScaleNormal="100" workbookViewId="0">
      <selection activeCell="B44" sqref="B44:C47"/>
    </sheetView>
  </sheetViews>
  <sheetFormatPr defaultColWidth="20.28515625" defaultRowHeight="45" customHeight="1" x14ac:dyDescent="0.35"/>
  <cols>
    <col min="1" max="16384" width="20.28515625" style="275"/>
  </cols>
  <sheetData>
    <row r="1" spans="1:6" ht="45" customHeight="1" thickTop="1" x14ac:dyDescent="0.35">
      <c r="A1" s="280" t="s">
        <v>1</v>
      </c>
      <c r="B1" s="281" t="s">
        <v>314</v>
      </c>
      <c r="C1" s="282" t="s">
        <v>315</v>
      </c>
      <c r="D1" s="276" t="s">
        <v>1</v>
      </c>
      <c r="E1" s="277" t="s">
        <v>314</v>
      </c>
      <c r="F1" s="278" t="s">
        <v>315</v>
      </c>
    </row>
    <row r="2" spans="1:6" ht="45" customHeight="1" x14ac:dyDescent="0.35">
      <c r="A2" s="283" t="s">
        <v>27</v>
      </c>
      <c r="B2" s="287">
        <f>'DATA BASE'!I8</f>
        <v>66</v>
      </c>
      <c r="C2" s="285">
        <f>'DATA BASE'!L8</f>
        <v>68.599999999999994</v>
      </c>
      <c r="D2" s="279" t="s">
        <v>52</v>
      </c>
      <c r="E2" s="288">
        <f>'DATA BASE'!I33</f>
        <v>80</v>
      </c>
      <c r="F2" s="286">
        <f>'DATA BASE'!L33</f>
        <v>66.900000000000006</v>
      </c>
    </row>
    <row r="3" spans="1:6" ht="45" customHeight="1" x14ac:dyDescent="0.35">
      <c r="A3" s="283" t="s">
        <v>28</v>
      </c>
      <c r="B3" s="287">
        <f>'DATA BASE'!I9</f>
        <v>79.599999999999994</v>
      </c>
      <c r="C3" s="285">
        <f>'DATA BASE'!L9</f>
        <v>0.8</v>
      </c>
      <c r="D3" s="279" t="s">
        <v>51</v>
      </c>
      <c r="E3" s="288">
        <f>'DATA BASE'!I34</f>
        <v>87</v>
      </c>
      <c r="F3" s="286">
        <f>'DATA BASE'!L34</f>
        <v>91.4</v>
      </c>
    </row>
    <row r="4" spans="1:6" ht="45" customHeight="1" x14ac:dyDescent="0.35">
      <c r="A4" s="283" t="s">
        <v>29</v>
      </c>
      <c r="B4" s="287">
        <f>'DATA BASE'!I11</f>
        <v>93.6</v>
      </c>
      <c r="C4" s="285">
        <f>'DATA BASE'!L11</f>
        <v>97.7</v>
      </c>
      <c r="D4" s="279" t="s">
        <v>53</v>
      </c>
      <c r="E4" s="288">
        <f>'DATA BASE'!I35</f>
        <v>0</v>
      </c>
      <c r="F4" s="286">
        <f>'DATA BASE'!L35</f>
        <v>67.8</v>
      </c>
    </row>
    <row r="5" spans="1:6" ht="45" customHeight="1" x14ac:dyDescent="0.35">
      <c r="A5" s="283" t="s">
        <v>30</v>
      </c>
      <c r="B5" s="287">
        <f>'DATA BASE'!I12</f>
        <v>73.2</v>
      </c>
      <c r="C5" s="285">
        <f>'DATA BASE'!L12</f>
        <v>87.2</v>
      </c>
      <c r="D5" s="279" t="s">
        <v>54</v>
      </c>
      <c r="E5" s="288">
        <f>'DATA BASE'!I36</f>
        <v>80</v>
      </c>
      <c r="F5" s="286">
        <f>'DATA BASE'!L36</f>
        <v>69.599999999999994</v>
      </c>
    </row>
    <row r="6" spans="1:6" ht="45" customHeight="1" x14ac:dyDescent="0.35">
      <c r="A6" s="283" t="s">
        <v>31</v>
      </c>
      <c r="B6" s="287">
        <f>'DATA BASE'!I13</f>
        <v>84.2</v>
      </c>
      <c r="C6" s="285">
        <f>'DATA BASE'!L13</f>
        <v>85.6</v>
      </c>
      <c r="D6" s="279" t="s">
        <v>55</v>
      </c>
      <c r="E6" s="288">
        <f>'DATA BASE'!I37</f>
        <v>93</v>
      </c>
      <c r="F6" s="286">
        <f>'DATA BASE'!L37</f>
        <v>74.3</v>
      </c>
    </row>
    <row r="7" spans="1:6" ht="45" customHeight="1" x14ac:dyDescent="0.35">
      <c r="A7" s="284" t="s">
        <v>32</v>
      </c>
      <c r="B7" s="287">
        <f>'DATA BASE'!I14</f>
        <v>93.6</v>
      </c>
      <c r="C7" s="285">
        <f>'DATA BASE'!L14</f>
        <v>88</v>
      </c>
      <c r="D7" s="279" t="s">
        <v>56</v>
      </c>
      <c r="E7" s="288">
        <f>'DATA BASE'!I38</f>
        <v>85</v>
      </c>
      <c r="F7" s="286">
        <f>'DATA BASE'!L38</f>
        <v>85.4</v>
      </c>
    </row>
    <row r="8" spans="1:6" ht="45" customHeight="1" x14ac:dyDescent="0.35">
      <c r="A8" s="283" t="s">
        <v>33</v>
      </c>
      <c r="B8" s="287">
        <f>'DATA BASE'!I15</f>
        <v>70</v>
      </c>
      <c r="C8" s="285">
        <f>'DATA BASE'!L15</f>
        <v>54.1</v>
      </c>
      <c r="D8" s="279" t="s">
        <v>57</v>
      </c>
      <c r="E8" s="288">
        <f>'DATA BASE'!I39</f>
        <v>46</v>
      </c>
      <c r="F8" s="286">
        <f>'DATA BASE'!L39</f>
        <v>68.8</v>
      </c>
    </row>
    <row r="9" spans="1:6" ht="45" customHeight="1" x14ac:dyDescent="0.35">
      <c r="A9" s="283" t="s">
        <v>34</v>
      </c>
      <c r="B9" s="287">
        <f>'DATA BASE'!I16</f>
        <v>87</v>
      </c>
      <c r="C9" s="285">
        <f>'DATA BASE'!L16</f>
        <v>68.900000000000006</v>
      </c>
      <c r="D9" s="279" t="s">
        <v>58</v>
      </c>
      <c r="E9" s="288">
        <f>'DATA BASE'!I40</f>
        <v>53.2</v>
      </c>
      <c r="F9" s="286">
        <f>'DATA BASE'!L40</f>
        <v>82.2</v>
      </c>
    </row>
    <row r="10" spans="1:6" ht="45" customHeight="1" x14ac:dyDescent="0.35">
      <c r="A10" s="283" t="s">
        <v>35</v>
      </c>
      <c r="B10" s="287">
        <f>'DATA BASE'!I17</f>
        <v>80</v>
      </c>
      <c r="C10" s="285">
        <f>'DATA BASE'!L17</f>
        <v>97.2</v>
      </c>
      <c r="D10" s="279" t="s">
        <v>59</v>
      </c>
      <c r="E10" s="288">
        <f>'DATA BASE'!I41</f>
        <v>50.7</v>
      </c>
      <c r="F10" s="286">
        <f>'DATA BASE'!L41</f>
        <v>65.5</v>
      </c>
    </row>
    <row r="11" spans="1:6" ht="45" customHeight="1" x14ac:dyDescent="0.35">
      <c r="A11" s="283" t="s">
        <v>36</v>
      </c>
      <c r="B11" s="287">
        <f>'DATA BASE'!I18</f>
        <v>0</v>
      </c>
      <c r="C11" s="285">
        <f>'DATA BASE'!L18</f>
        <v>0</v>
      </c>
      <c r="D11" s="279" t="s">
        <v>60</v>
      </c>
      <c r="E11" s="288">
        <f>'DATA BASE'!I42</f>
        <v>86</v>
      </c>
      <c r="F11" s="286">
        <f>'DATA BASE'!L42</f>
        <v>88.9</v>
      </c>
    </row>
    <row r="12" spans="1:6" ht="45" customHeight="1" x14ac:dyDescent="0.35">
      <c r="A12" s="283" t="s">
        <v>37</v>
      </c>
      <c r="B12" s="287">
        <f>'DATA BASE'!I19</f>
        <v>90</v>
      </c>
      <c r="C12" s="285">
        <f>'DATA BASE'!L19</f>
        <v>0</v>
      </c>
      <c r="D12" s="279" t="s">
        <v>61</v>
      </c>
      <c r="E12" s="288">
        <f>'DATA BASE'!I43</f>
        <v>51</v>
      </c>
      <c r="F12" s="286">
        <f>'DATA BASE'!L43</f>
        <v>58.5</v>
      </c>
    </row>
    <row r="13" spans="1:6" ht="45" customHeight="1" x14ac:dyDescent="0.35">
      <c r="A13" s="283" t="s">
        <v>38</v>
      </c>
      <c r="B13" s="287">
        <f>'DATA BASE'!I20</f>
        <v>60</v>
      </c>
      <c r="C13" s="285">
        <f>'DATA BASE'!L20</f>
        <v>95</v>
      </c>
      <c r="D13" s="279" t="s">
        <v>62</v>
      </c>
      <c r="E13" s="288">
        <f>'DATA BASE'!I44</f>
        <v>94.6</v>
      </c>
      <c r="F13" s="286">
        <f>'DATA BASE'!L44</f>
        <v>92.5</v>
      </c>
    </row>
    <row r="14" spans="1:6" ht="45" customHeight="1" x14ac:dyDescent="0.35">
      <c r="A14" s="283" t="s">
        <v>39</v>
      </c>
      <c r="B14" s="287">
        <f>'DATA BASE'!I21</f>
        <v>95</v>
      </c>
      <c r="C14" s="285">
        <f>'DATA BASE'!L21</f>
        <v>93.3</v>
      </c>
      <c r="D14" s="279" t="s">
        <v>63</v>
      </c>
      <c r="E14" s="288">
        <f>'DATA BASE'!I45</f>
        <v>26.2</v>
      </c>
      <c r="F14" s="286">
        <f>'DATA BASE'!L45</f>
        <v>96</v>
      </c>
    </row>
    <row r="15" spans="1:6" ht="45" customHeight="1" x14ac:dyDescent="0.35">
      <c r="A15" s="283" t="s">
        <v>40</v>
      </c>
      <c r="B15" s="287">
        <f>'DATA BASE'!I22</f>
        <v>41</v>
      </c>
      <c r="C15" s="285">
        <f>'DATA BASE'!L22</f>
        <v>36.799999999999997</v>
      </c>
      <c r="D15" s="279" t="s">
        <v>64</v>
      </c>
      <c r="E15" s="288">
        <f>'DATA BASE'!I47</f>
        <v>30</v>
      </c>
      <c r="F15" s="286">
        <f>'DATA BASE'!L47</f>
        <v>40.9</v>
      </c>
    </row>
    <row r="16" spans="1:6" ht="45" customHeight="1" x14ac:dyDescent="0.35">
      <c r="A16" s="283" t="s">
        <v>41</v>
      </c>
      <c r="B16" s="287">
        <f>'DATA BASE'!I23</f>
        <v>83.5</v>
      </c>
      <c r="C16" s="285">
        <f>'DATA BASE'!L23</f>
        <v>84.2</v>
      </c>
      <c r="D16" s="279" t="s">
        <v>65</v>
      </c>
      <c r="E16" s="288">
        <f>'DATA BASE'!I48</f>
        <v>0</v>
      </c>
      <c r="F16" s="286">
        <f>'DATA BASE'!L48</f>
        <v>77.2</v>
      </c>
    </row>
    <row r="17" spans="1:6" ht="45" customHeight="1" x14ac:dyDescent="0.35">
      <c r="A17" s="283" t="s">
        <v>42</v>
      </c>
      <c r="B17" s="287">
        <f>'DATA BASE'!I24</f>
        <v>3.6</v>
      </c>
      <c r="C17" s="285">
        <f>'DATA BASE'!L24</f>
        <v>4</v>
      </c>
      <c r="D17" s="279" t="s">
        <v>66</v>
      </c>
      <c r="E17" s="288">
        <f>'DATA BASE'!I49</f>
        <v>71.2</v>
      </c>
      <c r="F17" s="286">
        <f>'DATA BASE'!L49</f>
        <v>71.2</v>
      </c>
    </row>
    <row r="18" spans="1:6" ht="45" customHeight="1" x14ac:dyDescent="0.35">
      <c r="A18" s="283" t="s">
        <v>43</v>
      </c>
      <c r="B18" s="287">
        <f>'DATA BASE'!I25</f>
        <v>67.400000000000006</v>
      </c>
      <c r="C18" s="285">
        <f>'DATA BASE'!L25</f>
        <v>20.3</v>
      </c>
      <c r="D18" s="279" t="s">
        <v>67</v>
      </c>
      <c r="E18" s="288">
        <f>'DATA BASE'!I50</f>
        <v>80</v>
      </c>
      <c r="F18" s="286">
        <f>'DATA BASE'!L50</f>
        <v>76.7</v>
      </c>
    </row>
    <row r="19" spans="1:6" ht="45" customHeight="1" x14ac:dyDescent="0.35">
      <c r="A19" s="283" t="s">
        <v>44</v>
      </c>
      <c r="B19" s="287">
        <f>'DATA BASE'!I26</f>
        <v>66</v>
      </c>
      <c r="C19" s="285">
        <f>'DATA BASE'!L26</f>
        <v>78.2</v>
      </c>
      <c r="D19" s="279" t="s">
        <v>68</v>
      </c>
      <c r="E19" s="288">
        <f>'DATA BASE'!I51</f>
        <v>0</v>
      </c>
      <c r="F19" s="286">
        <f>'DATA BASE'!L51</f>
        <v>92</v>
      </c>
    </row>
    <row r="20" spans="1:6" ht="45" customHeight="1" x14ac:dyDescent="0.35">
      <c r="A20" s="283" t="s">
        <v>45</v>
      </c>
      <c r="B20" s="287">
        <f>'DATA BASE'!I27</f>
        <v>91.3</v>
      </c>
      <c r="C20" s="285">
        <f>'DATA BASE'!L27</f>
        <v>91.3</v>
      </c>
      <c r="D20" s="279" t="s">
        <v>69</v>
      </c>
      <c r="E20" s="288">
        <f>'DATA BASE'!I52</f>
        <v>50</v>
      </c>
      <c r="F20" s="286">
        <f>'DATA BASE'!L52</f>
        <v>50</v>
      </c>
    </row>
    <row r="21" spans="1:6" ht="45" customHeight="1" x14ac:dyDescent="0.35">
      <c r="A21" s="283" t="s">
        <v>46</v>
      </c>
      <c r="B21" s="287">
        <f>'DATA BASE'!I28</f>
        <v>90.8</v>
      </c>
      <c r="C21" s="285">
        <f>'DATA BASE'!L28</f>
        <v>82.9</v>
      </c>
      <c r="D21" s="279" t="s">
        <v>70</v>
      </c>
      <c r="E21" s="288">
        <f>'DATA BASE'!I53</f>
        <v>84</v>
      </c>
      <c r="F21" s="286">
        <f>'DATA BASE'!L53</f>
        <v>79.599999999999994</v>
      </c>
    </row>
    <row r="22" spans="1:6" ht="45" customHeight="1" x14ac:dyDescent="0.35">
      <c r="A22" s="283" t="s">
        <v>47</v>
      </c>
      <c r="B22" s="287">
        <f>'DATA BASE'!I29</f>
        <v>95</v>
      </c>
      <c r="C22" s="285">
        <f>'DATA BASE'!L29</f>
        <v>92</v>
      </c>
      <c r="D22" s="279" t="s">
        <v>71</v>
      </c>
      <c r="E22" s="288">
        <f>'DATA BASE'!I54</f>
        <v>58.2</v>
      </c>
      <c r="F22" s="286">
        <f>'DATA BASE'!L54</f>
        <v>58.2</v>
      </c>
    </row>
    <row r="23" spans="1:6" ht="45" customHeight="1" x14ac:dyDescent="0.35">
      <c r="A23" s="283" t="s">
        <v>48</v>
      </c>
      <c r="B23" s="287">
        <f>'DATA BASE'!I30</f>
        <v>90</v>
      </c>
      <c r="C23" s="285">
        <f>'DATA BASE'!L30</f>
        <v>98</v>
      </c>
      <c r="D23" s="279" t="s">
        <v>72</v>
      </c>
      <c r="E23" s="288">
        <f>'DATA BASE'!I55</f>
        <v>0</v>
      </c>
      <c r="F23" s="286">
        <f>'DATA BASE'!L55</f>
        <v>0.8</v>
      </c>
    </row>
    <row r="24" spans="1:6" ht="45" customHeight="1" x14ac:dyDescent="0.35">
      <c r="A24" s="283" t="s">
        <v>49</v>
      </c>
      <c r="B24" s="287">
        <f>'DATA BASE'!I31</f>
        <v>97</v>
      </c>
      <c r="C24" s="285">
        <f>'DATA BASE'!L31</f>
        <v>92.7</v>
      </c>
      <c r="D24" s="279" t="s">
        <v>73</v>
      </c>
      <c r="E24" s="288" t="e">
        <f>'DATA BASE'!#REF!</f>
        <v>#REF!</v>
      </c>
      <c r="F24" s="286" t="e">
        <f>'DATA BASE'!#REF!</f>
        <v>#REF!</v>
      </c>
    </row>
    <row r="25" spans="1:6" ht="45" customHeight="1" thickBot="1" x14ac:dyDescent="0.4">
      <c r="A25" s="289" t="s">
        <v>50</v>
      </c>
      <c r="B25" s="290">
        <f>'DATA BASE'!I32</f>
        <v>98</v>
      </c>
      <c r="C25" s="291">
        <f>'DATA BASE'!L32</f>
        <v>96</v>
      </c>
      <c r="D25" s="292" t="s">
        <v>74</v>
      </c>
      <c r="E25" s="293">
        <f>'DATA BASE'!I56</f>
        <v>69.3</v>
      </c>
      <c r="F25" s="294">
        <f>'DATA BASE'!L56</f>
        <v>95.6</v>
      </c>
    </row>
    <row r="26" spans="1:6" ht="45" customHeight="1" thickTop="1" x14ac:dyDescent="0.35">
      <c r="A26" s="280" t="s">
        <v>1</v>
      </c>
      <c r="B26" s="281" t="s">
        <v>314</v>
      </c>
      <c r="C26" s="282" t="s">
        <v>315</v>
      </c>
      <c r="D26" s="276" t="s">
        <v>1</v>
      </c>
      <c r="E26" s="277" t="s">
        <v>314</v>
      </c>
      <c r="F26" s="278" t="s">
        <v>315</v>
      </c>
    </row>
    <row r="27" spans="1:6" ht="45" customHeight="1" x14ac:dyDescent="0.35">
      <c r="A27" s="283" t="s">
        <v>75</v>
      </c>
      <c r="B27" s="287" t="e">
        <f>'DATA BASE'!#REF!</f>
        <v>#REF!</v>
      </c>
      <c r="C27" s="285" t="e">
        <f>'DATA BASE'!#REF!</f>
        <v>#REF!</v>
      </c>
      <c r="D27" s="283" t="s">
        <v>199</v>
      </c>
      <c r="E27" s="288">
        <f>'DATA BASE'!I75</f>
        <v>75</v>
      </c>
      <c r="F27" s="286">
        <f>'DATA BASE'!L75</f>
        <v>33.1</v>
      </c>
    </row>
    <row r="28" spans="1:6" ht="45" customHeight="1" x14ac:dyDescent="0.35">
      <c r="A28" s="283" t="s">
        <v>76</v>
      </c>
      <c r="B28" s="287">
        <f>'DATA BASE'!I57</f>
        <v>80</v>
      </c>
      <c r="C28" s="285">
        <f>'DATA BASE'!L57</f>
        <v>90.7</v>
      </c>
      <c r="D28" s="283" t="s">
        <v>200</v>
      </c>
      <c r="E28" s="288">
        <f>'DATA BASE'!I76</f>
        <v>79</v>
      </c>
      <c r="F28" s="286">
        <f>'DATA BASE'!L76</f>
        <v>73.7</v>
      </c>
    </row>
    <row r="29" spans="1:6" ht="45" customHeight="1" x14ac:dyDescent="0.35">
      <c r="A29" s="283" t="s">
        <v>77</v>
      </c>
      <c r="B29" s="287" t="e">
        <f>'DATA BASE'!#REF!</f>
        <v>#REF!</v>
      </c>
      <c r="C29" s="285" t="e">
        <f>'DATA BASE'!#REF!</f>
        <v>#REF!</v>
      </c>
      <c r="D29" s="283" t="s">
        <v>245</v>
      </c>
      <c r="E29" s="288">
        <f>'DATA BASE'!I77</f>
        <v>0</v>
      </c>
      <c r="F29" s="286">
        <f>'DATA BASE'!L77</f>
        <v>40.9</v>
      </c>
    </row>
    <row r="30" spans="1:6" ht="45" customHeight="1" x14ac:dyDescent="0.35">
      <c r="A30" s="283" t="s">
        <v>78</v>
      </c>
      <c r="B30" s="287">
        <f>'DATA BASE'!I58</f>
        <v>50</v>
      </c>
      <c r="C30" s="285">
        <f>'DATA BASE'!L58</f>
        <v>50.8</v>
      </c>
      <c r="D30" s="283" t="s">
        <v>246</v>
      </c>
      <c r="E30" s="288">
        <f>'DATA BASE'!I78</f>
        <v>68.599999999999994</v>
      </c>
      <c r="F30" s="286">
        <f>'DATA BASE'!L78</f>
        <v>2.4</v>
      </c>
    </row>
    <row r="31" spans="1:6" ht="45" customHeight="1" x14ac:dyDescent="0.35">
      <c r="A31" s="283" t="s">
        <v>79</v>
      </c>
      <c r="B31" s="287">
        <f>'DATA BASE'!I59</f>
        <v>94.6</v>
      </c>
      <c r="C31" s="285">
        <f>'DATA BASE'!L59</f>
        <v>93.7</v>
      </c>
      <c r="D31" s="283" t="s">
        <v>201</v>
      </c>
      <c r="E31" s="288">
        <f>'DATA BASE'!I79</f>
        <v>61.9</v>
      </c>
      <c r="F31" s="286">
        <f>'DATA BASE'!L79</f>
        <v>78.400000000000006</v>
      </c>
    </row>
    <row r="32" spans="1:6" ht="45" customHeight="1" x14ac:dyDescent="0.35">
      <c r="A32" s="283" t="s">
        <v>80</v>
      </c>
      <c r="B32" s="287">
        <f>'DATA BASE'!I60</f>
        <v>71.599999999999994</v>
      </c>
      <c r="C32" s="285">
        <f>'DATA BASE'!L60</f>
        <v>80.2</v>
      </c>
      <c r="D32" s="283" t="s">
        <v>202</v>
      </c>
      <c r="E32" s="288">
        <f>'DATA BASE'!I80</f>
        <v>100</v>
      </c>
      <c r="F32" s="286">
        <f>'DATA BASE'!L80</f>
        <v>97.5</v>
      </c>
    </row>
    <row r="33" spans="1:6" ht="45" customHeight="1" x14ac:dyDescent="0.35">
      <c r="A33" s="283" t="s">
        <v>81</v>
      </c>
      <c r="B33" s="287" t="e">
        <f>'DATA BASE'!#REF!</f>
        <v>#REF!</v>
      </c>
      <c r="C33" s="285" t="e">
        <f>'DATA BASE'!#REF!</f>
        <v>#REF!</v>
      </c>
      <c r="D33" s="283" t="s">
        <v>203</v>
      </c>
      <c r="E33" s="288">
        <f>'DATA BASE'!I82</f>
        <v>45</v>
      </c>
      <c r="F33" s="286">
        <f>'DATA BASE'!L82</f>
        <v>67.900000000000006</v>
      </c>
    </row>
    <row r="34" spans="1:6" ht="45" customHeight="1" x14ac:dyDescent="0.35">
      <c r="A34" s="283" t="s">
        <v>82</v>
      </c>
      <c r="B34" s="287">
        <f>'DATA BASE'!I61</f>
        <v>90.1</v>
      </c>
      <c r="C34" s="285">
        <f>'DATA BASE'!L61</f>
        <v>90.1</v>
      </c>
      <c r="D34" s="283" t="s">
        <v>247</v>
      </c>
      <c r="E34" s="288">
        <f>'DATA BASE'!I83</f>
        <v>1.2</v>
      </c>
      <c r="F34" s="286">
        <f>'DATA BASE'!L83</f>
        <v>37.6</v>
      </c>
    </row>
    <row r="35" spans="1:6" ht="45" customHeight="1" x14ac:dyDescent="0.35">
      <c r="A35" s="283" t="s">
        <v>83</v>
      </c>
      <c r="B35" s="287">
        <f>'DATA BASE'!I62</f>
        <v>48.9</v>
      </c>
      <c r="C35" s="285">
        <f>'DATA BASE'!L62</f>
        <v>96</v>
      </c>
      <c r="D35" s="283" t="s">
        <v>204</v>
      </c>
      <c r="E35" s="288" t="e">
        <f>'DATA BASE'!#REF!</f>
        <v>#REF!</v>
      </c>
      <c r="F35" s="286" t="e">
        <f>'DATA BASE'!#REF!</f>
        <v>#REF!</v>
      </c>
    </row>
    <row r="36" spans="1:6" ht="45" customHeight="1" x14ac:dyDescent="0.35">
      <c r="A36" s="283" t="s">
        <v>84</v>
      </c>
      <c r="B36" s="287">
        <f>'DATA BASE'!I63</f>
        <v>46.5</v>
      </c>
      <c r="C36" s="285">
        <f>'DATA BASE'!L63</f>
        <v>42.4</v>
      </c>
      <c r="D36" s="283" t="s">
        <v>205</v>
      </c>
      <c r="E36" s="288">
        <f>'DATA BASE'!I85</f>
        <v>0</v>
      </c>
      <c r="F36" s="286">
        <f>'DATA BASE'!L85</f>
        <v>94.3</v>
      </c>
    </row>
    <row r="37" spans="1:6" ht="45" customHeight="1" x14ac:dyDescent="0.35">
      <c r="A37" s="283" t="s">
        <v>85</v>
      </c>
      <c r="B37" s="287">
        <f>'DATA BASE'!I64</f>
        <v>50</v>
      </c>
      <c r="C37" s="285">
        <f>'DATA BASE'!L64</f>
        <v>3.2</v>
      </c>
      <c r="D37" s="283" t="s">
        <v>206</v>
      </c>
      <c r="E37" s="288">
        <f>'DATA BASE'!I86</f>
        <v>64.8</v>
      </c>
      <c r="F37" s="286">
        <f>'DATA BASE'!L86</f>
        <v>64.8</v>
      </c>
    </row>
    <row r="38" spans="1:6" ht="45" customHeight="1" x14ac:dyDescent="0.35">
      <c r="A38" s="283" t="s">
        <v>180</v>
      </c>
      <c r="B38" s="287">
        <f>'DATA BASE'!I65</f>
        <v>1.6</v>
      </c>
      <c r="C38" s="285">
        <f>'DATA BASE'!L65</f>
        <v>7.3</v>
      </c>
      <c r="D38" s="283" t="s">
        <v>207</v>
      </c>
      <c r="E38" s="288">
        <f>'DATA BASE'!I87</f>
        <v>0</v>
      </c>
      <c r="F38" s="286">
        <f>'DATA BASE'!L87</f>
        <v>80</v>
      </c>
    </row>
    <row r="39" spans="1:6" ht="45" customHeight="1" x14ac:dyDescent="0.35">
      <c r="A39" s="283" t="s">
        <v>86</v>
      </c>
      <c r="B39" s="287">
        <f>'DATA BASE'!I66</f>
        <v>27.8</v>
      </c>
      <c r="C39" s="285">
        <f>'DATA BASE'!L66</f>
        <v>4.8</v>
      </c>
      <c r="D39" s="283" t="s">
        <v>208</v>
      </c>
      <c r="E39" s="288">
        <f>'DATA BASE'!I89</f>
        <v>74</v>
      </c>
      <c r="F39" s="286">
        <f>'DATA BASE'!L89</f>
        <v>73.099999999999994</v>
      </c>
    </row>
    <row r="40" spans="1:6" ht="45" customHeight="1" x14ac:dyDescent="0.35">
      <c r="A40" s="283" t="s">
        <v>87</v>
      </c>
      <c r="B40" s="287">
        <f>'DATA BASE'!I67</f>
        <v>13</v>
      </c>
      <c r="C40" s="285">
        <f>'DATA BASE'!L67</f>
        <v>0.8</v>
      </c>
      <c r="D40" s="283" t="s">
        <v>248</v>
      </c>
      <c r="E40" s="288">
        <f>'DATA BASE'!I90</f>
        <v>90</v>
      </c>
      <c r="F40" s="286">
        <f>'DATA BASE'!L90</f>
        <v>92</v>
      </c>
    </row>
    <row r="41" spans="1:6" ht="45" customHeight="1" x14ac:dyDescent="0.35">
      <c r="A41" s="283" t="s">
        <v>88</v>
      </c>
      <c r="B41" s="287">
        <f>'DATA BASE'!I68</f>
        <v>4</v>
      </c>
      <c r="C41" s="285">
        <f>'DATA BASE'!L68</f>
        <v>29.7</v>
      </c>
      <c r="D41" s="283" t="s">
        <v>209</v>
      </c>
      <c r="E41" s="288">
        <f>'DATA BASE'!I91</f>
        <v>0</v>
      </c>
      <c r="F41" s="286">
        <f>'DATA BASE'!L91</f>
        <v>82</v>
      </c>
    </row>
    <row r="42" spans="1:6" ht="45" customHeight="1" x14ac:dyDescent="0.35">
      <c r="A42" s="283" t="s">
        <v>89</v>
      </c>
      <c r="B42" s="287">
        <f>'DATA BASE'!I69</f>
        <v>7</v>
      </c>
      <c r="C42" s="285">
        <f>'DATA BASE'!L69</f>
        <v>22.7</v>
      </c>
      <c r="D42" s="283" t="s">
        <v>210</v>
      </c>
      <c r="E42" s="288" t="e">
        <f>'DATA BASE'!#REF!</f>
        <v>#REF!</v>
      </c>
      <c r="F42" s="286" t="e">
        <f>'DATA BASE'!#REF!</f>
        <v>#REF!</v>
      </c>
    </row>
    <row r="43" spans="1:6" ht="45" customHeight="1" x14ac:dyDescent="0.35">
      <c r="A43" s="283" t="s">
        <v>90</v>
      </c>
      <c r="B43" s="287">
        <f>'DATA BASE'!I70</f>
        <v>8</v>
      </c>
      <c r="C43" s="285">
        <f>'DATA BASE'!L70</f>
        <v>1.6</v>
      </c>
      <c r="D43" s="283" t="s">
        <v>249</v>
      </c>
      <c r="E43" s="288">
        <f>'DATA BASE'!I94</f>
        <v>87</v>
      </c>
      <c r="F43" s="286">
        <f>'DATA BASE'!L94</f>
        <v>96</v>
      </c>
    </row>
    <row r="44" spans="1:6" ht="45" customHeight="1" x14ac:dyDescent="0.35">
      <c r="A44" s="283" t="s">
        <v>91</v>
      </c>
      <c r="B44" s="287">
        <f>'DATA BASE'!I71</f>
        <v>5</v>
      </c>
      <c r="C44" s="285">
        <f>'DATA BASE'!L71</f>
        <v>100</v>
      </c>
      <c r="D44" s="283" t="s">
        <v>211</v>
      </c>
      <c r="E44" s="288">
        <f>'DATA BASE'!I95</f>
        <v>82</v>
      </c>
      <c r="F44" s="286">
        <f>'DATA BASE'!L95</f>
        <v>82</v>
      </c>
    </row>
    <row r="45" spans="1:6" ht="45" customHeight="1" x14ac:dyDescent="0.35">
      <c r="A45" s="283" t="s">
        <v>386</v>
      </c>
      <c r="B45" s="287">
        <f>'DATA BASE'!I72</f>
        <v>0</v>
      </c>
      <c r="C45" s="285">
        <f>'DATA BASE'!L72</f>
        <v>0</v>
      </c>
      <c r="D45" s="283" t="s">
        <v>212</v>
      </c>
      <c r="E45" s="288">
        <f>'DATA BASE'!I96</f>
        <v>41.3</v>
      </c>
      <c r="F45" s="286">
        <f>'DATA BASE'!L96</f>
        <v>41.3</v>
      </c>
    </row>
    <row r="46" spans="1:6" ht="45" customHeight="1" x14ac:dyDescent="0.35">
      <c r="A46" s="283" t="s">
        <v>387</v>
      </c>
      <c r="B46" s="287">
        <f>'DATA BASE'!I73</f>
        <v>18.3</v>
      </c>
      <c r="C46" s="285">
        <f>'DATA BASE'!L73</f>
        <v>38.5</v>
      </c>
      <c r="D46" s="283" t="s">
        <v>213</v>
      </c>
      <c r="E46" s="288">
        <f>'DATA BASE'!I97</f>
        <v>95</v>
      </c>
      <c r="F46" s="286">
        <f>'DATA BASE'!L97</f>
        <v>92.7</v>
      </c>
    </row>
    <row r="47" spans="1:6" ht="45" customHeight="1" x14ac:dyDescent="0.35">
      <c r="A47" s="283" t="s">
        <v>388</v>
      </c>
      <c r="B47" s="287">
        <f>'DATA BASE'!I74</f>
        <v>59.4</v>
      </c>
      <c r="C47" s="285">
        <f>'DATA BASE'!L74</f>
        <v>57.3</v>
      </c>
      <c r="D47" s="283" t="s">
        <v>250</v>
      </c>
      <c r="E47" s="288">
        <f>'DATA BASE'!I98</f>
        <v>100</v>
      </c>
      <c r="F47" s="286">
        <f>'DATA BASE'!L98</f>
        <v>100</v>
      </c>
    </row>
    <row r="48" spans="1:6" ht="45" customHeight="1" x14ac:dyDescent="0.35">
      <c r="A48" s="283"/>
      <c r="B48" s="287"/>
      <c r="C48" s="285"/>
      <c r="D48" s="283" t="s">
        <v>251</v>
      </c>
      <c r="E48" s="288">
        <f>'DATA BASE'!I99</f>
        <v>0</v>
      </c>
      <c r="F48" s="286">
        <f>'DATA BASE'!L99</f>
        <v>93.8</v>
      </c>
    </row>
    <row r="49" spans="1:6" ht="45" customHeight="1" x14ac:dyDescent="0.35">
      <c r="A49" s="283"/>
      <c r="B49" s="287"/>
      <c r="C49" s="285"/>
      <c r="D49" s="283" t="s">
        <v>214</v>
      </c>
      <c r="E49" s="288">
        <f>'DATA BASE'!I101</f>
        <v>85.7</v>
      </c>
      <c r="F49" s="286">
        <f>'DATA BASE'!L101</f>
        <v>85.7</v>
      </c>
    </row>
    <row r="50" spans="1:6" ht="45" customHeight="1" thickBot="1" x14ac:dyDescent="0.4">
      <c r="A50" s="283"/>
      <c r="B50" s="287"/>
      <c r="C50" s="285"/>
      <c r="D50" s="283" t="s">
        <v>215</v>
      </c>
      <c r="E50" s="288">
        <f>'DATA BASE'!I102</f>
        <v>37</v>
      </c>
      <c r="F50" s="286">
        <f>'DATA BASE'!L102</f>
        <v>33</v>
      </c>
    </row>
    <row r="51" spans="1:6" ht="45" customHeight="1" thickTop="1" x14ac:dyDescent="0.35">
      <c r="A51" s="280" t="s">
        <v>1</v>
      </c>
      <c r="B51" s="281" t="s">
        <v>314</v>
      </c>
      <c r="C51" s="282" t="s">
        <v>315</v>
      </c>
      <c r="D51" s="276" t="s">
        <v>1</v>
      </c>
      <c r="E51" s="277" t="s">
        <v>314</v>
      </c>
      <c r="F51" s="278" t="s">
        <v>315</v>
      </c>
    </row>
    <row r="52" spans="1:6" ht="45" customHeight="1" x14ac:dyDescent="0.35">
      <c r="A52" s="283" t="s">
        <v>216</v>
      </c>
      <c r="B52" s="287">
        <f>'DATA BASE'!I103</f>
        <v>67.7</v>
      </c>
      <c r="C52" s="285">
        <f>'DATA BASE'!L103</f>
        <v>89.3</v>
      </c>
      <c r="D52" s="283" t="s">
        <v>233</v>
      </c>
      <c r="E52" s="288">
        <f>'DATA BASE'!I128</f>
        <v>9.6999999999999993</v>
      </c>
      <c r="F52" s="286">
        <v>8.1999999999999993</v>
      </c>
    </row>
    <row r="53" spans="1:6" ht="45" customHeight="1" x14ac:dyDescent="0.35">
      <c r="A53" s="283" t="s">
        <v>217</v>
      </c>
      <c r="B53" s="287">
        <f>'DATA BASE'!I104</f>
        <v>1.2</v>
      </c>
      <c r="C53" s="285">
        <f>'DATA BASE'!L104</f>
        <v>8.1</v>
      </c>
      <c r="D53" s="283" t="s">
        <v>259</v>
      </c>
      <c r="E53" s="288">
        <f>'DATA BASE'!I129</f>
        <v>68.5</v>
      </c>
      <c r="F53" s="286">
        <v>68.400000000000006</v>
      </c>
    </row>
    <row r="54" spans="1:6" ht="45" customHeight="1" x14ac:dyDescent="0.35">
      <c r="A54" s="283" t="s">
        <v>252</v>
      </c>
      <c r="B54" s="287" t="e">
        <f>'DATA BASE'!#REF!</f>
        <v>#REF!</v>
      </c>
      <c r="C54" s="285" t="e">
        <f>'DATA BASE'!#REF!</f>
        <v>#REF!</v>
      </c>
      <c r="D54" s="283" t="s">
        <v>234</v>
      </c>
      <c r="E54" s="288" t="e">
        <f>'DATA BASE'!#REF!</f>
        <v>#REF!</v>
      </c>
      <c r="F54" s="286">
        <v>89.8</v>
      </c>
    </row>
    <row r="55" spans="1:6" ht="45" customHeight="1" x14ac:dyDescent="0.35">
      <c r="A55" s="283" t="s">
        <v>218</v>
      </c>
      <c r="B55" s="287">
        <f>'DATA BASE'!I106</f>
        <v>88</v>
      </c>
      <c r="C55" s="285">
        <f>'DATA BASE'!L106</f>
        <v>75.400000000000006</v>
      </c>
      <c r="D55" s="283" t="s">
        <v>235</v>
      </c>
      <c r="E55" s="288">
        <f>'DATA BASE'!I130</f>
        <v>96.8</v>
      </c>
      <c r="F55" s="286">
        <v>96.3</v>
      </c>
    </row>
    <row r="56" spans="1:6" ht="45" customHeight="1" x14ac:dyDescent="0.35">
      <c r="A56" s="283" t="s">
        <v>253</v>
      </c>
      <c r="B56" s="287">
        <f>'DATA BASE'!I107</f>
        <v>95</v>
      </c>
      <c r="C56" s="285">
        <f>'DATA BASE'!L107</f>
        <v>96</v>
      </c>
      <c r="D56" s="283" t="s">
        <v>236</v>
      </c>
      <c r="E56" s="288">
        <f>'DATA BASE'!I131</f>
        <v>92.4</v>
      </c>
      <c r="F56" s="286">
        <v>82.4</v>
      </c>
    </row>
    <row r="57" spans="1:6" ht="45" customHeight="1" x14ac:dyDescent="0.35">
      <c r="A57" s="283" t="s">
        <v>219</v>
      </c>
      <c r="B57" s="287">
        <f>'DATA BASE'!I108</f>
        <v>98</v>
      </c>
      <c r="C57" s="285">
        <f>'DATA BASE'!L108</f>
        <v>97.6</v>
      </c>
      <c r="D57" s="283" t="s">
        <v>237</v>
      </c>
      <c r="E57" s="288">
        <f>'DATA BASE'!I132</f>
        <v>12</v>
      </c>
      <c r="F57" s="286">
        <v>0.8</v>
      </c>
    </row>
    <row r="58" spans="1:6" ht="45" customHeight="1" x14ac:dyDescent="0.35">
      <c r="A58" s="283" t="s">
        <v>220</v>
      </c>
      <c r="B58" s="287">
        <f>'DATA BASE'!I109</f>
        <v>22.1</v>
      </c>
      <c r="C58" s="285">
        <f>'DATA BASE'!L109</f>
        <v>42.6</v>
      </c>
      <c r="D58" s="283" t="s">
        <v>238</v>
      </c>
      <c r="E58" s="288">
        <f>'DATA BASE'!I133</f>
        <v>12</v>
      </c>
      <c r="F58" s="286">
        <v>0.4</v>
      </c>
    </row>
    <row r="59" spans="1:6" ht="45" customHeight="1" x14ac:dyDescent="0.35">
      <c r="A59" s="283" t="s">
        <v>221</v>
      </c>
      <c r="B59" s="287">
        <f>'DATA BASE'!I110</f>
        <v>80</v>
      </c>
      <c r="C59" s="285">
        <f>'DATA BASE'!L110</f>
        <v>67.8</v>
      </c>
      <c r="D59" s="283" t="s">
        <v>239</v>
      </c>
      <c r="E59" s="288">
        <f>'DATA BASE'!I134</f>
        <v>10</v>
      </c>
      <c r="F59" s="286">
        <v>8.5</v>
      </c>
    </row>
    <row r="60" spans="1:6" ht="45" customHeight="1" x14ac:dyDescent="0.35">
      <c r="A60" s="283" t="s">
        <v>222</v>
      </c>
      <c r="B60" s="287">
        <f>'DATA BASE'!I111</f>
        <v>10</v>
      </c>
      <c r="C60" s="285">
        <f>'DATA BASE'!L111</f>
        <v>33.799999999999997</v>
      </c>
      <c r="D60" s="283" t="s">
        <v>240</v>
      </c>
      <c r="E60" s="288">
        <f>'DATA BASE'!I136</f>
        <v>3.2</v>
      </c>
      <c r="F60" s="286">
        <v>9.3000000000000007</v>
      </c>
    </row>
    <row r="61" spans="1:6" ht="45" customHeight="1" x14ac:dyDescent="0.35">
      <c r="A61" s="283" t="s">
        <v>254</v>
      </c>
      <c r="B61" s="287">
        <f>'DATA BASE'!I112</f>
        <v>76.400000000000006</v>
      </c>
      <c r="C61" s="285">
        <f>'DATA BASE'!L112</f>
        <v>82.1</v>
      </c>
      <c r="D61" s="283" t="s">
        <v>260</v>
      </c>
      <c r="E61" s="288">
        <f>'DATA BASE'!I137</f>
        <v>0.4</v>
      </c>
      <c r="F61" s="286">
        <v>0.4</v>
      </c>
    </row>
    <row r="62" spans="1:6" ht="45" customHeight="1" x14ac:dyDescent="0.35">
      <c r="A62" s="283" t="s">
        <v>255</v>
      </c>
      <c r="B62" s="287">
        <f>'DATA BASE'!I113</f>
        <v>92.6</v>
      </c>
      <c r="C62" s="285">
        <f>'DATA BASE'!L113</f>
        <v>92.6</v>
      </c>
      <c r="D62" s="283" t="s">
        <v>261</v>
      </c>
      <c r="E62" s="288">
        <f>'DATA BASE'!I142</f>
        <v>0</v>
      </c>
      <c r="F62" s="286">
        <v>27</v>
      </c>
    </row>
    <row r="63" spans="1:6" ht="45" customHeight="1" x14ac:dyDescent="0.35">
      <c r="A63" s="283" t="s">
        <v>223</v>
      </c>
      <c r="B63" s="287">
        <f>'DATA BASE'!I114</f>
        <v>73.599999999999994</v>
      </c>
      <c r="C63" s="285">
        <f>'DATA BASE'!L114</f>
        <v>79.599999999999994</v>
      </c>
      <c r="D63" s="283" t="s">
        <v>241</v>
      </c>
      <c r="E63" s="288">
        <f>'DATA BASE'!I143</f>
        <v>0</v>
      </c>
      <c r="F63" s="286">
        <v>90</v>
      </c>
    </row>
    <row r="64" spans="1:6" ht="45" customHeight="1" x14ac:dyDescent="0.35">
      <c r="A64" s="283" t="s">
        <v>224</v>
      </c>
      <c r="B64" s="287">
        <f>'DATA BASE'!I115</f>
        <v>48</v>
      </c>
      <c r="C64" s="285">
        <f>'DATA BASE'!L115</f>
        <v>33.799999999999997</v>
      </c>
      <c r="D64" s="283" t="s">
        <v>242</v>
      </c>
      <c r="E64" s="288">
        <f>'DATA BASE'!I144</f>
        <v>50</v>
      </c>
      <c r="F64" s="286">
        <v>46.6</v>
      </c>
    </row>
    <row r="65" spans="1:6" ht="45" customHeight="1" x14ac:dyDescent="0.35">
      <c r="A65" s="283" t="s">
        <v>225</v>
      </c>
      <c r="B65" s="287">
        <f>'DATA BASE'!I116</f>
        <v>12</v>
      </c>
      <c r="C65" s="285">
        <f>'DATA BASE'!L116</f>
        <v>12</v>
      </c>
      <c r="D65" s="283" t="s">
        <v>243</v>
      </c>
      <c r="E65" s="288">
        <f>'DATA BASE'!I145</f>
        <v>0</v>
      </c>
      <c r="F65" s="286">
        <v>1.2</v>
      </c>
    </row>
    <row r="66" spans="1:6" ht="45" customHeight="1" x14ac:dyDescent="0.35">
      <c r="A66" s="283" t="s">
        <v>226</v>
      </c>
      <c r="B66" s="287">
        <f>'DATA BASE'!I117</f>
        <v>70</v>
      </c>
      <c r="C66" s="285">
        <f>'DATA BASE'!L117</f>
        <v>71.7</v>
      </c>
      <c r="D66" s="283" t="s">
        <v>244</v>
      </c>
      <c r="E66" s="288">
        <f>'DATA BASE'!I147</f>
        <v>0</v>
      </c>
      <c r="F66" s="286">
        <v>73.5</v>
      </c>
    </row>
    <row r="67" spans="1:6" ht="45" customHeight="1" x14ac:dyDescent="0.35">
      <c r="A67" s="283" t="s">
        <v>227</v>
      </c>
      <c r="B67" s="287">
        <f>'DATA BASE'!I118</f>
        <v>18</v>
      </c>
      <c r="C67" s="285">
        <f>'DATA BASE'!L118</f>
        <v>71.7</v>
      </c>
      <c r="D67" s="283" t="s">
        <v>304</v>
      </c>
      <c r="E67" s="288">
        <f>'DATA BASE'!I148</f>
        <v>94</v>
      </c>
      <c r="F67" s="286">
        <v>94</v>
      </c>
    </row>
    <row r="68" spans="1:6" ht="45" customHeight="1" x14ac:dyDescent="0.35">
      <c r="A68" s="283" t="s">
        <v>228</v>
      </c>
      <c r="B68" s="287">
        <f>'DATA BASE'!I119</f>
        <v>10</v>
      </c>
      <c r="C68" s="285">
        <f>'DATA BASE'!L119</f>
        <v>0.8</v>
      </c>
      <c r="D68" s="283" t="s">
        <v>313</v>
      </c>
      <c r="E68" s="288">
        <f>'DATA BASE'!I149</f>
        <v>93</v>
      </c>
      <c r="F68" s="286">
        <v>95</v>
      </c>
    </row>
    <row r="69" spans="1:6" ht="45" customHeight="1" x14ac:dyDescent="0.35">
      <c r="A69" s="283" t="s">
        <v>229</v>
      </c>
      <c r="B69" s="287">
        <f>'DATA BASE'!I120</f>
        <v>58.5</v>
      </c>
      <c r="C69" s="285">
        <f>'DATA BASE'!L120</f>
        <v>58.5</v>
      </c>
      <c r="D69" s="283" t="s">
        <v>305</v>
      </c>
      <c r="E69" s="288">
        <f>'DATA BASE'!I150</f>
        <v>90</v>
      </c>
      <c r="F69" s="286">
        <v>72.3</v>
      </c>
    </row>
    <row r="70" spans="1:6" ht="45" customHeight="1" x14ac:dyDescent="0.35">
      <c r="A70" s="283" t="s">
        <v>256</v>
      </c>
      <c r="B70" s="287">
        <f>'DATA BASE'!I121</f>
        <v>74.3</v>
      </c>
      <c r="C70" s="285">
        <f>'DATA BASE'!L121</f>
        <v>42.9</v>
      </c>
      <c r="D70" s="283" t="s">
        <v>306</v>
      </c>
      <c r="E70" s="288">
        <f>'DATA BASE'!I151</f>
        <v>92.7</v>
      </c>
      <c r="F70" s="286">
        <v>89.5</v>
      </c>
    </row>
    <row r="71" spans="1:6" ht="45" customHeight="1" x14ac:dyDescent="0.35">
      <c r="A71" s="283" t="s">
        <v>230</v>
      </c>
      <c r="B71" s="287">
        <f>'DATA BASE'!I122</f>
        <v>85.2</v>
      </c>
      <c r="C71" s="285">
        <f>'DATA BASE'!L122</f>
        <v>76.400000000000006</v>
      </c>
      <c r="D71" s="283" t="s">
        <v>308</v>
      </c>
      <c r="E71" s="288">
        <f>'DATA BASE'!I152</f>
        <v>88</v>
      </c>
      <c r="F71" s="286">
        <v>98</v>
      </c>
    </row>
    <row r="72" spans="1:6" ht="45" customHeight="1" x14ac:dyDescent="0.35">
      <c r="A72" s="283" t="s">
        <v>257</v>
      </c>
      <c r="B72" s="287">
        <f>'DATA BASE'!I124</f>
        <v>20</v>
      </c>
      <c r="C72" s="285">
        <f>'DATA BASE'!L124</f>
        <v>66.900000000000006</v>
      </c>
      <c r="D72" s="283" t="s">
        <v>307</v>
      </c>
      <c r="E72" s="288">
        <f>'DATA BASE'!I153</f>
        <v>12</v>
      </c>
      <c r="F72" s="286">
        <v>33.6</v>
      </c>
    </row>
    <row r="73" spans="1:6" ht="45" customHeight="1" x14ac:dyDescent="0.35">
      <c r="A73" s="283" t="s">
        <v>231</v>
      </c>
      <c r="B73" s="287">
        <f>'DATA BASE'!I125</f>
        <v>10</v>
      </c>
      <c r="C73" s="285">
        <f>'DATA BASE'!L125</f>
        <v>22.9</v>
      </c>
      <c r="D73" s="283"/>
      <c r="E73" s="288"/>
      <c r="F73" s="286"/>
    </row>
    <row r="74" spans="1:6" ht="45" customHeight="1" x14ac:dyDescent="0.35">
      <c r="A74" s="283" t="s">
        <v>258</v>
      </c>
      <c r="B74" s="287">
        <f>'DATA BASE'!I126</f>
        <v>78.900000000000006</v>
      </c>
      <c r="C74" s="285">
        <f>'DATA BASE'!L126</f>
        <v>85.3</v>
      </c>
      <c r="D74" s="283"/>
      <c r="E74" s="288"/>
      <c r="F74" s="286"/>
    </row>
    <row r="75" spans="1:6" ht="45" customHeight="1" x14ac:dyDescent="0.35">
      <c r="A75" s="283" t="s">
        <v>232</v>
      </c>
      <c r="B75" s="287">
        <f>'DATA BASE'!I127</f>
        <v>50</v>
      </c>
      <c r="C75" s="285">
        <f>'DATA BASE'!L127</f>
        <v>39</v>
      </c>
      <c r="D75" s="283"/>
      <c r="E75" s="288"/>
      <c r="F75" s="286"/>
    </row>
  </sheetData>
  <pageMargins left="0.7" right="0.7" top="0.75" bottom="0.75" header="0.3" footer="0.3"/>
  <pageSetup paperSize="9" scale="66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="Please Select a right value from the list">
          <x14:formula1>
            <xm:f>' Data Lists'!$B$3:$B$147</xm:f>
          </x14:formula1>
          <xm:sqref>A2:A25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A27:A44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D2:D25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D27:D50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A52:A75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D52:D72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8"/>
  <sheetViews>
    <sheetView view="pageBreakPreview" zoomScale="60" zoomScaleNormal="100" workbookViewId="0">
      <selection activeCell="H3" sqref="H3:H4"/>
    </sheetView>
  </sheetViews>
  <sheetFormatPr defaultRowHeight="15" x14ac:dyDescent="0.25"/>
  <cols>
    <col min="1" max="1" width="25" customWidth="1"/>
    <col min="2" max="2" width="16.42578125" customWidth="1"/>
    <col min="3" max="3" width="13.85546875" customWidth="1"/>
    <col min="4" max="4" width="14.85546875" customWidth="1"/>
    <col min="5" max="5" width="13.85546875" customWidth="1"/>
    <col min="6" max="6" width="17.42578125" customWidth="1"/>
    <col min="7" max="7" width="11.7109375" style="326" customWidth="1"/>
    <col min="8" max="8" width="16.28515625" style="326" customWidth="1"/>
  </cols>
  <sheetData>
    <row r="1" spans="1:8" ht="48" thickTop="1" thickBot="1" x14ac:dyDescent="0.3">
      <c r="A1" s="302" t="s">
        <v>316</v>
      </c>
      <c r="B1" s="295" t="s">
        <v>318</v>
      </c>
      <c r="C1" s="295" t="s">
        <v>317</v>
      </c>
      <c r="D1" s="307" t="s">
        <v>319</v>
      </c>
      <c r="E1" s="295" t="s">
        <v>131</v>
      </c>
      <c r="F1" s="295" t="s">
        <v>132</v>
      </c>
      <c r="G1" s="322" t="s">
        <v>181</v>
      </c>
      <c r="H1" s="327" t="s">
        <v>320</v>
      </c>
    </row>
    <row r="2" spans="1:8" s="296" customFormat="1" ht="41.25" customHeight="1" thickTop="1" x14ac:dyDescent="0.45">
      <c r="A2" s="303" t="s">
        <v>27</v>
      </c>
      <c r="B2" s="308">
        <f>'DATA BASE'!H8</f>
        <v>75</v>
      </c>
      <c r="C2" s="299">
        <f>'DATA BASE'!I8</f>
        <v>66</v>
      </c>
      <c r="D2" s="318">
        <f>'DATA BASE'!J8</f>
        <v>25.499999999999996</v>
      </c>
      <c r="E2" s="314">
        <f>'DATA BASE'!K8</f>
        <v>85</v>
      </c>
      <c r="F2" s="315">
        <f>'DATA BASE'!L8</f>
        <v>68.599999999999994</v>
      </c>
      <c r="G2" s="323">
        <f>'DATA BASE'!M8</f>
        <v>26.690000000000005</v>
      </c>
      <c r="H2" s="328">
        <f>G2-D2</f>
        <v>1.1900000000000084</v>
      </c>
    </row>
    <row r="3" spans="1:8" s="297" customFormat="1" ht="41.25" customHeight="1" x14ac:dyDescent="0.45">
      <c r="A3" s="304" t="s">
        <v>28</v>
      </c>
      <c r="B3" s="309">
        <f>'DATA BASE'!H9</f>
        <v>80</v>
      </c>
      <c r="C3" s="300">
        <f>'DATA BASE'!I9</f>
        <v>79.599999999999994</v>
      </c>
      <c r="D3" s="319">
        <f>'DATA BASE'!J9</f>
        <v>16.320000000000007</v>
      </c>
      <c r="E3" s="316">
        <f>'DATA BASE'!K9</f>
        <v>80</v>
      </c>
      <c r="F3" s="317">
        <f>'DATA BASE'!L9</f>
        <v>0.8</v>
      </c>
      <c r="G3" s="324">
        <f>'DATA BASE'!M9</f>
        <v>79.36</v>
      </c>
      <c r="H3" s="328">
        <f t="shared" ref="H3:H68" si="0">G3-D3</f>
        <v>63.039999999999992</v>
      </c>
    </row>
    <row r="4" spans="1:8" s="297" customFormat="1" ht="41.25" customHeight="1" x14ac:dyDescent="0.45">
      <c r="A4" s="304" t="str">
        <f>'DATA BASE'!$A$10</f>
        <v>113M-03</v>
      </c>
      <c r="B4" s="309">
        <f>'DATA BASE'!H10</f>
        <v>0</v>
      </c>
      <c r="C4" s="300">
        <f>'DATA BASE'!I10</f>
        <v>0</v>
      </c>
      <c r="D4" s="319">
        <f>'DATA BASE'!J10</f>
        <v>0</v>
      </c>
      <c r="E4" s="316">
        <f>'DATA BASE'!K10</f>
        <v>50</v>
      </c>
      <c r="F4" s="317">
        <f>'DATA BASE'!L10</f>
        <v>57.3</v>
      </c>
      <c r="G4" s="324">
        <f>'DATA BASE'!M10</f>
        <v>21.35</v>
      </c>
      <c r="H4" s="328">
        <f t="shared" si="0"/>
        <v>21.35</v>
      </c>
    </row>
    <row r="5" spans="1:8" s="297" customFormat="1" ht="41.25" customHeight="1" x14ac:dyDescent="0.45">
      <c r="A5" s="304" t="s">
        <v>29</v>
      </c>
      <c r="B5" s="309">
        <f>'DATA BASE'!H11</f>
        <v>90</v>
      </c>
      <c r="C5" s="300">
        <f>'DATA BASE'!I11</f>
        <v>93.6</v>
      </c>
      <c r="D5" s="319">
        <f>'DATA BASE'!J11</f>
        <v>5.7600000000000051</v>
      </c>
      <c r="E5" s="316">
        <f>'DATA BASE'!K11</f>
        <v>80</v>
      </c>
      <c r="F5" s="317">
        <f>'DATA BASE'!L11</f>
        <v>97.7</v>
      </c>
      <c r="G5" s="324">
        <f>'DATA BASE'!M11</f>
        <v>1.8400000000000016</v>
      </c>
      <c r="H5" s="328">
        <f t="shared" si="0"/>
        <v>-3.9200000000000035</v>
      </c>
    </row>
    <row r="6" spans="1:8" s="297" customFormat="1" ht="41.25" customHeight="1" x14ac:dyDescent="0.45">
      <c r="A6" s="304" t="s">
        <v>30</v>
      </c>
      <c r="B6" s="309">
        <f>'DATA BASE'!H12</f>
        <v>150</v>
      </c>
      <c r="C6" s="300">
        <f>'DATA BASE'!I12</f>
        <v>73.2</v>
      </c>
      <c r="D6" s="319">
        <f>'DATA BASE'!J12</f>
        <v>40.200000000000003</v>
      </c>
      <c r="E6" s="316">
        <f>'DATA BASE'!K12</f>
        <v>130</v>
      </c>
      <c r="F6" s="317">
        <f>'DATA BASE'!L12</f>
        <v>87.2</v>
      </c>
      <c r="G6" s="324">
        <f>'DATA BASE'!M12</f>
        <v>16.64</v>
      </c>
      <c r="H6" s="328">
        <f t="shared" si="0"/>
        <v>-23.560000000000002</v>
      </c>
    </row>
    <row r="7" spans="1:8" s="297" customFormat="1" ht="41.25" customHeight="1" x14ac:dyDescent="0.45">
      <c r="A7" s="304" t="s">
        <v>31</v>
      </c>
      <c r="B7" s="309">
        <f>'DATA BASE'!H13</f>
        <v>400</v>
      </c>
      <c r="C7" s="300">
        <f>'DATA BASE'!I13</f>
        <v>84.2</v>
      </c>
      <c r="D7" s="319">
        <f>'DATA BASE'!J13</f>
        <v>63.199999999999967</v>
      </c>
      <c r="E7" s="316">
        <f>'DATA BASE'!K13</f>
        <v>400</v>
      </c>
      <c r="F7" s="317">
        <f>'DATA BASE'!L13</f>
        <v>85.6</v>
      </c>
      <c r="G7" s="324">
        <f>'DATA BASE'!M13</f>
        <v>57.600000000000009</v>
      </c>
      <c r="H7" s="328">
        <f t="shared" si="0"/>
        <v>-5.5999999999999588</v>
      </c>
    </row>
    <row r="8" spans="1:8" s="297" customFormat="1" ht="41.25" customHeight="1" x14ac:dyDescent="0.45">
      <c r="A8" s="305" t="s">
        <v>32</v>
      </c>
      <c r="B8" s="309">
        <f>'DATA BASE'!H14</f>
        <v>80</v>
      </c>
      <c r="C8" s="300">
        <f>'DATA BASE'!I14</f>
        <v>93.6</v>
      </c>
      <c r="D8" s="319">
        <f>'DATA BASE'!J14</f>
        <v>5.1200000000000045</v>
      </c>
      <c r="E8" s="316">
        <f>'DATA BASE'!K14</f>
        <v>0</v>
      </c>
      <c r="F8" s="317">
        <f>'DATA BASE'!L14</f>
        <v>88</v>
      </c>
      <c r="G8" s="324">
        <f>'DATA BASE'!M14</f>
        <v>0</v>
      </c>
      <c r="H8" s="328">
        <f t="shared" si="0"/>
        <v>-5.1200000000000045</v>
      </c>
    </row>
    <row r="9" spans="1:8" s="297" customFormat="1" ht="41.25" customHeight="1" x14ac:dyDescent="0.45">
      <c r="A9" s="304" t="s">
        <v>33</v>
      </c>
      <c r="B9" s="309">
        <f>'DATA BASE'!H15</f>
        <v>120</v>
      </c>
      <c r="C9" s="300">
        <f>'DATA BASE'!I15</f>
        <v>70</v>
      </c>
      <c r="D9" s="319">
        <f>'DATA BASE'!J15</f>
        <v>36.000000000000007</v>
      </c>
      <c r="E9" s="316">
        <f>'DATA BASE'!K15</f>
        <v>95</v>
      </c>
      <c r="F9" s="317">
        <f>'DATA BASE'!L15</f>
        <v>54.1</v>
      </c>
      <c r="G9" s="324">
        <f>'DATA BASE'!M15</f>
        <v>43.604999999999997</v>
      </c>
      <c r="H9" s="328">
        <f t="shared" si="0"/>
        <v>7.6049999999999898</v>
      </c>
    </row>
    <row r="10" spans="1:8" s="297" customFormat="1" ht="41.25" customHeight="1" x14ac:dyDescent="0.45">
      <c r="A10" s="304" t="s">
        <v>34</v>
      </c>
      <c r="B10" s="309">
        <f>'DATA BASE'!H16</f>
        <v>0</v>
      </c>
      <c r="C10" s="300">
        <f>'DATA BASE'!I16</f>
        <v>87</v>
      </c>
      <c r="D10" s="319">
        <f>'DATA BASE'!J16</f>
        <v>0</v>
      </c>
      <c r="E10" s="316">
        <f>'DATA BASE'!K16</f>
        <v>0</v>
      </c>
      <c r="F10" s="317">
        <f>'DATA BASE'!L16</f>
        <v>68.900000000000006</v>
      </c>
      <c r="G10" s="324">
        <f>'DATA BASE'!M16</f>
        <v>0</v>
      </c>
      <c r="H10" s="328">
        <f t="shared" si="0"/>
        <v>0</v>
      </c>
    </row>
    <row r="11" spans="1:8" s="297" customFormat="1" ht="41.25" customHeight="1" x14ac:dyDescent="0.45">
      <c r="A11" s="304" t="s">
        <v>35</v>
      </c>
      <c r="B11" s="309">
        <f>'DATA BASE'!H17</f>
        <v>0</v>
      </c>
      <c r="C11" s="300">
        <f>'DATA BASE'!I17</f>
        <v>80</v>
      </c>
      <c r="D11" s="319">
        <f>'DATA BASE'!J17</f>
        <v>0</v>
      </c>
      <c r="E11" s="316">
        <f>'DATA BASE'!K17</f>
        <v>200</v>
      </c>
      <c r="F11" s="317">
        <f>'DATA BASE'!L17</f>
        <v>97.2</v>
      </c>
      <c r="G11" s="324">
        <f>'DATA BASE'!M17</f>
        <v>5.600000000000005</v>
      </c>
      <c r="H11" s="328">
        <f t="shared" si="0"/>
        <v>5.600000000000005</v>
      </c>
    </row>
    <row r="12" spans="1:8" s="297" customFormat="1" ht="41.25" customHeight="1" x14ac:dyDescent="0.45">
      <c r="A12" s="304" t="s">
        <v>36</v>
      </c>
      <c r="B12" s="309">
        <f>'DATA BASE'!H18</f>
        <v>0</v>
      </c>
      <c r="C12" s="300">
        <f>'DATA BASE'!I18</f>
        <v>0</v>
      </c>
      <c r="D12" s="319">
        <f>'DATA BASE'!J18</f>
        <v>0</v>
      </c>
      <c r="E12" s="316">
        <f>'DATA BASE'!K18</f>
        <v>0</v>
      </c>
      <c r="F12" s="317">
        <f>'DATA BASE'!L18</f>
        <v>0</v>
      </c>
      <c r="G12" s="324">
        <f>'DATA BASE'!M18</f>
        <v>0</v>
      </c>
      <c r="H12" s="328">
        <f t="shared" si="0"/>
        <v>0</v>
      </c>
    </row>
    <row r="13" spans="1:8" s="297" customFormat="1" ht="41.25" customHeight="1" x14ac:dyDescent="0.45">
      <c r="A13" s="304" t="s">
        <v>37</v>
      </c>
      <c r="B13" s="309">
        <f>'DATA BASE'!H19</f>
        <v>0</v>
      </c>
      <c r="C13" s="300">
        <f>'DATA BASE'!I19</f>
        <v>90</v>
      </c>
      <c r="D13" s="319">
        <f>'DATA BASE'!J19</f>
        <v>0</v>
      </c>
      <c r="E13" s="316">
        <f>'DATA BASE'!K19</f>
        <v>0</v>
      </c>
      <c r="F13" s="317">
        <f>'DATA BASE'!L19</f>
        <v>0</v>
      </c>
      <c r="G13" s="324">
        <f>'DATA BASE'!M19</f>
        <v>0</v>
      </c>
      <c r="H13" s="328">
        <f t="shared" si="0"/>
        <v>0</v>
      </c>
    </row>
    <row r="14" spans="1:8" s="297" customFormat="1" ht="41.25" customHeight="1" x14ac:dyDescent="0.45">
      <c r="A14" s="304" t="s">
        <v>38</v>
      </c>
      <c r="B14" s="309">
        <f>'DATA BASE'!H20</f>
        <v>50</v>
      </c>
      <c r="C14" s="300">
        <f>'DATA BASE'!I20</f>
        <v>60</v>
      </c>
      <c r="D14" s="319">
        <f>'DATA BASE'!J20</f>
        <v>20</v>
      </c>
      <c r="E14" s="316">
        <f>'DATA BASE'!K20</f>
        <v>60</v>
      </c>
      <c r="F14" s="317">
        <f>'DATA BASE'!L20</f>
        <v>95</v>
      </c>
      <c r="G14" s="324">
        <f>'DATA BASE'!M20</f>
        <v>3.0000000000000027</v>
      </c>
      <c r="H14" s="328">
        <f t="shared" si="0"/>
        <v>-16.999999999999996</v>
      </c>
    </row>
    <row r="15" spans="1:8" s="297" customFormat="1" ht="41.25" customHeight="1" x14ac:dyDescent="0.45">
      <c r="A15" s="304" t="s">
        <v>39</v>
      </c>
      <c r="B15" s="309">
        <f>'DATA BASE'!H21</f>
        <v>200</v>
      </c>
      <c r="C15" s="300">
        <f>'DATA BASE'!I21</f>
        <v>95</v>
      </c>
      <c r="D15" s="319">
        <f>'DATA BASE'!J21</f>
        <v>10.000000000000009</v>
      </c>
      <c r="E15" s="316">
        <f>'DATA BASE'!K21</f>
        <v>185</v>
      </c>
      <c r="F15" s="317">
        <f>'DATA BASE'!L21</f>
        <v>93.3</v>
      </c>
      <c r="G15" s="324">
        <f>'DATA BASE'!M21</f>
        <v>12.39500000000001</v>
      </c>
      <c r="H15" s="328">
        <f t="shared" si="0"/>
        <v>2.3950000000000014</v>
      </c>
    </row>
    <row r="16" spans="1:8" s="297" customFormat="1" ht="41.25" customHeight="1" x14ac:dyDescent="0.45">
      <c r="A16" s="304" t="s">
        <v>40</v>
      </c>
      <c r="B16" s="309">
        <f>'DATA BASE'!H22</f>
        <v>80</v>
      </c>
      <c r="C16" s="300">
        <f>'DATA BASE'!I22</f>
        <v>41</v>
      </c>
      <c r="D16" s="319">
        <f>'DATA BASE'!J22</f>
        <v>47.2</v>
      </c>
      <c r="E16" s="316">
        <f>'DATA BASE'!K22</f>
        <v>80</v>
      </c>
      <c r="F16" s="317">
        <f>'DATA BASE'!L22</f>
        <v>36.799999999999997</v>
      </c>
      <c r="G16" s="324">
        <f>'DATA BASE'!M22</f>
        <v>50.56</v>
      </c>
      <c r="H16" s="328">
        <f t="shared" si="0"/>
        <v>3.3599999999999994</v>
      </c>
    </row>
    <row r="17" spans="1:8" s="297" customFormat="1" ht="41.25" customHeight="1" x14ac:dyDescent="0.45">
      <c r="A17" s="304" t="s">
        <v>41</v>
      </c>
      <c r="B17" s="309">
        <f>'DATA BASE'!H23</f>
        <v>90</v>
      </c>
      <c r="C17" s="300">
        <f>'DATA BASE'!I23</f>
        <v>83.5</v>
      </c>
      <c r="D17" s="319">
        <f>'DATA BASE'!J23</f>
        <v>14.850000000000003</v>
      </c>
      <c r="E17" s="316">
        <f>'DATA BASE'!K23</f>
        <v>90</v>
      </c>
      <c r="F17" s="317">
        <f>'DATA BASE'!L23</f>
        <v>84.2</v>
      </c>
      <c r="G17" s="324">
        <f>'DATA BASE'!M23</f>
        <v>14.219999999999992</v>
      </c>
      <c r="H17" s="328">
        <f t="shared" si="0"/>
        <v>-0.63000000000001144</v>
      </c>
    </row>
    <row r="18" spans="1:8" s="297" customFormat="1" ht="41.25" customHeight="1" x14ac:dyDescent="0.45">
      <c r="A18" s="304" t="s">
        <v>42</v>
      </c>
      <c r="B18" s="309">
        <f>'DATA BASE'!H24</f>
        <v>30</v>
      </c>
      <c r="C18" s="300">
        <f>'DATA BASE'!I24</f>
        <v>3.6</v>
      </c>
      <c r="D18" s="319">
        <f>'DATA BASE'!J24</f>
        <v>28.919999999999998</v>
      </c>
      <c r="E18" s="316">
        <f>'DATA BASE'!K24</f>
        <v>30</v>
      </c>
      <c r="F18" s="317">
        <f>'DATA BASE'!L24</f>
        <v>4</v>
      </c>
      <c r="G18" s="324">
        <f>'DATA BASE'!M24</f>
        <v>28.799999999999997</v>
      </c>
      <c r="H18" s="328">
        <f t="shared" si="0"/>
        <v>-0.12000000000000099</v>
      </c>
    </row>
    <row r="19" spans="1:8" s="297" customFormat="1" ht="41.25" customHeight="1" x14ac:dyDescent="0.45">
      <c r="A19" s="304" t="s">
        <v>43</v>
      </c>
      <c r="B19" s="309">
        <f>'DATA BASE'!H25</f>
        <v>45</v>
      </c>
      <c r="C19" s="300">
        <f>'DATA BASE'!I25</f>
        <v>67.400000000000006</v>
      </c>
      <c r="D19" s="319">
        <f>'DATA BASE'!J25</f>
        <v>14.669999999999998</v>
      </c>
      <c r="E19" s="316">
        <f>'DATA BASE'!K25</f>
        <v>50</v>
      </c>
      <c r="F19" s="317">
        <f>'DATA BASE'!L25</f>
        <v>20.3</v>
      </c>
      <c r="G19" s="324">
        <f>'DATA BASE'!M25</f>
        <v>39.849999999999994</v>
      </c>
      <c r="H19" s="328">
        <f t="shared" si="0"/>
        <v>25.179999999999996</v>
      </c>
    </row>
    <row r="20" spans="1:8" s="297" customFormat="1" ht="41.25" customHeight="1" x14ac:dyDescent="0.45">
      <c r="A20" s="304" t="s">
        <v>44</v>
      </c>
      <c r="B20" s="309">
        <f>'DATA BASE'!H26</f>
        <v>180</v>
      </c>
      <c r="C20" s="300">
        <f>'DATA BASE'!I26</f>
        <v>66</v>
      </c>
      <c r="D20" s="319">
        <f>'DATA BASE'!J26</f>
        <v>61.199999999999996</v>
      </c>
      <c r="E20" s="316">
        <f>'DATA BASE'!K26</f>
        <v>180</v>
      </c>
      <c r="F20" s="317">
        <f>'DATA BASE'!L26</f>
        <v>78.2</v>
      </c>
      <c r="G20" s="324">
        <f>'DATA BASE'!M26</f>
        <v>39.239999999999995</v>
      </c>
      <c r="H20" s="328">
        <f t="shared" si="0"/>
        <v>-21.96</v>
      </c>
    </row>
    <row r="21" spans="1:8" s="297" customFormat="1" ht="41.25" customHeight="1" x14ac:dyDescent="0.45">
      <c r="A21" s="304" t="s">
        <v>45</v>
      </c>
      <c r="B21" s="309">
        <f>'DATA BASE'!H27</f>
        <v>130</v>
      </c>
      <c r="C21" s="300">
        <f>'DATA BASE'!I27</f>
        <v>91.3</v>
      </c>
      <c r="D21" s="319">
        <f>'DATA BASE'!J27</f>
        <v>11.310000000000009</v>
      </c>
      <c r="E21" s="316">
        <f>'DATA BASE'!K27</f>
        <v>130</v>
      </c>
      <c r="F21" s="317">
        <f>'DATA BASE'!L27</f>
        <v>91.3</v>
      </c>
      <c r="G21" s="324">
        <f>'DATA BASE'!M27</f>
        <v>11.310000000000009</v>
      </c>
      <c r="H21" s="328">
        <f t="shared" si="0"/>
        <v>0</v>
      </c>
    </row>
    <row r="22" spans="1:8" s="297" customFormat="1" ht="41.25" customHeight="1" x14ac:dyDescent="0.45">
      <c r="A22" s="304" t="s">
        <v>46</v>
      </c>
      <c r="B22" s="309">
        <f>'DATA BASE'!H28</f>
        <v>170</v>
      </c>
      <c r="C22" s="300">
        <f>'DATA BASE'!I28</f>
        <v>90.8</v>
      </c>
      <c r="D22" s="319">
        <f>'DATA BASE'!J28</f>
        <v>15.640000000000015</v>
      </c>
      <c r="E22" s="316">
        <f>'DATA BASE'!K28</f>
        <v>170</v>
      </c>
      <c r="F22" s="317">
        <f>'DATA BASE'!L28</f>
        <v>82.9</v>
      </c>
      <c r="G22" s="324">
        <f>'DATA BASE'!M28</f>
        <v>29.06999999999999</v>
      </c>
      <c r="H22" s="328">
        <f t="shared" si="0"/>
        <v>13.429999999999975</v>
      </c>
    </row>
    <row r="23" spans="1:8" s="297" customFormat="1" ht="41.25" customHeight="1" x14ac:dyDescent="0.45">
      <c r="A23" s="304" t="s">
        <v>47</v>
      </c>
      <c r="B23" s="309">
        <f>'DATA BASE'!H29</f>
        <v>0</v>
      </c>
      <c r="C23" s="300">
        <f>'DATA BASE'!I29</f>
        <v>95</v>
      </c>
      <c r="D23" s="319">
        <f>'DATA BASE'!J29</f>
        <v>0</v>
      </c>
      <c r="E23" s="316">
        <f>'DATA BASE'!K29</f>
        <v>0</v>
      </c>
      <c r="F23" s="317">
        <f>'DATA BASE'!L29</f>
        <v>92</v>
      </c>
      <c r="G23" s="324">
        <f>'DATA BASE'!M29</f>
        <v>0</v>
      </c>
      <c r="H23" s="328">
        <f t="shared" si="0"/>
        <v>0</v>
      </c>
    </row>
    <row r="24" spans="1:8" s="297" customFormat="1" ht="41.25" customHeight="1" x14ac:dyDescent="0.45">
      <c r="A24" s="304" t="s">
        <v>48</v>
      </c>
      <c r="B24" s="309">
        <f>'DATA BASE'!H30</f>
        <v>150</v>
      </c>
      <c r="C24" s="300">
        <f>'DATA BASE'!I30</f>
        <v>90</v>
      </c>
      <c r="D24" s="319">
        <f>'DATA BASE'!J30</f>
        <v>14.999999999999996</v>
      </c>
      <c r="E24" s="316">
        <f>'DATA BASE'!K30</f>
        <v>140</v>
      </c>
      <c r="F24" s="317">
        <f>'DATA BASE'!L30</f>
        <v>98</v>
      </c>
      <c r="G24" s="324">
        <f>'DATA BASE'!M30</f>
        <v>2.8000000000000025</v>
      </c>
      <c r="H24" s="328">
        <f t="shared" si="0"/>
        <v>-12.199999999999994</v>
      </c>
    </row>
    <row r="25" spans="1:8" s="297" customFormat="1" ht="41.25" customHeight="1" x14ac:dyDescent="0.45">
      <c r="A25" s="304" t="s">
        <v>49</v>
      </c>
      <c r="B25" s="309">
        <f>'DATA BASE'!H31</f>
        <v>0</v>
      </c>
      <c r="C25" s="300">
        <f>'DATA BASE'!I31</f>
        <v>97</v>
      </c>
      <c r="D25" s="319">
        <f>'DATA BASE'!J31</f>
        <v>0</v>
      </c>
      <c r="E25" s="316">
        <f>'DATA BASE'!K31</f>
        <v>0</v>
      </c>
      <c r="F25" s="317">
        <f>'DATA BASE'!L31</f>
        <v>92.7</v>
      </c>
      <c r="G25" s="324">
        <f>'DATA BASE'!M31</f>
        <v>0</v>
      </c>
      <c r="H25" s="328">
        <f t="shared" si="0"/>
        <v>0</v>
      </c>
    </row>
    <row r="26" spans="1:8" s="297" customFormat="1" ht="41.25" customHeight="1" x14ac:dyDescent="0.45">
      <c r="A26" s="304" t="s">
        <v>50</v>
      </c>
      <c r="B26" s="309">
        <f>'DATA BASE'!H32</f>
        <v>0</v>
      </c>
      <c r="C26" s="300">
        <f>'DATA BASE'!I32</f>
        <v>98</v>
      </c>
      <c r="D26" s="319">
        <f>'DATA BASE'!J32</f>
        <v>0</v>
      </c>
      <c r="E26" s="316">
        <f>'DATA BASE'!K32</f>
        <v>0</v>
      </c>
      <c r="F26" s="317">
        <f>'DATA BASE'!L32</f>
        <v>96</v>
      </c>
      <c r="G26" s="324">
        <f>'DATA BASE'!M32</f>
        <v>0</v>
      </c>
      <c r="H26" s="328">
        <f t="shared" si="0"/>
        <v>0</v>
      </c>
    </row>
    <row r="27" spans="1:8" s="297" customFormat="1" ht="41.25" customHeight="1" x14ac:dyDescent="0.45">
      <c r="A27" s="304" t="s">
        <v>52</v>
      </c>
      <c r="B27" s="309">
        <f>'DATA BASE'!H33</f>
        <v>100</v>
      </c>
      <c r="C27" s="300">
        <f>'DATA BASE'!I33</f>
        <v>80</v>
      </c>
      <c r="D27" s="319">
        <f>'DATA BASE'!J33</f>
        <v>19.999999999999996</v>
      </c>
      <c r="E27" s="316">
        <f>'DATA BASE'!K33</f>
        <v>75</v>
      </c>
      <c r="F27" s="317">
        <f>'DATA BASE'!L33</f>
        <v>66.900000000000006</v>
      </c>
      <c r="G27" s="324">
        <f>'DATA BASE'!M33</f>
        <v>24.824999999999996</v>
      </c>
      <c r="H27" s="328">
        <f t="shared" si="0"/>
        <v>4.8249999999999993</v>
      </c>
    </row>
    <row r="28" spans="1:8" s="297" customFormat="1" ht="41.25" customHeight="1" x14ac:dyDescent="0.45">
      <c r="A28" s="304" t="s">
        <v>51</v>
      </c>
      <c r="B28" s="309">
        <f>'DATA BASE'!H34</f>
        <v>0</v>
      </c>
      <c r="C28" s="300">
        <f>'DATA BASE'!I34</f>
        <v>87</v>
      </c>
      <c r="D28" s="319">
        <f>'DATA BASE'!J34</f>
        <v>0</v>
      </c>
      <c r="E28" s="316">
        <f>'DATA BASE'!K34</f>
        <v>0</v>
      </c>
      <c r="F28" s="317">
        <f>'DATA BASE'!L34</f>
        <v>91.4</v>
      </c>
      <c r="G28" s="324">
        <f>'DATA BASE'!M34</f>
        <v>0</v>
      </c>
      <c r="H28" s="328">
        <f t="shared" si="0"/>
        <v>0</v>
      </c>
    </row>
    <row r="29" spans="1:8" s="297" customFormat="1" ht="41.25" customHeight="1" x14ac:dyDescent="0.45">
      <c r="A29" s="304" t="s">
        <v>53</v>
      </c>
      <c r="B29" s="309">
        <f>'DATA BASE'!H35</f>
        <v>0</v>
      </c>
      <c r="C29" s="300">
        <f>'DATA BASE'!I35</f>
        <v>0</v>
      </c>
      <c r="D29" s="319">
        <f>'DATA BASE'!J35</f>
        <v>0</v>
      </c>
      <c r="E29" s="316">
        <f>'DATA BASE'!K35</f>
        <v>35</v>
      </c>
      <c r="F29" s="317">
        <f>'DATA BASE'!L35</f>
        <v>67.8</v>
      </c>
      <c r="G29" s="324">
        <f>'DATA BASE'!M35</f>
        <v>11.270000000000003</v>
      </c>
      <c r="H29" s="328">
        <f t="shared" si="0"/>
        <v>11.270000000000003</v>
      </c>
    </row>
    <row r="30" spans="1:8" s="297" customFormat="1" ht="41.25" customHeight="1" thickBot="1" x14ac:dyDescent="0.5">
      <c r="A30" s="306" t="s">
        <v>54</v>
      </c>
      <c r="B30" s="309">
        <f>'DATA BASE'!H36</f>
        <v>150</v>
      </c>
      <c r="C30" s="300">
        <f>'DATA BASE'!I36</f>
        <v>80</v>
      </c>
      <c r="D30" s="319">
        <f>'DATA BASE'!J36</f>
        <v>29.999999999999993</v>
      </c>
      <c r="E30" s="316">
        <f>'DATA BASE'!K36</f>
        <v>180</v>
      </c>
      <c r="F30" s="317">
        <f>'DATA BASE'!L36</f>
        <v>69.599999999999994</v>
      </c>
      <c r="G30" s="324">
        <f>'DATA BASE'!M36</f>
        <v>54.720000000000006</v>
      </c>
      <c r="H30" s="328">
        <f t="shared" si="0"/>
        <v>24.720000000000013</v>
      </c>
    </row>
    <row r="31" spans="1:8" s="2" customFormat="1" ht="41.25" customHeight="1" thickTop="1" thickBot="1" x14ac:dyDescent="0.5">
      <c r="A31" s="338"/>
      <c r="B31" s="348">
        <f>SUM(B2:B30)</f>
        <v>2370</v>
      </c>
      <c r="C31" s="349"/>
      <c r="D31" s="348">
        <f>SUM(D2:D30)</f>
        <v>480.8900000000001</v>
      </c>
      <c r="E31" s="348">
        <f>SUM(E2:E30)</f>
        <v>2525</v>
      </c>
      <c r="F31" s="349"/>
      <c r="G31" s="346">
        <f>SUM(G2:G30)</f>
        <v>574.745</v>
      </c>
      <c r="H31" s="347"/>
    </row>
    <row r="32" spans="1:8" ht="48" thickTop="1" thickBot="1" x14ac:dyDescent="0.3">
      <c r="A32" s="334" t="s">
        <v>316</v>
      </c>
      <c r="B32" s="335" t="s">
        <v>318</v>
      </c>
      <c r="C32" s="335" t="s">
        <v>317</v>
      </c>
      <c r="D32" s="336" t="s">
        <v>319</v>
      </c>
      <c r="E32" s="335" t="s">
        <v>131</v>
      </c>
      <c r="F32" s="335" t="s">
        <v>132</v>
      </c>
      <c r="G32" s="337" t="s">
        <v>181</v>
      </c>
      <c r="H32" s="337" t="s">
        <v>320</v>
      </c>
    </row>
    <row r="33" spans="1:8" s="297" customFormat="1" ht="41.25" customHeight="1" thickTop="1" x14ac:dyDescent="0.45">
      <c r="A33" s="333" t="s">
        <v>55</v>
      </c>
      <c r="B33" s="308">
        <f>'DATA BASE'!H37</f>
        <v>80</v>
      </c>
      <c r="C33" s="299">
        <f>'DATA BASE'!I37</f>
        <v>93</v>
      </c>
      <c r="D33" s="318">
        <f>'DATA BASE'!J37</f>
        <v>5.5999999999999961</v>
      </c>
      <c r="E33" s="314">
        <f>'DATA BASE'!K37</f>
        <v>80</v>
      </c>
      <c r="F33" s="315">
        <f>'DATA BASE'!L37</f>
        <v>74.3</v>
      </c>
      <c r="G33" s="323">
        <f>'DATA BASE'!M37</f>
        <v>20.560000000000002</v>
      </c>
      <c r="H33" s="328">
        <f t="shared" si="0"/>
        <v>14.960000000000006</v>
      </c>
    </row>
    <row r="34" spans="1:8" s="297" customFormat="1" ht="41.25" customHeight="1" x14ac:dyDescent="0.45">
      <c r="A34" s="304" t="s">
        <v>56</v>
      </c>
      <c r="B34" s="309">
        <f>'DATA BASE'!H38</f>
        <v>170</v>
      </c>
      <c r="C34" s="300">
        <f>'DATA BASE'!I38</f>
        <v>85</v>
      </c>
      <c r="D34" s="319">
        <f>'DATA BASE'!J38</f>
        <v>25.500000000000004</v>
      </c>
      <c r="E34" s="316">
        <f>'DATA BASE'!K38</f>
        <v>170</v>
      </c>
      <c r="F34" s="317">
        <f>'DATA BASE'!L38</f>
        <v>85.4</v>
      </c>
      <c r="G34" s="324">
        <f>'DATA BASE'!M38</f>
        <v>24.819999999999986</v>
      </c>
      <c r="H34" s="328">
        <f t="shared" si="0"/>
        <v>-0.68000000000001748</v>
      </c>
    </row>
    <row r="35" spans="1:8" s="297" customFormat="1" ht="41.25" customHeight="1" x14ac:dyDescent="0.45">
      <c r="A35" s="304" t="s">
        <v>57</v>
      </c>
      <c r="B35" s="309">
        <f>'DATA BASE'!H39</f>
        <v>80</v>
      </c>
      <c r="C35" s="300">
        <f>'DATA BASE'!I39</f>
        <v>46</v>
      </c>
      <c r="D35" s="319">
        <f>'DATA BASE'!J39</f>
        <v>43.2</v>
      </c>
      <c r="E35" s="316">
        <f>'DATA BASE'!K39</f>
        <v>70</v>
      </c>
      <c r="F35" s="317">
        <f>'DATA BASE'!L39</f>
        <v>68.8</v>
      </c>
      <c r="G35" s="324">
        <f>'DATA BASE'!M39</f>
        <v>21.840000000000003</v>
      </c>
      <c r="H35" s="328">
        <f t="shared" si="0"/>
        <v>-21.36</v>
      </c>
    </row>
    <row r="36" spans="1:8" s="297" customFormat="1" ht="41.25" customHeight="1" x14ac:dyDescent="0.45">
      <c r="A36" s="304" t="s">
        <v>58</v>
      </c>
      <c r="B36" s="309">
        <f>'DATA BASE'!H40</f>
        <v>50</v>
      </c>
      <c r="C36" s="300">
        <f>'DATA BASE'!I40</f>
        <v>53.2</v>
      </c>
      <c r="D36" s="319">
        <f>'DATA BASE'!J40</f>
        <v>23.4</v>
      </c>
      <c r="E36" s="316">
        <f>'DATA BASE'!K40</f>
        <v>50</v>
      </c>
      <c r="F36" s="317">
        <f>'DATA BASE'!L40</f>
        <v>82.2</v>
      </c>
      <c r="G36" s="324">
        <f>'DATA BASE'!M40</f>
        <v>8.8999999999999968</v>
      </c>
      <c r="H36" s="328">
        <f t="shared" si="0"/>
        <v>-14.500000000000002</v>
      </c>
    </row>
    <row r="37" spans="1:8" s="297" customFormat="1" ht="41.25" customHeight="1" x14ac:dyDescent="0.45">
      <c r="A37" s="304" t="s">
        <v>59</v>
      </c>
      <c r="B37" s="309">
        <f>'DATA BASE'!H41</f>
        <v>90</v>
      </c>
      <c r="C37" s="300">
        <f>'DATA BASE'!I41</f>
        <v>50.7</v>
      </c>
      <c r="D37" s="319">
        <f>'DATA BASE'!J41</f>
        <v>44.37</v>
      </c>
      <c r="E37" s="316">
        <f>'DATA BASE'!K41</f>
        <v>100</v>
      </c>
      <c r="F37" s="317">
        <f>'DATA BASE'!L41</f>
        <v>65.5</v>
      </c>
      <c r="G37" s="324">
        <f>'DATA BASE'!M41</f>
        <v>34.5</v>
      </c>
      <c r="H37" s="328">
        <f t="shared" si="0"/>
        <v>-9.8699999999999974</v>
      </c>
    </row>
    <row r="38" spans="1:8" s="297" customFormat="1" ht="41.25" customHeight="1" x14ac:dyDescent="0.45">
      <c r="A38" s="304" t="s">
        <v>60</v>
      </c>
      <c r="B38" s="309">
        <f>'DATA BASE'!H42</f>
        <v>140</v>
      </c>
      <c r="C38" s="300">
        <f>'DATA BASE'!I42</f>
        <v>86</v>
      </c>
      <c r="D38" s="319">
        <f>'DATA BASE'!J42</f>
        <v>19.600000000000001</v>
      </c>
      <c r="E38" s="316">
        <f>'DATA BASE'!K42</f>
        <v>115</v>
      </c>
      <c r="F38" s="317">
        <f>'DATA BASE'!L42</f>
        <v>88.9</v>
      </c>
      <c r="G38" s="324">
        <f>'DATA BASE'!M42</f>
        <v>12.764999999999999</v>
      </c>
      <c r="H38" s="328">
        <f t="shared" si="0"/>
        <v>-6.8350000000000026</v>
      </c>
    </row>
    <row r="39" spans="1:8" s="297" customFormat="1" ht="41.25" customHeight="1" x14ac:dyDescent="0.45">
      <c r="A39" s="304" t="s">
        <v>61</v>
      </c>
      <c r="B39" s="309">
        <f>'DATA BASE'!H43</f>
        <v>90</v>
      </c>
      <c r="C39" s="300">
        <f>'DATA BASE'!I43</f>
        <v>51</v>
      </c>
      <c r="D39" s="319">
        <f>'DATA BASE'!J43</f>
        <v>44.1</v>
      </c>
      <c r="E39" s="316">
        <f>'DATA BASE'!K43</f>
        <v>80</v>
      </c>
      <c r="F39" s="317">
        <f>'DATA BASE'!L43</f>
        <v>58.5</v>
      </c>
      <c r="G39" s="324">
        <f>'DATA BASE'!M43</f>
        <v>33.200000000000003</v>
      </c>
      <c r="H39" s="328">
        <f t="shared" si="0"/>
        <v>-10.899999999999999</v>
      </c>
    </row>
    <row r="40" spans="1:8" s="297" customFormat="1" ht="41.25" customHeight="1" x14ac:dyDescent="0.45">
      <c r="A40" s="304" t="s">
        <v>62</v>
      </c>
      <c r="B40" s="309">
        <f>'DATA BASE'!H44</f>
        <v>0</v>
      </c>
      <c r="C40" s="300">
        <f>'DATA BASE'!I44</f>
        <v>94.6</v>
      </c>
      <c r="D40" s="319">
        <f>'DATA BASE'!J44</f>
        <v>0</v>
      </c>
      <c r="E40" s="316">
        <f>'DATA BASE'!K44</f>
        <v>0</v>
      </c>
      <c r="F40" s="317">
        <f>'DATA BASE'!L44</f>
        <v>92.5</v>
      </c>
      <c r="G40" s="324">
        <f>'DATA BASE'!M44</f>
        <v>0</v>
      </c>
      <c r="H40" s="328">
        <f t="shared" si="0"/>
        <v>0</v>
      </c>
    </row>
    <row r="41" spans="1:8" s="297" customFormat="1" ht="41.25" customHeight="1" x14ac:dyDescent="0.45">
      <c r="A41" s="304" t="s">
        <v>63</v>
      </c>
      <c r="B41" s="309">
        <f>'DATA BASE'!H45</f>
        <v>550</v>
      </c>
      <c r="C41" s="300">
        <f>'DATA BASE'!I45</f>
        <v>26.2</v>
      </c>
      <c r="D41" s="319">
        <f>'DATA BASE'!J45</f>
        <v>405.9</v>
      </c>
      <c r="E41" s="316">
        <f>'DATA BASE'!K45</f>
        <v>545</v>
      </c>
      <c r="F41" s="317">
        <f>'DATA BASE'!L45</f>
        <v>96</v>
      </c>
      <c r="G41" s="324">
        <f>'DATA BASE'!M45</f>
        <v>21.800000000000018</v>
      </c>
      <c r="H41" s="328">
        <f t="shared" si="0"/>
        <v>-384.09999999999997</v>
      </c>
    </row>
    <row r="42" spans="1:8" s="297" customFormat="1" ht="41.25" customHeight="1" x14ac:dyDescent="0.45">
      <c r="A42" s="305" t="s">
        <v>64</v>
      </c>
      <c r="B42" s="309">
        <f>'DATA BASE'!H47</f>
        <v>60</v>
      </c>
      <c r="C42" s="300">
        <f>'DATA BASE'!I47</f>
        <v>30</v>
      </c>
      <c r="D42" s="319">
        <f>'DATA BASE'!J47</f>
        <v>42</v>
      </c>
      <c r="E42" s="316">
        <f>'DATA BASE'!K47</f>
        <v>60</v>
      </c>
      <c r="F42" s="317">
        <f>'DATA BASE'!L47</f>
        <v>40.9</v>
      </c>
      <c r="G42" s="324">
        <f>'DATA BASE'!M47</f>
        <v>35.46</v>
      </c>
      <c r="H42" s="328">
        <f t="shared" si="0"/>
        <v>-6.5399999999999991</v>
      </c>
    </row>
    <row r="43" spans="1:8" s="297" customFormat="1" ht="41.25" customHeight="1" x14ac:dyDescent="0.45">
      <c r="A43" s="305" t="s">
        <v>65</v>
      </c>
      <c r="B43" s="309">
        <f>'DATA BASE'!H48</f>
        <v>0</v>
      </c>
      <c r="C43" s="300">
        <f>'DATA BASE'!I48</f>
        <v>0</v>
      </c>
      <c r="D43" s="319">
        <f>'DATA BASE'!J48</f>
        <v>0</v>
      </c>
      <c r="E43" s="316">
        <f>'DATA BASE'!K48</f>
        <v>80</v>
      </c>
      <c r="F43" s="317">
        <f>'DATA BASE'!L48</f>
        <v>77.2</v>
      </c>
      <c r="G43" s="324">
        <f>'DATA BASE'!M48</f>
        <v>18.239999999999998</v>
      </c>
      <c r="H43" s="328">
        <f t="shared" si="0"/>
        <v>18.239999999999998</v>
      </c>
    </row>
    <row r="44" spans="1:8" s="297" customFormat="1" ht="41.25" customHeight="1" x14ac:dyDescent="0.45">
      <c r="A44" s="305" t="s">
        <v>66</v>
      </c>
      <c r="B44" s="309">
        <f>'DATA BASE'!H49</f>
        <v>0</v>
      </c>
      <c r="C44" s="300">
        <f>'DATA BASE'!I49</f>
        <v>71.2</v>
      </c>
      <c r="D44" s="319">
        <f>'DATA BASE'!J49</f>
        <v>0</v>
      </c>
      <c r="E44" s="316">
        <f>'DATA BASE'!K49</f>
        <v>0</v>
      </c>
      <c r="F44" s="317">
        <f>'DATA BASE'!L49</f>
        <v>71.2</v>
      </c>
      <c r="G44" s="324">
        <f>'DATA BASE'!M49</f>
        <v>0</v>
      </c>
      <c r="H44" s="328">
        <f t="shared" si="0"/>
        <v>0</v>
      </c>
    </row>
    <row r="45" spans="1:8" s="297" customFormat="1" ht="41.25" customHeight="1" x14ac:dyDescent="0.45">
      <c r="A45" s="304" t="s">
        <v>67</v>
      </c>
      <c r="B45" s="309">
        <f>'DATA BASE'!H50</f>
        <v>0</v>
      </c>
      <c r="C45" s="300">
        <f>'DATA BASE'!I50</f>
        <v>80</v>
      </c>
      <c r="D45" s="319">
        <f>'DATA BASE'!J50</f>
        <v>0</v>
      </c>
      <c r="E45" s="316">
        <f>'DATA BASE'!K50</f>
        <v>0</v>
      </c>
      <c r="F45" s="317">
        <f>'DATA BASE'!L50</f>
        <v>76.7</v>
      </c>
      <c r="G45" s="324">
        <f>'DATA BASE'!M50</f>
        <v>0</v>
      </c>
      <c r="H45" s="328">
        <f t="shared" si="0"/>
        <v>0</v>
      </c>
    </row>
    <row r="46" spans="1:8" s="297" customFormat="1" ht="41.25" customHeight="1" x14ac:dyDescent="0.45">
      <c r="A46" s="305" t="s">
        <v>68</v>
      </c>
      <c r="B46" s="309">
        <f>'DATA BASE'!H51</f>
        <v>0</v>
      </c>
      <c r="C46" s="300">
        <f>'DATA BASE'!I51</f>
        <v>0</v>
      </c>
      <c r="D46" s="319">
        <f>'DATA BASE'!J51</f>
        <v>0</v>
      </c>
      <c r="E46" s="316">
        <f>'DATA BASE'!K51</f>
        <v>140</v>
      </c>
      <c r="F46" s="317">
        <f>'DATA BASE'!L51</f>
        <v>92</v>
      </c>
      <c r="G46" s="324">
        <f>'DATA BASE'!M51</f>
        <v>11.199999999999994</v>
      </c>
      <c r="H46" s="328">
        <f t="shared" si="0"/>
        <v>11.199999999999994</v>
      </c>
    </row>
    <row r="47" spans="1:8" s="297" customFormat="1" ht="41.25" customHeight="1" x14ac:dyDescent="0.45">
      <c r="A47" s="305" t="s">
        <v>69</v>
      </c>
      <c r="B47" s="309">
        <f>'DATA BASE'!H52</f>
        <v>50</v>
      </c>
      <c r="C47" s="300">
        <f>'DATA BASE'!I52</f>
        <v>50</v>
      </c>
      <c r="D47" s="319">
        <f>'DATA BASE'!J52</f>
        <v>25</v>
      </c>
      <c r="E47" s="316">
        <f>'DATA BASE'!K52</f>
        <v>50</v>
      </c>
      <c r="F47" s="317">
        <f>'DATA BASE'!L52</f>
        <v>50</v>
      </c>
      <c r="G47" s="324">
        <f>'DATA BASE'!M52</f>
        <v>25</v>
      </c>
      <c r="H47" s="328">
        <f t="shared" si="0"/>
        <v>0</v>
      </c>
    </row>
    <row r="48" spans="1:8" s="297" customFormat="1" ht="41.25" customHeight="1" x14ac:dyDescent="0.45">
      <c r="A48" s="305" t="s">
        <v>70</v>
      </c>
      <c r="B48" s="309">
        <f>'DATA BASE'!H53</f>
        <v>250</v>
      </c>
      <c r="C48" s="300">
        <f>'DATA BASE'!I53</f>
        <v>84</v>
      </c>
      <c r="D48" s="319">
        <f>'DATA BASE'!J53</f>
        <v>40.000000000000007</v>
      </c>
      <c r="E48" s="316">
        <f>'DATA BASE'!K53</f>
        <v>210</v>
      </c>
      <c r="F48" s="317">
        <f>'DATA BASE'!L53</f>
        <v>79.599999999999994</v>
      </c>
      <c r="G48" s="324">
        <f>'DATA BASE'!M53</f>
        <v>42.840000000000018</v>
      </c>
      <c r="H48" s="328">
        <f t="shared" si="0"/>
        <v>2.8400000000000105</v>
      </c>
    </row>
    <row r="49" spans="1:9" s="297" customFormat="1" ht="41.25" customHeight="1" x14ac:dyDescent="0.45">
      <c r="A49" s="305" t="s">
        <v>71</v>
      </c>
      <c r="B49" s="309">
        <f>'DATA BASE'!H54</f>
        <v>100</v>
      </c>
      <c r="C49" s="300">
        <f>'DATA BASE'!I54</f>
        <v>58.2</v>
      </c>
      <c r="D49" s="319">
        <f>'DATA BASE'!J54</f>
        <v>41.79999999999999</v>
      </c>
      <c r="E49" s="316">
        <f>'DATA BASE'!K54</f>
        <v>100</v>
      </c>
      <c r="F49" s="317">
        <f>'DATA BASE'!L54</f>
        <v>58.2</v>
      </c>
      <c r="G49" s="324">
        <f>'DATA BASE'!M54</f>
        <v>41.79999999999999</v>
      </c>
      <c r="H49" s="328">
        <f t="shared" si="0"/>
        <v>0</v>
      </c>
    </row>
    <row r="50" spans="1:9" s="297" customFormat="1" ht="41.25" customHeight="1" x14ac:dyDescent="0.45">
      <c r="A50" s="305" t="s">
        <v>72</v>
      </c>
      <c r="B50" s="309">
        <f>'DATA BASE'!H55</f>
        <v>0</v>
      </c>
      <c r="C50" s="300">
        <f>'DATA BASE'!I55</f>
        <v>0</v>
      </c>
      <c r="D50" s="319">
        <f>'DATA BASE'!J55</f>
        <v>0</v>
      </c>
      <c r="E50" s="316">
        <f>'DATA BASE'!K55</f>
        <v>30</v>
      </c>
      <c r="F50" s="317">
        <f>'DATA BASE'!L55</f>
        <v>0.8</v>
      </c>
      <c r="G50" s="324">
        <f>'DATA BASE'!M55</f>
        <v>29.759999999999998</v>
      </c>
      <c r="H50" s="328">
        <f t="shared" si="0"/>
        <v>29.759999999999998</v>
      </c>
    </row>
    <row r="51" spans="1:9" s="297" customFormat="1" ht="41.25" customHeight="1" x14ac:dyDescent="0.45">
      <c r="A51" s="305" t="s">
        <v>74</v>
      </c>
      <c r="B51" s="309">
        <f>'DATA BASE'!H56</f>
        <v>400</v>
      </c>
      <c r="C51" s="300">
        <f>'DATA BASE'!I56</f>
        <v>69.3</v>
      </c>
      <c r="D51" s="319">
        <f>'DATA BASE'!J56</f>
        <v>122.80000000000003</v>
      </c>
      <c r="E51" s="316">
        <f>'DATA BASE'!K56</f>
        <v>400</v>
      </c>
      <c r="F51" s="317">
        <f>'DATA BASE'!L56</f>
        <v>95.6</v>
      </c>
      <c r="G51" s="324">
        <f>'DATA BASE'!M56</f>
        <v>17.600000000000016</v>
      </c>
      <c r="H51" s="328">
        <f t="shared" si="0"/>
        <v>-105.20000000000002</v>
      </c>
    </row>
    <row r="52" spans="1:9" s="297" customFormat="1" ht="41.25" customHeight="1" x14ac:dyDescent="0.45">
      <c r="A52" s="305" t="s">
        <v>76</v>
      </c>
      <c r="B52" s="309">
        <f>'DATA BASE'!H57</f>
        <v>60</v>
      </c>
      <c r="C52" s="300">
        <f>'DATA BASE'!I57</f>
        <v>80</v>
      </c>
      <c r="D52" s="319">
        <f>'DATA BASE'!J57</f>
        <v>11.999999999999996</v>
      </c>
      <c r="E52" s="316">
        <f>'DATA BASE'!K57</f>
        <v>60</v>
      </c>
      <c r="F52" s="317">
        <f>'DATA BASE'!L57</f>
        <v>90.7</v>
      </c>
      <c r="G52" s="324">
        <f>'DATA BASE'!M57</f>
        <v>5.5799999999999983</v>
      </c>
      <c r="H52" s="328">
        <f t="shared" si="0"/>
        <v>-6.4199999999999982</v>
      </c>
    </row>
    <row r="53" spans="1:9" s="297" customFormat="1" ht="41.25" customHeight="1" x14ac:dyDescent="0.45">
      <c r="A53" s="305" t="s">
        <v>78</v>
      </c>
      <c r="B53" s="309">
        <f>'DATA BASE'!H58</f>
        <v>90</v>
      </c>
      <c r="C53" s="300">
        <f>'DATA BASE'!I58</f>
        <v>50</v>
      </c>
      <c r="D53" s="319">
        <f>'DATA BASE'!J58</f>
        <v>45</v>
      </c>
      <c r="E53" s="316">
        <f>'DATA BASE'!K58</f>
        <v>90</v>
      </c>
      <c r="F53" s="317">
        <f>'DATA BASE'!L58</f>
        <v>50.8</v>
      </c>
      <c r="G53" s="324">
        <f>'DATA BASE'!M58</f>
        <v>44.28</v>
      </c>
      <c r="H53" s="345">
        <f t="shared" si="0"/>
        <v>-0.71999999999999886</v>
      </c>
    </row>
    <row r="54" spans="1:9" s="297" customFormat="1" ht="41.25" customHeight="1" x14ac:dyDescent="0.45">
      <c r="A54" s="305" t="s">
        <v>79</v>
      </c>
      <c r="B54" s="309">
        <f>'DATA BASE'!H59</f>
        <v>0</v>
      </c>
      <c r="C54" s="300">
        <f>'DATA BASE'!I59</f>
        <v>94.6</v>
      </c>
      <c r="D54" s="319">
        <f>'DATA BASE'!J59</f>
        <v>0</v>
      </c>
      <c r="E54" s="316">
        <f>'DATA BASE'!K59</f>
        <v>0</v>
      </c>
      <c r="F54" s="317">
        <f>'DATA BASE'!L59</f>
        <v>93.7</v>
      </c>
      <c r="G54" s="324">
        <f>'DATA BASE'!M59</f>
        <v>0</v>
      </c>
      <c r="H54" s="328">
        <f t="shared" si="0"/>
        <v>0</v>
      </c>
    </row>
    <row r="55" spans="1:9" s="297" customFormat="1" ht="41.25" customHeight="1" x14ac:dyDescent="0.45">
      <c r="A55" s="305" t="s">
        <v>80</v>
      </c>
      <c r="B55" s="309">
        <f>'DATA BASE'!H60</f>
        <v>140</v>
      </c>
      <c r="C55" s="300">
        <f>'DATA BASE'!I60</f>
        <v>71.599999999999994</v>
      </c>
      <c r="D55" s="319">
        <f>'DATA BASE'!J60</f>
        <v>39.760000000000005</v>
      </c>
      <c r="E55" s="316">
        <f>'DATA BASE'!K60</f>
        <v>130</v>
      </c>
      <c r="F55" s="317">
        <f>'DATA BASE'!L60</f>
        <v>80.2</v>
      </c>
      <c r="G55" s="324">
        <f>'DATA BASE'!M60</f>
        <v>25.739999999999995</v>
      </c>
      <c r="H55" s="328">
        <f t="shared" si="0"/>
        <v>-14.02000000000001</v>
      </c>
    </row>
    <row r="56" spans="1:9" s="297" customFormat="1" ht="41.25" customHeight="1" x14ac:dyDescent="0.45">
      <c r="A56" s="305" t="s">
        <v>81</v>
      </c>
      <c r="B56" s="309" t="e">
        <f>'DATA BASE'!#REF!</f>
        <v>#REF!</v>
      </c>
      <c r="C56" s="300" t="e">
        <f>'DATA BASE'!#REF!</f>
        <v>#REF!</v>
      </c>
      <c r="D56" s="319" t="e">
        <f>'DATA BASE'!#REF!</f>
        <v>#REF!</v>
      </c>
      <c r="E56" s="309" t="e">
        <f>'DATA BASE'!#REF!</f>
        <v>#REF!</v>
      </c>
      <c r="F56" s="300" t="e">
        <f>'DATA BASE'!#REF!</f>
        <v>#REF!</v>
      </c>
      <c r="G56" s="319" t="e">
        <f>'DATA BASE'!#REF!</f>
        <v>#REF!</v>
      </c>
      <c r="H56" s="328" t="e">
        <f t="shared" si="0"/>
        <v>#REF!</v>
      </c>
    </row>
    <row r="57" spans="1:9" s="297" customFormat="1" ht="41.25" customHeight="1" thickBot="1" x14ac:dyDescent="0.5">
      <c r="A57" s="351" t="s">
        <v>82</v>
      </c>
      <c r="B57" s="313">
        <f>'DATA BASE'!H61</f>
        <v>120</v>
      </c>
      <c r="C57" s="301">
        <f>'DATA BASE'!I61</f>
        <v>90.1</v>
      </c>
      <c r="D57" s="372">
        <f>'DATA BASE'!J61</f>
        <v>11.88000000000001</v>
      </c>
      <c r="E57" s="313">
        <f>'DATA BASE'!K61</f>
        <v>120</v>
      </c>
      <c r="F57" s="301">
        <f>'DATA BASE'!L61</f>
        <v>90.1</v>
      </c>
      <c r="G57" s="372">
        <f>'DATA BASE'!M61</f>
        <v>11.88000000000001</v>
      </c>
      <c r="H57" s="339">
        <f t="shared" si="0"/>
        <v>0</v>
      </c>
    </row>
    <row r="58" spans="1:9" s="297" customFormat="1" ht="41.25" customHeight="1" thickTop="1" thickBot="1" x14ac:dyDescent="0.5">
      <c r="A58" s="350"/>
      <c r="B58" s="348" t="e">
        <f>SUM(B33:B57)</f>
        <v>#REF!</v>
      </c>
      <c r="C58" s="349"/>
      <c r="D58" s="348" t="e">
        <f>SUM(D33:D57)</f>
        <v>#REF!</v>
      </c>
      <c r="E58" s="348" t="e">
        <f>SUM(E33:E57)</f>
        <v>#REF!</v>
      </c>
      <c r="F58" s="349"/>
      <c r="G58" s="346" t="e">
        <f>SUM(G33:G57)</f>
        <v>#REF!</v>
      </c>
      <c r="H58" s="347"/>
      <c r="I58" s="312"/>
    </row>
    <row r="59" spans="1:9" s="297" customFormat="1" ht="69" customHeight="1" thickTop="1" thickBot="1" x14ac:dyDescent="0.3">
      <c r="A59" s="334" t="s">
        <v>316</v>
      </c>
      <c r="B59" s="335" t="s">
        <v>318</v>
      </c>
      <c r="C59" s="335" t="s">
        <v>317</v>
      </c>
      <c r="D59" s="336" t="s">
        <v>319</v>
      </c>
      <c r="E59" s="335" t="s">
        <v>131</v>
      </c>
      <c r="F59" s="335" t="s">
        <v>132</v>
      </c>
      <c r="G59" s="337" t="s">
        <v>181</v>
      </c>
      <c r="H59" s="337" t="s">
        <v>320</v>
      </c>
    </row>
    <row r="60" spans="1:9" s="297" customFormat="1" ht="41.25" customHeight="1" thickTop="1" x14ac:dyDescent="0.45">
      <c r="A60" s="305" t="s">
        <v>83</v>
      </c>
      <c r="B60" s="308">
        <f>'DATA BASE'!H62</f>
        <v>80</v>
      </c>
      <c r="C60" s="299">
        <f>'DATA BASE'!I62</f>
        <v>48.9</v>
      </c>
      <c r="D60" s="318">
        <f>'DATA BASE'!J62</f>
        <v>40.880000000000003</v>
      </c>
      <c r="E60" s="314">
        <f>'DATA BASE'!K62</f>
        <v>70</v>
      </c>
      <c r="F60" s="315">
        <f>'DATA BASE'!L62</f>
        <v>96</v>
      </c>
      <c r="G60" s="323">
        <f>'DATA BASE'!M62</f>
        <v>2.8000000000000025</v>
      </c>
      <c r="H60" s="328">
        <f t="shared" si="0"/>
        <v>-38.08</v>
      </c>
    </row>
    <row r="61" spans="1:9" s="297" customFormat="1" ht="41.25" customHeight="1" x14ac:dyDescent="0.45">
      <c r="A61" s="305" t="s">
        <v>84</v>
      </c>
      <c r="B61" s="309">
        <f>'DATA BASE'!H63</f>
        <v>40</v>
      </c>
      <c r="C61" s="300">
        <f>'DATA BASE'!I63</f>
        <v>46.5</v>
      </c>
      <c r="D61" s="319">
        <f>'DATA BASE'!J63</f>
        <v>21.4</v>
      </c>
      <c r="E61" s="316">
        <f>'DATA BASE'!K63</f>
        <v>50</v>
      </c>
      <c r="F61" s="317">
        <f>'DATA BASE'!L63</f>
        <v>42.4</v>
      </c>
      <c r="G61" s="324">
        <f>'DATA BASE'!M63</f>
        <v>28.800000000000004</v>
      </c>
      <c r="H61" s="328">
        <f t="shared" si="0"/>
        <v>7.4000000000000057</v>
      </c>
    </row>
    <row r="62" spans="1:9" s="297" customFormat="1" ht="41.25" customHeight="1" x14ac:dyDescent="0.45">
      <c r="A62" s="305" t="s">
        <v>85</v>
      </c>
      <c r="B62" s="309">
        <f>'DATA BASE'!H64</f>
        <v>90</v>
      </c>
      <c r="C62" s="300">
        <f>'DATA BASE'!I64</f>
        <v>50</v>
      </c>
      <c r="D62" s="319">
        <f>'DATA BASE'!J64</f>
        <v>45</v>
      </c>
      <c r="E62" s="316">
        <f>'DATA BASE'!K64</f>
        <v>150</v>
      </c>
      <c r="F62" s="317">
        <f>'DATA BASE'!L64</f>
        <v>3.2</v>
      </c>
      <c r="G62" s="324">
        <f>'DATA BASE'!M64</f>
        <v>145.19999999999999</v>
      </c>
      <c r="H62" s="328">
        <f t="shared" si="0"/>
        <v>100.19999999999999</v>
      </c>
    </row>
    <row r="63" spans="1:9" s="297" customFormat="1" ht="41.25" customHeight="1" x14ac:dyDescent="0.45">
      <c r="A63" s="304" t="s">
        <v>180</v>
      </c>
      <c r="B63" s="309">
        <f>'DATA BASE'!H65</f>
        <v>100</v>
      </c>
      <c r="C63" s="300">
        <f>'DATA BASE'!I65</f>
        <v>1.6</v>
      </c>
      <c r="D63" s="319">
        <f>'DATA BASE'!J65</f>
        <v>98.4</v>
      </c>
      <c r="E63" s="316">
        <f>'DATA BASE'!K65</f>
        <v>90</v>
      </c>
      <c r="F63" s="317">
        <f>'DATA BASE'!L65</f>
        <v>7.3</v>
      </c>
      <c r="G63" s="324">
        <f>'DATA BASE'!M65</f>
        <v>83.43</v>
      </c>
      <c r="H63" s="328">
        <f t="shared" si="0"/>
        <v>-14.969999999999999</v>
      </c>
    </row>
    <row r="64" spans="1:9" s="297" customFormat="1" ht="41.25" customHeight="1" x14ac:dyDescent="0.45">
      <c r="A64" s="305" t="s">
        <v>86</v>
      </c>
      <c r="B64" s="309">
        <f>'DATA BASE'!H66</f>
        <v>200</v>
      </c>
      <c r="C64" s="300">
        <f>'DATA BASE'!I66</f>
        <v>27.8</v>
      </c>
      <c r="D64" s="319">
        <f>'DATA BASE'!J66</f>
        <v>144.4</v>
      </c>
      <c r="E64" s="316">
        <f>'DATA BASE'!K66</f>
        <v>200</v>
      </c>
      <c r="F64" s="317">
        <f>'DATA BASE'!L66</f>
        <v>4.8</v>
      </c>
      <c r="G64" s="324">
        <f>'DATA BASE'!M66</f>
        <v>190.39999999999998</v>
      </c>
      <c r="H64" s="328">
        <f t="shared" si="0"/>
        <v>45.999999999999972</v>
      </c>
    </row>
    <row r="65" spans="1:8" s="297" customFormat="1" ht="41.25" customHeight="1" x14ac:dyDescent="0.45">
      <c r="A65" s="305" t="s">
        <v>87</v>
      </c>
      <c r="B65" s="309">
        <f>'DATA BASE'!H67</f>
        <v>100</v>
      </c>
      <c r="C65" s="300">
        <f>'DATA BASE'!I67</f>
        <v>13</v>
      </c>
      <c r="D65" s="319">
        <f>'DATA BASE'!J67</f>
        <v>87</v>
      </c>
      <c r="E65" s="316">
        <f>'DATA BASE'!K67</f>
        <v>115</v>
      </c>
      <c r="F65" s="317">
        <f>'DATA BASE'!L67</f>
        <v>0.8</v>
      </c>
      <c r="G65" s="324">
        <f>'DATA BASE'!M67</f>
        <v>114.08</v>
      </c>
      <c r="H65" s="328">
        <f t="shared" si="0"/>
        <v>27.08</v>
      </c>
    </row>
    <row r="66" spans="1:8" s="297" customFormat="1" ht="41.25" customHeight="1" x14ac:dyDescent="0.45">
      <c r="A66" s="304" t="s">
        <v>88</v>
      </c>
      <c r="B66" s="309">
        <f>'DATA BASE'!H68</f>
        <v>100</v>
      </c>
      <c r="C66" s="300">
        <f>'DATA BASE'!I68</f>
        <v>4</v>
      </c>
      <c r="D66" s="319">
        <f>'DATA BASE'!J68</f>
        <v>96</v>
      </c>
      <c r="E66" s="316">
        <f>'DATA BASE'!K68</f>
        <v>100</v>
      </c>
      <c r="F66" s="317">
        <f>'DATA BASE'!L68</f>
        <v>29.7</v>
      </c>
      <c r="G66" s="324">
        <f>'DATA BASE'!M68</f>
        <v>70.300000000000011</v>
      </c>
      <c r="H66" s="328">
        <f t="shared" si="0"/>
        <v>-25.699999999999989</v>
      </c>
    </row>
    <row r="67" spans="1:8" s="297" customFormat="1" ht="41.25" customHeight="1" x14ac:dyDescent="0.45">
      <c r="A67" s="305" t="s">
        <v>89</v>
      </c>
      <c r="B67" s="309">
        <f>'DATA BASE'!H69</f>
        <v>180</v>
      </c>
      <c r="C67" s="300">
        <f>'DATA BASE'!I69</f>
        <v>7</v>
      </c>
      <c r="D67" s="319">
        <f>'DATA BASE'!J69</f>
        <v>167.39999999999998</v>
      </c>
      <c r="E67" s="316">
        <f>'DATA BASE'!K69</f>
        <v>120</v>
      </c>
      <c r="F67" s="317">
        <f>'DATA BASE'!L69</f>
        <v>22.7</v>
      </c>
      <c r="G67" s="324">
        <f>'DATA BASE'!M69</f>
        <v>92.76</v>
      </c>
      <c r="H67" s="328">
        <f t="shared" si="0"/>
        <v>-74.639999999999972</v>
      </c>
    </row>
    <row r="68" spans="1:8" s="297" customFormat="1" ht="41.25" customHeight="1" x14ac:dyDescent="0.45">
      <c r="A68" s="305" t="s">
        <v>90</v>
      </c>
      <c r="B68" s="309">
        <f>'DATA BASE'!H70</f>
        <v>80</v>
      </c>
      <c r="C68" s="300">
        <f>'DATA BASE'!I70</f>
        <v>8</v>
      </c>
      <c r="D68" s="319">
        <f>'DATA BASE'!J70</f>
        <v>73.600000000000009</v>
      </c>
      <c r="E68" s="316">
        <f>'DATA BASE'!K70</f>
        <v>100</v>
      </c>
      <c r="F68" s="317">
        <f>'DATA BASE'!L70</f>
        <v>1.6</v>
      </c>
      <c r="G68" s="324">
        <f>'DATA BASE'!M70</f>
        <v>98.4</v>
      </c>
      <c r="H68" s="328">
        <f t="shared" si="0"/>
        <v>24.799999999999997</v>
      </c>
    </row>
    <row r="69" spans="1:8" s="297" customFormat="1" ht="41.25" customHeight="1" x14ac:dyDescent="0.45">
      <c r="A69" s="305" t="s">
        <v>91</v>
      </c>
      <c r="B69" s="309">
        <f>'DATA BASE'!H71</f>
        <v>45</v>
      </c>
      <c r="C69" s="300">
        <f>'DATA BASE'!I71</f>
        <v>5</v>
      </c>
      <c r="D69" s="319">
        <f>'DATA BASE'!J71</f>
        <v>42.75</v>
      </c>
      <c r="E69" s="316">
        <f>'DATA BASE'!K71</f>
        <v>50</v>
      </c>
      <c r="F69" s="317">
        <f>'DATA BASE'!L71</f>
        <v>100</v>
      </c>
      <c r="G69" s="324">
        <f>'DATA BASE'!M71</f>
        <v>0</v>
      </c>
      <c r="H69" s="328">
        <f t="shared" ref="H69:H72" si="1">G69-D69</f>
        <v>-42.75</v>
      </c>
    </row>
    <row r="70" spans="1:8" s="297" customFormat="1" ht="41.25" customHeight="1" x14ac:dyDescent="0.45">
      <c r="A70" s="305" t="s">
        <v>386</v>
      </c>
      <c r="B70" s="309">
        <f>'DATA BASE'!H72</f>
        <v>0</v>
      </c>
      <c r="C70" s="300">
        <f>'DATA BASE'!I72</f>
        <v>0</v>
      </c>
      <c r="D70" s="319">
        <f>'DATA BASE'!J72</f>
        <v>0</v>
      </c>
      <c r="E70" s="316">
        <f>'DATA BASE'!K72</f>
        <v>0</v>
      </c>
      <c r="F70" s="317">
        <f>'DATA BASE'!L72</f>
        <v>0</v>
      </c>
      <c r="G70" s="324">
        <f>'DATA BASE'!M72</f>
        <v>0</v>
      </c>
      <c r="H70" s="328">
        <f t="shared" si="1"/>
        <v>0</v>
      </c>
    </row>
    <row r="71" spans="1:8" s="297" customFormat="1" ht="41.25" customHeight="1" x14ac:dyDescent="0.45">
      <c r="A71" s="305" t="s">
        <v>387</v>
      </c>
      <c r="B71" s="309">
        <f>'DATA BASE'!H73</f>
        <v>100</v>
      </c>
      <c r="C71" s="300">
        <f>'DATA BASE'!I73</f>
        <v>18.3</v>
      </c>
      <c r="D71" s="319">
        <f>'DATA BASE'!J73</f>
        <v>81.699999999999989</v>
      </c>
      <c r="E71" s="316">
        <f>'DATA BASE'!K73</f>
        <v>100</v>
      </c>
      <c r="F71" s="317">
        <f>'DATA BASE'!L73</f>
        <v>38.5</v>
      </c>
      <c r="G71" s="324">
        <f>'DATA BASE'!M73</f>
        <v>61.5</v>
      </c>
      <c r="H71" s="328">
        <f t="shared" si="1"/>
        <v>-20.199999999999989</v>
      </c>
    </row>
    <row r="72" spans="1:8" s="297" customFormat="1" ht="41.25" customHeight="1" x14ac:dyDescent="0.45">
      <c r="A72" s="305" t="s">
        <v>388</v>
      </c>
      <c r="B72" s="309">
        <f>'DATA BASE'!H74</f>
        <v>200</v>
      </c>
      <c r="C72" s="300">
        <f>'DATA BASE'!I74</f>
        <v>59.4</v>
      </c>
      <c r="D72" s="319">
        <f>'DATA BASE'!J74</f>
        <v>81.2</v>
      </c>
      <c r="E72" s="316">
        <f>'DATA BASE'!K74</f>
        <v>200</v>
      </c>
      <c r="F72" s="317">
        <f>'DATA BASE'!L74</f>
        <v>57.3</v>
      </c>
      <c r="G72" s="324">
        <f>'DATA BASE'!M74</f>
        <v>85.4</v>
      </c>
      <c r="H72" s="328">
        <f t="shared" si="1"/>
        <v>4.2000000000000028</v>
      </c>
    </row>
    <row r="73" spans="1:8" s="297" customFormat="1" ht="41.25" customHeight="1" x14ac:dyDescent="0.45">
      <c r="A73" s="305"/>
      <c r="B73" s="309"/>
      <c r="C73" s="300"/>
      <c r="D73" s="319"/>
      <c r="E73" s="316"/>
      <c r="F73" s="317"/>
      <c r="G73" s="324"/>
      <c r="H73" s="328"/>
    </row>
    <row r="74" spans="1:8" s="297" customFormat="1" ht="41.25" customHeight="1" x14ac:dyDescent="0.45">
      <c r="A74" s="304" t="s">
        <v>199</v>
      </c>
      <c r="B74" s="309">
        <f>'DATA BASE'!H75</f>
        <v>50</v>
      </c>
      <c r="C74" s="300">
        <f>'DATA BASE'!I75</f>
        <v>75</v>
      </c>
      <c r="D74" s="319">
        <f>'DATA BASE'!J75</f>
        <v>12.5</v>
      </c>
      <c r="E74" s="316">
        <f>'DATA BASE'!K75</f>
        <v>50</v>
      </c>
      <c r="F74" s="317">
        <f>'DATA BASE'!L75</f>
        <v>33.1</v>
      </c>
      <c r="G74" s="324">
        <f>'DATA BASE'!M75</f>
        <v>33.450000000000003</v>
      </c>
      <c r="H74" s="328">
        <f t="shared" ref="H74:H87" si="2">G74-D74</f>
        <v>20.950000000000003</v>
      </c>
    </row>
    <row r="75" spans="1:8" s="297" customFormat="1" ht="41.25" customHeight="1" x14ac:dyDescent="0.45">
      <c r="A75" s="304" t="s">
        <v>200</v>
      </c>
      <c r="B75" s="309">
        <f>'DATA BASE'!H76</f>
        <v>110</v>
      </c>
      <c r="C75" s="300">
        <f>'DATA BASE'!I76</f>
        <v>79</v>
      </c>
      <c r="D75" s="319">
        <f>'DATA BASE'!J76</f>
        <v>23.099999999999994</v>
      </c>
      <c r="E75" s="316">
        <f>'DATA BASE'!K76</f>
        <v>120</v>
      </c>
      <c r="F75" s="317">
        <f>'DATA BASE'!L76</f>
        <v>73.7</v>
      </c>
      <c r="G75" s="324">
        <f>'DATA BASE'!M76</f>
        <v>31.560000000000002</v>
      </c>
      <c r="H75" s="328">
        <f t="shared" si="2"/>
        <v>8.460000000000008</v>
      </c>
    </row>
    <row r="76" spans="1:8" s="297" customFormat="1" ht="41.25" customHeight="1" x14ac:dyDescent="0.45">
      <c r="A76" s="304" t="s">
        <v>245</v>
      </c>
      <c r="B76" s="309">
        <f>'DATA BASE'!H77</f>
        <v>0</v>
      </c>
      <c r="C76" s="300">
        <f>'DATA BASE'!I77</f>
        <v>0</v>
      </c>
      <c r="D76" s="319">
        <f>'DATA BASE'!J77</f>
        <v>0</v>
      </c>
      <c r="E76" s="316">
        <f>'DATA BASE'!K77</f>
        <v>0</v>
      </c>
      <c r="F76" s="317">
        <f>'DATA BASE'!L77</f>
        <v>40.9</v>
      </c>
      <c r="G76" s="324">
        <f>'DATA BASE'!M77</f>
        <v>0</v>
      </c>
      <c r="H76" s="328">
        <f t="shared" si="2"/>
        <v>0</v>
      </c>
    </row>
    <row r="77" spans="1:8" s="297" customFormat="1" ht="41.25" customHeight="1" x14ac:dyDescent="0.45">
      <c r="A77" s="304" t="s">
        <v>246</v>
      </c>
      <c r="B77" s="309">
        <f>'DATA BASE'!H78</f>
        <v>0</v>
      </c>
      <c r="C77" s="300">
        <f>'DATA BASE'!I78</f>
        <v>68.599999999999994</v>
      </c>
      <c r="D77" s="319">
        <f>'DATA BASE'!J78</f>
        <v>0</v>
      </c>
      <c r="E77" s="316">
        <f>'DATA BASE'!K78</f>
        <v>0</v>
      </c>
      <c r="F77" s="317">
        <f>'DATA BASE'!L78</f>
        <v>2.4</v>
      </c>
      <c r="G77" s="324">
        <f>'DATA BASE'!M78</f>
        <v>0</v>
      </c>
      <c r="H77" s="328">
        <f t="shared" si="2"/>
        <v>0</v>
      </c>
    </row>
    <row r="78" spans="1:8" s="297" customFormat="1" ht="41.25" customHeight="1" x14ac:dyDescent="0.45">
      <c r="A78" s="304" t="s">
        <v>201</v>
      </c>
      <c r="B78" s="309">
        <f>'DATA BASE'!H79</f>
        <v>50</v>
      </c>
      <c r="C78" s="300">
        <f>'DATA BASE'!I79</f>
        <v>61.9</v>
      </c>
      <c r="D78" s="319">
        <f>'DATA BASE'!J79</f>
        <v>19.05</v>
      </c>
      <c r="E78" s="316">
        <f>'DATA BASE'!K79</f>
        <v>50</v>
      </c>
      <c r="F78" s="317">
        <f>'DATA BASE'!L79</f>
        <v>78.400000000000006</v>
      </c>
      <c r="G78" s="324">
        <f>'DATA BASE'!M79</f>
        <v>10.799999999999999</v>
      </c>
      <c r="H78" s="328">
        <f t="shared" si="2"/>
        <v>-8.2500000000000018</v>
      </c>
    </row>
    <row r="79" spans="1:8" s="297" customFormat="1" ht="41.25" customHeight="1" x14ac:dyDescent="0.45">
      <c r="A79" s="304" t="s">
        <v>202</v>
      </c>
      <c r="B79" s="309">
        <f>'DATA BASE'!H80</f>
        <v>400</v>
      </c>
      <c r="C79" s="300">
        <f>'DATA BASE'!I80</f>
        <v>100</v>
      </c>
      <c r="D79" s="319">
        <f>'DATA BASE'!J80</f>
        <v>0</v>
      </c>
      <c r="E79" s="316">
        <f>'DATA BASE'!K80</f>
        <v>400</v>
      </c>
      <c r="F79" s="317">
        <f>'DATA BASE'!L80</f>
        <v>97.5</v>
      </c>
      <c r="G79" s="324">
        <f>'DATA BASE'!M80</f>
        <v>10.000000000000009</v>
      </c>
      <c r="H79" s="328">
        <f t="shared" si="2"/>
        <v>10.000000000000009</v>
      </c>
    </row>
    <row r="80" spans="1:8" s="297" customFormat="1" ht="41.25" customHeight="1" x14ac:dyDescent="0.45">
      <c r="A80" s="304" t="s">
        <v>203</v>
      </c>
      <c r="B80" s="309">
        <f>'DATA BASE'!H82</f>
        <v>60</v>
      </c>
      <c r="C80" s="300">
        <f>'DATA BASE'!I82</f>
        <v>45</v>
      </c>
      <c r="D80" s="319">
        <f>'DATA BASE'!J82</f>
        <v>33</v>
      </c>
      <c r="E80" s="316">
        <f>'DATA BASE'!K82</f>
        <v>60</v>
      </c>
      <c r="F80" s="317">
        <f>'DATA BASE'!L82</f>
        <v>67.900000000000006</v>
      </c>
      <c r="G80" s="324">
        <f>'DATA BASE'!M82</f>
        <v>19.259999999999998</v>
      </c>
      <c r="H80" s="328">
        <f t="shared" si="2"/>
        <v>-13.740000000000002</v>
      </c>
    </row>
    <row r="81" spans="1:9" s="297" customFormat="1" ht="41.25" customHeight="1" x14ac:dyDescent="0.45">
      <c r="A81" s="304" t="s">
        <v>247</v>
      </c>
      <c r="B81" s="309">
        <f>'DATA BASE'!H83</f>
        <v>0</v>
      </c>
      <c r="C81" s="300">
        <f>'DATA BASE'!I83</f>
        <v>1.2</v>
      </c>
      <c r="D81" s="319">
        <f>'DATA BASE'!J83</f>
        <v>0</v>
      </c>
      <c r="E81" s="316">
        <f>'DATA BASE'!K83</f>
        <v>0</v>
      </c>
      <c r="F81" s="317">
        <f>'DATA BASE'!L83</f>
        <v>37.6</v>
      </c>
      <c r="G81" s="324">
        <f>'DATA BASE'!M83</f>
        <v>0</v>
      </c>
      <c r="H81" s="328">
        <f t="shared" si="2"/>
        <v>0</v>
      </c>
    </row>
    <row r="82" spans="1:9" s="297" customFormat="1" ht="41.25" customHeight="1" x14ac:dyDescent="0.45">
      <c r="A82" s="304" t="s">
        <v>204</v>
      </c>
      <c r="B82" s="309" t="e">
        <f>'DATA BASE'!#REF!</f>
        <v>#REF!</v>
      </c>
      <c r="C82" s="300" t="e">
        <f>'DATA BASE'!#REF!</f>
        <v>#REF!</v>
      </c>
      <c r="D82" s="319" t="e">
        <f>'DATA BASE'!#REF!</f>
        <v>#REF!</v>
      </c>
      <c r="E82" s="316" t="e">
        <f>'DATA BASE'!#REF!</f>
        <v>#REF!</v>
      </c>
      <c r="F82" s="317" t="e">
        <f>'DATA BASE'!#REF!</f>
        <v>#REF!</v>
      </c>
      <c r="G82" s="324" t="e">
        <f>'DATA BASE'!#REF!</f>
        <v>#REF!</v>
      </c>
      <c r="H82" s="328" t="e">
        <f t="shared" si="2"/>
        <v>#REF!</v>
      </c>
    </row>
    <row r="83" spans="1:9" s="297" customFormat="1" ht="41.25" customHeight="1" x14ac:dyDescent="0.45">
      <c r="A83" s="304" t="s">
        <v>205</v>
      </c>
      <c r="B83" s="309">
        <f>'DATA BASE'!H85</f>
        <v>0</v>
      </c>
      <c r="C83" s="300">
        <f>'DATA BASE'!I85</f>
        <v>0</v>
      </c>
      <c r="D83" s="319">
        <f>'DATA BASE'!J85</f>
        <v>0</v>
      </c>
      <c r="E83" s="316">
        <f>'DATA BASE'!K85</f>
        <v>0</v>
      </c>
      <c r="F83" s="317">
        <f>'DATA BASE'!L85</f>
        <v>94.3</v>
      </c>
      <c r="G83" s="324">
        <f>'DATA BASE'!M85</f>
        <v>0</v>
      </c>
      <c r="H83" s="328">
        <f t="shared" si="2"/>
        <v>0</v>
      </c>
    </row>
    <row r="84" spans="1:9" s="297" customFormat="1" ht="41.25" customHeight="1" x14ac:dyDescent="0.45">
      <c r="A84" s="304" t="s">
        <v>206</v>
      </c>
      <c r="B84" s="309">
        <f>'DATA BASE'!H86</f>
        <v>30</v>
      </c>
      <c r="C84" s="300">
        <f>'DATA BASE'!I86</f>
        <v>64.8</v>
      </c>
      <c r="D84" s="319">
        <f>'DATA BASE'!J86</f>
        <v>10.559999999999999</v>
      </c>
      <c r="E84" s="316">
        <f>'DATA BASE'!K86</f>
        <v>30</v>
      </c>
      <c r="F84" s="317">
        <f>'DATA BASE'!L86</f>
        <v>64.8</v>
      </c>
      <c r="G84" s="324">
        <f>'DATA BASE'!M86</f>
        <v>10.559999999999999</v>
      </c>
      <c r="H84" s="328">
        <f t="shared" si="2"/>
        <v>0</v>
      </c>
    </row>
    <row r="85" spans="1:9" s="297" customFormat="1" ht="41.25" customHeight="1" x14ac:dyDescent="0.45">
      <c r="A85" s="304" t="s">
        <v>207</v>
      </c>
      <c r="B85" s="309">
        <f>'DATA BASE'!H87</f>
        <v>0</v>
      </c>
      <c r="C85" s="300">
        <f>'DATA BASE'!I87</f>
        <v>0</v>
      </c>
      <c r="D85" s="319">
        <f>'DATA BASE'!J87</f>
        <v>0</v>
      </c>
      <c r="E85" s="316">
        <f>'DATA BASE'!K87</f>
        <v>0</v>
      </c>
      <c r="F85" s="317">
        <f>'DATA BASE'!L87</f>
        <v>80</v>
      </c>
      <c r="G85" s="324">
        <f>'DATA BASE'!M87</f>
        <v>0</v>
      </c>
      <c r="H85" s="328">
        <f t="shared" si="2"/>
        <v>0</v>
      </c>
    </row>
    <row r="86" spans="1:9" s="297" customFormat="1" ht="41.25" customHeight="1" x14ac:dyDescent="0.45">
      <c r="A86" s="304" t="s">
        <v>208</v>
      </c>
      <c r="B86" s="309">
        <f>'DATA BASE'!H89</f>
        <v>50</v>
      </c>
      <c r="C86" s="300">
        <f>'DATA BASE'!I89</f>
        <v>74</v>
      </c>
      <c r="D86" s="319">
        <f>'DATA BASE'!J89</f>
        <v>13</v>
      </c>
      <c r="E86" s="316">
        <f>'DATA BASE'!K89</f>
        <v>50</v>
      </c>
      <c r="F86" s="317">
        <f>'DATA BASE'!L89</f>
        <v>73.099999999999994</v>
      </c>
      <c r="G86" s="324">
        <f>'DATA BASE'!M89</f>
        <v>13.450000000000001</v>
      </c>
      <c r="H86" s="328">
        <f t="shared" si="2"/>
        <v>0.45000000000000107</v>
      </c>
    </row>
    <row r="87" spans="1:9" s="297" customFormat="1" ht="41.25" customHeight="1" thickBot="1" x14ac:dyDescent="0.5">
      <c r="A87" s="306" t="s">
        <v>248</v>
      </c>
      <c r="B87" s="311">
        <f>'DATA BASE'!H90</f>
        <v>0</v>
      </c>
      <c r="C87" s="301">
        <f>'DATA BASE'!I90</f>
        <v>90</v>
      </c>
      <c r="D87" s="321">
        <f>'DATA BASE'!J90</f>
        <v>0</v>
      </c>
      <c r="E87" s="341">
        <f>'DATA BASE'!K90</f>
        <v>0</v>
      </c>
      <c r="F87" s="342">
        <f>'DATA BASE'!L90</f>
        <v>92</v>
      </c>
      <c r="G87" s="343">
        <f>'DATA BASE'!M90</f>
        <v>0</v>
      </c>
      <c r="H87" s="339">
        <f t="shared" si="2"/>
        <v>0</v>
      </c>
    </row>
    <row r="88" spans="1:9" s="297" customFormat="1" ht="41.25" customHeight="1" thickTop="1" thickBot="1" x14ac:dyDescent="0.5">
      <c r="A88" s="352"/>
      <c r="B88" s="348" t="e">
        <f>SUM(B60:B87)</f>
        <v>#REF!</v>
      </c>
      <c r="C88" s="349"/>
      <c r="D88" s="348" t="e">
        <f>SUM(D60:D87)</f>
        <v>#REF!</v>
      </c>
      <c r="E88" s="348" t="e">
        <f>SUM(E60:E87)</f>
        <v>#REF!</v>
      </c>
      <c r="F88" s="349"/>
      <c r="G88" s="346" t="e">
        <f>SUM(G60:G87)</f>
        <v>#REF!</v>
      </c>
      <c r="H88" s="353"/>
      <c r="I88" s="312"/>
    </row>
    <row r="89" spans="1:9" s="297" customFormat="1" ht="76.5" customHeight="1" thickTop="1" thickBot="1" x14ac:dyDescent="0.3">
      <c r="A89" s="334" t="s">
        <v>316</v>
      </c>
      <c r="B89" s="335" t="s">
        <v>318</v>
      </c>
      <c r="C89" s="335" t="s">
        <v>317</v>
      </c>
      <c r="D89" s="336" t="s">
        <v>319</v>
      </c>
      <c r="E89" s="335" t="s">
        <v>131</v>
      </c>
      <c r="F89" s="335" t="s">
        <v>132</v>
      </c>
      <c r="G89" s="337" t="s">
        <v>181</v>
      </c>
      <c r="H89" s="337" t="s">
        <v>320</v>
      </c>
    </row>
    <row r="90" spans="1:9" s="297" customFormat="1" ht="41.25" customHeight="1" thickTop="1" x14ac:dyDescent="0.45">
      <c r="A90" s="304" t="s">
        <v>209</v>
      </c>
      <c r="B90" s="310">
        <f>'DATA BASE'!H91</f>
        <v>0</v>
      </c>
      <c r="C90" s="300">
        <f>'DATA BASE'!I91</f>
        <v>0</v>
      </c>
      <c r="D90" s="320">
        <f>'DATA BASE'!J91</f>
        <v>0</v>
      </c>
      <c r="E90" s="316">
        <f>'DATA BASE'!K91</f>
        <v>90</v>
      </c>
      <c r="F90" s="317">
        <f>'DATA BASE'!L91</f>
        <v>82</v>
      </c>
      <c r="G90" s="325">
        <f>'DATA BASE'!M91</f>
        <v>16.200000000000003</v>
      </c>
      <c r="H90" s="328">
        <f t="shared" ref="H90:H116" si="3">G90-D90</f>
        <v>16.200000000000003</v>
      </c>
    </row>
    <row r="91" spans="1:9" s="297" customFormat="1" ht="41.25" customHeight="1" x14ac:dyDescent="0.45">
      <c r="A91" s="304" t="s">
        <v>390</v>
      </c>
      <c r="B91" s="310"/>
      <c r="C91" s="300"/>
      <c r="D91" s="320"/>
      <c r="E91" s="316"/>
      <c r="F91" s="317"/>
      <c r="G91" s="325"/>
      <c r="H91" s="328"/>
    </row>
    <row r="92" spans="1:9" s="297" customFormat="1" ht="41.25" customHeight="1" x14ac:dyDescent="0.45">
      <c r="A92" s="304" t="s">
        <v>389</v>
      </c>
      <c r="B92" s="310"/>
      <c r="C92" s="300"/>
      <c r="D92" s="320"/>
      <c r="E92" s="316"/>
      <c r="F92" s="317"/>
      <c r="G92" s="325"/>
      <c r="H92" s="328"/>
    </row>
    <row r="93" spans="1:9" s="297" customFormat="1" ht="41.25" customHeight="1" x14ac:dyDescent="0.45">
      <c r="A93" s="304" t="s">
        <v>249</v>
      </c>
      <c r="B93" s="309">
        <f>'DATA BASE'!H94</f>
        <v>0</v>
      </c>
      <c r="C93" s="300">
        <f>'DATA BASE'!I94</f>
        <v>87</v>
      </c>
      <c r="D93" s="319">
        <f>'DATA BASE'!J94</f>
        <v>0</v>
      </c>
      <c r="E93" s="316">
        <f>'DATA BASE'!K94</f>
        <v>0</v>
      </c>
      <c r="F93" s="317">
        <f>'DATA BASE'!L94</f>
        <v>96</v>
      </c>
      <c r="G93" s="324">
        <f>'DATA BASE'!M94</f>
        <v>0</v>
      </c>
      <c r="H93" s="328">
        <f t="shared" si="3"/>
        <v>0</v>
      </c>
    </row>
    <row r="94" spans="1:9" s="297" customFormat="1" ht="41.25" customHeight="1" x14ac:dyDescent="0.45">
      <c r="A94" s="329" t="s">
        <v>211</v>
      </c>
      <c r="B94" s="309">
        <f>'DATA BASE'!H95</f>
        <v>130</v>
      </c>
      <c r="C94" s="300">
        <f>'DATA BASE'!I95</f>
        <v>82</v>
      </c>
      <c r="D94" s="319">
        <f>'DATA BASE'!J95</f>
        <v>23.400000000000006</v>
      </c>
      <c r="E94" s="316">
        <f>'DATA BASE'!K95</f>
        <v>130</v>
      </c>
      <c r="F94" s="317">
        <f>'DATA BASE'!L95</f>
        <v>82</v>
      </c>
      <c r="G94" s="324">
        <f>'DATA BASE'!M95</f>
        <v>23.400000000000006</v>
      </c>
      <c r="H94" s="328">
        <f t="shared" si="3"/>
        <v>0</v>
      </c>
    </row>
    <row r="95" spans="1:9" s="297" customFormat="1" ht="41.25" customHeight="1" x14ac:dyDescent="0.45">
      <c r="A95" s="304" t="s">
        <v>212</v>
      </c>
      <c r="B95" s="309">
        <f>'DATA BASE'!H96</f>
        <v>40</v>
      </c>
      <c r="C95" s="300">
        <f>'DATA BASE'!I96</f>
        <v>41.3</v>
      </c>
      <c r="D95" s="319">
        <f>'DATA BASE'!J96</f>
        <v>23.479999999999997</v>
      </c>
      <c r="E95" s="316">
        <f>'DATA BASE'!K96</f>
        <v>40</v>
      </c>
      <c r="F95" s="317">
        <f>'DATA BASE'!L96</f>
        <v>41.3</v>
      </c>
      <c r="G95" s="324">
        <f>'DATA BASE'!M96</f>
        <v>23.479999999999997</v>
      </c>
      <c r="H95" s="328">
        <f t="shared" si="3"/>
        <v>0</v>
      </c>
    </row>
    <row r="96" spans="1:9" s="297" customFormat="1" ht="41.25" customHeight="1" x14ac:dyDescent="0.45">
      <c r="A96" s="304" t="s">
        <v>213</v>
      </c>
      <c r="B96" s="309">
        <f>'DATA BASE'!H97</f>
        <v>350</v>
      </c>
      <c r="C96" s="300">
        <f>'DATA BASE'!I97</f>
        <v>95</v>
      </c>
      <c r="D96" s="319">
        <f>'DATA BASE'!J97</f>
        <v>17.500000000000014</v>
      </c>
      <c r="E96" s="316">
        <f>'DATA BASE'!K97</f>
        <v>335</v>
      </c>
      <c r="F96" s="317">
        <f>'DATA BASE'!L97</f>
        <v>92.7</v>
      </c>
      <c r="G96" s="324">
        <f>'DATA BASE'!M97</f>
        <v>24.454999999999984</v>
      </c>
      <c r="H96" s="328">
        <f t="shared" si="3"/>
        <v>6.9549999999999699</v>
      </c>
    </row>
    <row r="97" spans="1:8" s="297" customFormat="1" ht="41.25" customHeight="1" x14ac:dyDescent="0.45">
      <c r="A97" s="304" t="s">
        <v>250</v>
      </c>
      <c r="B97" s="309">
        <f>'DATA BASE'!H98</f>
        <v>0</v>
      </c>
      <c r="C97" s="300">
        <f>'DATA BASE'!I98</f>
        <v>100</v>
      </c>
      <c r="D97" s="319">
        <f>'DATA BASE'!J98</f>
        <v>0</v>
      </c>
      <c r="E97" s="316">
        <f>'DATA BASE'!K98</f>
        <v>0</v>
      </c>
      <c r="F97" s="317">
        <f>'DATA BASE'!L98</f>
        <v>100</v>
      </c>
      <c r="G97" s="324">
        <f>'DATA BASE'!M98</f>
        <v>0</v>
      </c>
      <c r="H97" s="328">
        <f t="shared" si="3"/>
        <v>0</v>
      </c>
    </row>
    <row r="98" spans="1:8" s="297" customFormat="1" ht="41.25" customHeight="1" x14ac:dyDescent="0.45">
      <c r="A98" s="304" t="s">
        <v>251</v>
      </c>
      <c r="B98" s="309">
        <f>'DATA BASE'!H99</f>
        <v>0</v>
      </c>
      <c r="C98" s="300">
        <f>'DATA BASE'!I99</f>
        <v>0</v>
      </c>
      <c r="D98" s="319">
        <f>'DATA BASE'!J99</f>
        <v>0</v>
      </c>
      <c r="E98" s="316">
        <f>'DATA BASE'!K99</f>
        <v>0</v>
      </c>
      <c r="F98" s="317">
        <f>'DATA BASE'!L99</f>
        <v>93.8</v>
      </c>
      <c r="G98" s="324">
        <f>'DATA BASE'!M99</f>
        <v>0</v>
      </c>
      <c r="H98" s="328">
        <f t="shared" si="3"/>
        <v>0</v>
      </c>
    </row>
    <row r="99" spans="1:8" s="297" customFormat="1" ht="41.25" customHeight="1" x14ac:dyDescent="0.45">
      <c r="A99" s="304" t="s">
        <v>214</v>
      </c>
      <c r="B99" s="309">
        <f>'DATA BASE'!H101</f>
        <v>70</v>
      </c>
      <c r="C99" s="300">
        <f>'DATA BASE'!I101</f>
        <v>85.7</v>
      </c>
      <c r="D99" s="319">
        <f>'DATA BASE'!J101</f>
        <v>10.010000000000002</v>
      </c>
      <c r="E99" s="316">
        <f>'DATA BASE'!K101</f>
        <v>70</v>
      </c>
      <c r="F99" s="317">
        <f>'DATA BASE'!L101</f>
        <v>85.7</v>
      </c>
      <c r="G99" s="324">
        <f>'DATA BASE'!M101</f>
        <v>10.010000000000002</v>
      </c>
      <c r="H99" s="328">
        <f t="shared" si="3"/>
        <v>0</v>
      </c>
    </row>
    <row r="100" spans="1:8" s="297" customFormat="1" ht="41.25" customHeight="1" x14ac:dyDescent="0.45">
      <c r="A100" s="304" t="s">
        <v>215</v>
      </c>
      <c r="B100" s="309">
        <f>'DATA BASE'!H102</f>
        <v>40</v>
      </c>
      <c r="C100" s="300">
        <f>'DATA BASE'!I102</f>
        <v>37</v>
      </c>
      <c r="D100" s="319">
        <f>'DATA BASE'!J102</f>
        <v>25.2</v>
      </c>
      <c r="E100" s="316">
        <f>'DATA BASE'!K102</f>
        <v>40</v>
      </c>
      <c r="F100" s="317">
        <f>'DATA BASE'!L102</f>
        <v>33</v>
      </c>
      <c r="G100" s="324">
        <f>'DATA BASE'!M102</f>
        <v>26.799999999999997</v>
      </c>
      <c r="H100" s="328">
        <f t="shared" si="3"/>
        <v>1.5999999999999979</v>
      </c>
    </row>
    <row r="101" spans="1:8" s="297" customFormat="1" ht="41.25" customHeight="1" x14ac:dyDescent="0.45">
      <c r="A101" s="304" t="s">
        <v>216</v>
      </c>
      <c r="B101" s="309">
        <f>'DATA BASE'!H103</f>
        <v>0</v>
      </c>
      <c r="C101" s="300">
        <f>'DATA BASE'!I103</f>
        <v>67.7</v>
      </c>
      <c r="D101" s="319">
        <f>'DATA BASE'!J103</f>
        <v>0</v>
      </c>
      <c r="E101" s="316">
        <f>'DATA BASE'!K103</f>
        <v>0</v>
      </c>
      <c r="F101" s="317">
        <f>'DATA BASE'!L103</f>
        <v>89.3</v>
      </c>
      <c r="G101" s="324">
        <f>'DATA BASE'!M103</f>
        <v>0</v>
      </c>
      <c r="H101" s="328">
        <f t="shared" si="3"/>
        <v>0</v>
      </c>
    </row>
    <row r="102" spans="1:8" s="297" customFormat="1" ht="41.25" customHeight="1" x14ac:dyDescent="0.45">
      <c r="A102" s="304" t="s">
        <v>217</v>
      </c>
      <c r="B102" s="309">
        <f>'DATA BASE'!H104</f>
        <v>80</v>
      </c>
      <c r="C102" s="300">
        <f>'DATA BASE'!I104</f>
        <v>1.2</v>
      </c>
      <c r="D102" s="319">
        <f>'DATA BASE'!J104</f>
        <v>79.039999999999992</v>
      </c>
      <c r="E102" s="316">
        <f>'DATA BASE'!K104</f>
        <v>40</v>
      </c>
      <c r="F102" s="317">
        <f>'DATA BASE'!L104</f>
        <v>8.1</v>
      </c>
      <c r="G102" s="324">
        <f>'DATA BASE'!M104</f>
        <v>36.760000000000005</v>
      </c>
      <c r="H102" s="328">
        <f t="shared" si="3"/>
        <v>-42.279999999999987</v>
      </c>
    </row>
    <row r="103" spans="1:8" s="297" customFormat="1" ht="41.25" customHeight="1" x14ac:dyDescent="0.45">
      <c r="A103" s="304" t="s">
        <v>218</v>
      </c>
      <c r="B103" s="309">
        <f>'DATA BASE'!H106</f>
        <v>100</v>
      </c>
      <c r="C103" s="300">
        <f>'DATA BASE'!I106</f>
        <v>88</v>
      </c>
      <c r="D103" s="319">
        <f>'DATA BASE'!J106</f>
        <v>12</v>
      </c>
      <c r="E103" s="316">
        <f>'DATA BASE'!K106</f>
        <v>100</v>
      </c>
      <c r="F103" s="317">
        <f>'DATA BASE'!L106</f>
        <v>75.400000000000006</v>
      </c>
      <c r="G103" s="324">
        <f>'DATA BASE'!M106</f>
        <v>24.6</v>
      </c>
      <c r="H103" s="328">
        <f t="shared" si="3"/>
        <v>12.600000000000001</v>
      </c>
    </row>
    <row r="104" spans="1:8" s="297" customFormat="1" ht="41.25" customHeight="1" x14ac:dyDescent="0.45">
      <c r="A104" s="304" t="s">
        <v>253</v>
      </c>
      <c r="B104" s="309">
        <f>'DATA BASE'!H107</f>
        <v>0</v>
      </c>
      <c r="C104" s="300">
        <f>'DATA BASE'!I107</f>
        <v>95</v>
      </c>
      <c r="D104" s="319">
        <f>'DATA BASE'!J107</f>
        <v>0</v>
      </c>
      <c r="E104" s="316">
        <f>'DATA BASE'!K107</f>
        <v>0</v>
      </c>
      <c r="F104" s="317">
        <f>'DATA BASE'!L107</f>
        <v>96</v>
      </c>
      <c r="G104" s="324">
        <f>'DATA BASE'!M107</f>
        <v>0</v>
      </c>
      <c r="H104" s="328">
        <f t="shared" si="3"/>
        <v>0</v>
      </c>
    </row>
    <row r="105" spans="1:8" s="297" customFormat="1" ht="41.25" customHeight="1" x14ac:dyDescent="0.45">
      <c r="A105" s="304" t="s">
        <v>219</v>
      </c>
      <c r="B105" s="309">
        <f>'DATA BASE'!H108</f>
        <v>100</v>
      </c>
      <c r="C105" s="300">
        <f>'DATA BASE'!I108</f>
        <v>98</v>
      </c>
      <c r="D105" s="319">
        <f>'DATA BASE'!J108</f>
        <v>2.0000000000000018</v>
      </c>
      <c r="E105" s="316">
        <f>'DATA BASE'!K108</f>
        <v>100</v>
      </c>
      <c r="F105" s="317">
        <f>'DATA BASE'!L108</f>
        <v>97.6</v>
      </c>
      <c r="G105" s="324">
        <f>'DATA BASE'!M108</f>
        <v>2.4000000000000021</v>
      </c>
      <c r="H105" s="328">
        <f t="shared" si="3"/>
        <v>0.40000000000000036</v>
      </c>
    </row>
    <row r="106" spans="1:8" s="297" customFormat="1" ht="41.25" customHeight="1" x14ac:dyDescent="0.45">
      <c r="A106" s="304" t="s">
        <v>220</v>
      </c>
      <c r="B106" s="309">
        <f>'DATA BASE'!H109</f>
        <v>80</v>
      </c>
      <c r="C106" s="300">
        <f>'DATA BASE'!I109</f>
        <v>22.1</v>
      </c>
      <c r="D106" s="319">
        <f>'DATA BASE'!J109</f>
        <v>62.32</v>
      </c>
      <c r="E106" s="316">
        <f>'DATA BASE'!K109</f>
        <v>80</v>
      </c>
      <c r="F106" s="317">
        <f>'DATA BASE'!L109</f>
        <v>42.6</v>
      </c>
      <c r="G106" s="324">
        <f>'DATA BASE'!M109</f>
        <v>45.92</v>
      </c>
      <c r="H106" s="328">
        <f t="shared" si="3"/>
        <v>-16.399999999999999</v>
      </c>
    </row>
    <row r="107" spans="1:8" s="297" customFormat="1" ht="41.25" customHeight="1" x14ac:dyDescent="0.45">
      <c r="A107" s="304" t="s">
        <v>221</v>
      </c>
      <c r="B107" s="309">
        <f>'DATA BASE'!H110</f>
        <v>60</v>
      </c>
      <c r="C107" s="300">
        <f>'DATA BASE'!I110</f>
        <v>80</v>
      </c>
      <c r="D107" s="319">
        <f>'DATA BASE'!J110</f>
        <v>11.999999999999996</v>
      </c>
      <c r="E107" s="316">
        <f>'DATA BASE'!K110</f>
        <v>60</v>
      </c>
      <c r="F107" s="317">
        <f>'DATA BASE'!L110</f>
        <v>67.8</v>
      </c>
      <c r="G107" s="324">
        <f>'DATA BASE'!M110</f>
        <v>19.320000000000004</v>
      </c>
      <c r="H107" s="328">
        <f t="shared" si="3"/>
        <v>7.3200000000000074</v>
      </c>
    </row>
    <row r="108" spans="1:8" s="297" customFormat="1" ht="41.25" customHeight="1" x14ac:dyDescent="0.45">
      <c r="A108" s="304" t="s">
        <v>222</v>
      </c>
      <c r="B108" s="309">
        <f>'DATA BASE'!H111</f>
        <v>30</v>
      </c>
      <c r="C108" s="300">
        <f>'DATA BASE'!I111</f>
        <v>10</v>
      </c>
      <c r="D108" s="319">
        <f>'DATA BASE'!J111</f>
        <v>27</v>
      </c>
      <c r="E108" s="316">
        <f>'DATA BASE'!K111</f>
        <v>30</v>
      </c>
      <c r="F108" s="317">
        <f>'DATA BASE'!L111</f>
        <v>33.799999999999997</v>
      </c>
      <c r="G108" s="324">
        <f>'DATA BASE'!M111</f>
        <v>19.86</v>
      </c>
      <c r="H108" s="328">
        <f t="shared" si="3"/>
        <v>-7.1400000000000006</v>
      </c>
    </row>
    <row r="109" spans="1:8" s="297" customFormat="1" ht="41.25" customHeight="1" x14ac:dyDescent="0.45">
      <c r="A109" s="304" t="s">
        <v>254</v>
      </c>
      <c r="B109" s="309">
        <f>'DATA BASE'!H112</f>
        <v>0</v>
      </c>
      <c r="C109" s="300">
        <f>'DATA BASE'!I112</f>
        <v>76.400000000000006</v>
      </c>
      <c r="D109" s="319">
        <f>'DATA BASE'!J112</f>
        <v>0</v>
      </c>
      <c r="E109" s="316">
        <f>'DATA BASE'!K112</f>
        <v>0</v>
      </c>
      <c r="F109" s="317">
        <f>'DATA BASE'!L112</f>
        <v>82.1</v>
      </c>
      <c r="G109" s="324">
        <f>'DATA BASE'!M112</f>
        <v>0</v>
      </c>
      <c r="H109" s="328">
        <f t="shared" si="3"/>
        <v>0</v>
      </c>
    </row>
    <row r="110" spans="1:8" s="297" customFormat="1" ht="41.25" customHeight="1" x14ac:dyDescent="0.45">
      <c r="A110" s="304" t="s">
        <v>255</v>
      </c>
      <c r="B110" s="309">
        <f>'DATA BASE'!H113</f>
        <v>0</v>
      </c>
      <c r="C110" s="300">
        <f>'DATA BASE'!I113</f>
        <v>92.6</v>
      </c>
      <c r="D110" s="319">
        <f>'DATA BASE'!J113</f>
        <v>0</v>
      </c>
      <c r="E110" s="316">
        <f>'DATA BASE'!K113</f>
        <v>0</v>
      </c>
      <c r="F110" s="317">
        <f>'DATA BASE'!L113</f>
        <v>92.6</v>
      </c>
      <c r="G110" s="324">
        <f>'DATA BASE'!M113</f>
        <v>0</v>
      </c>
      <c r="H110" s="328">
        <f t="shared" si="3"/>
        <v>0</v>
      </c>
    </row>
    <row r="111" spans="1:8" s="297" customFormat="1" ht="41.25" customHeight="1" x14ac:dyDescent="0.45">
      <c r="A111" s="304" t="s">
        <v>223</v>
      </c>
      <c r="B111" s="309">
        <f>'DATA BASE'!H114</f>
        <v>80</v>
      </c>
      <c r="C111" s="300">
        <f>'DATA BASE'!I114</f>
        <v>73.599999999999994</v>
      </c>
      <c r="D111" s="319">
        <f>'DATA BASE'!J114</f>
        <v>21.12</v>
      </c>
      <c r="E111" s="316">
        <f>'DATA BASE'!K114</f>
        <v>80</v>
      </c>
      <c r="F111" s="317">
        <f>'DATA BASE'!L114</f>
        <v>79.599999999999994</v>
      </c>
      <c r="G111" s="324">
        <f>'DATA BASE'!M114</f>
        <v>16.320000000000007</v>
      </c>
      <c r="H111" s="328">
        <f t="shared" si="3"/>
        <v>-4.7999999999999936</v>
      </c>
    </row>
    <row r="112" spans="1:8" s="297" customFormat="1" ht="41.25" customHeight="1" x14ac:dyDescent="0.45">
      <c r="A112" s="304" t="s">
        <v>224</v>
      </c>
      <c r="B112" s="309">
        <f>'DATA BASE'!H115</f>
        <v>0</v>
      </c>
      <c r="C112" s="300">
        <f>'DATA BASE'!I115</f>
        <v>48</v>
      </c>
      <c r="D112" s="319">
        <f>'DATA BASE'!J115</f>
        <v>0</v>
      </c>
      <c r="E112" s="316">
        <f>'DATA BASE'!K115</f>
        <v>0</v>
      </c>
      <c r="F112" s="317">
        <f>'DATA BASE'!L115</f>
        <v>33.799999999999997</v>
      </c>
      <c r="G112" s="324">
        <f>'DATA BASE'!M115</f>
        <v>0</v>
      </c>
      <c r="H112" s="328">
        <f t="shared" si="3"/>
        <v>0</v>
      </c>
    </row>
    <row r="113" spans="1:9" s="297" customFormat="1" ht="41.25" customHeight="1" x14ac:dyDescent="0.45">
      <c r="A113" s="304" t="s">
        <v>225</v>
      </c>
      <c r="B113" s="309">
        <f>'DATA BASE'!H116</f>
        <v>70</v>
      </c>
      <c r="C113" s="300">
        <f>'DATA BASE'!I116</f>
        <v>12</v>
      </c>
      <c r="D113" s="319">
        <f>'DATA BASE'!J116</f>
        <v>61.6</v>
      </c>
      <c r="E113" s="316">
        <f>'DATA BASE'!K116</f>
        <v>75</v>
      </c>
      <c r="F113" s="317">
        <f>'DATA BASE'!L116</f>
        <v>12</v>
      </c>
      <c r="G113" s="324">
        <f>'DATA BASE'!M116</f>
        <v>66</v>
      </c>
      <c r="H113" s="328">
        <f t="shared" si="3"/>
        <v>4.3999999999999986</v>
      </c>
    </row>
    <row r="114" spans="1:9" s="297" customFormat="1" ht="41.25" customHeight="1" x14ac:dyDescent="0.45">
      <c r="A114" s="304" t="s">
        <v>226</v>
      </c>
      <c r="B114" s="309">
        <f>'DATA BASE'!H117</f>
        <v>50</v>
      </c>
      <c r="C114" s="300">
        <f>'DATA BASE'!I117</f>
        <v>70</v>
      </c>
      <c r="D114" s="319">
        <f>'DATA BASE'!J117</f>
        <v>15.000000000000002</v>
      </c>
      <c r="E114" s="316">
        <f>'DATA BASE'!K117</f>
        <v>40</v>
      </c>
      <c r="F114" s="317">
        <f>'DATA BASE'!L117</f>
        <v>71.7</v>
      </c>
      <c r="G114" s="324">
        <f>'DATA BASE'!M117</f>
        <v>11.319999999999997</v>
      </c>
      <c r="H114" s="328">
        <f t="shared" si="3"/>
        <v>-3.680000000000005</v>
      </c>
    </row>
    <row r="115" spans="1:9" s="297" customFormat="1" ht="41.25" customHeight="1" x14ac:dyDescent="0.45">
      <c r="A115" s="304" t="s">
        <v>227</v>
      </c>
      <c r="B115" s="309">
        <f>'DATA BASE'!H118</f>
        <v>40</v>
      </c>
      <c r="C115" s="300">
        <f>'DATA BASE'!I118</f>
        <v>18</v>
      </c>
      <c r="D115" s="319">
        <f>'DATA BASE'!J118</f>
        <v>32.800000000000004</v>
      </c>
      <c r="E115" s="316">
        <f>'DATA BASE'!K118</f>
        <v>40</v>
      </c>
      <c r="F115" s="317">
        <f>'DATA BASE'!L118</f>
        <v>71.7</v>
      </c>
      <c r="G115" s="324">
        <f>'DATA BASE'!M118</f>
        <v>11.319999999999997</v>
      </c>
      <c r="H115" s="328">
        <f t="shared" si="3"/>
        <v>-21.480000000000008</v>
      </c>
    </row>
    <row r="116" spans="1:9" s="297" customFormat="1" ht="41.25" customHeight="1" thickBot="1" x14ac:dyDescent="0.5">
      <c r="A116" s="304" t="s">
        <v>228</v>
      </c>
      <c r="B116" s="309">
        <f>'DATA BASE'!H119</f>
        <v>35</v>
      </c>
      <c r="C116" s="300">
        <f>'DATA BASE'!I119</f>
        <v>10</v>
      </c>
      <c r="D116" s="319">
        <f>'DATA BASE'!J119</f>
        <v>31.5</v>
      </c>
      <c r="E116" s="316">
        <f>'DATA BASE'!K119</f>
        <v>30</v>
      </c>
      <c r="F116" s="317">
        <f>'DATA BASE'!L119</f>
        <v>0.8</v>
      </c>
      <c r="G116" s="324">
        <f>'DATA BASE'!M119</f>
        <v>29.759999999999998</v>
      </c>
      <c r="H116" s="328">
        <f t="shared" si="3"/>
        <v>-1.740000000000002</v>
      </c>
    </row>
    <row r="117" spans="1:9" s="297" customFormat="1" ht="41.25" customHeight="1" thickTop="1" thickBot="1" x14ac:dyDescent="0.5">
      <c r="A117" s="340"/>
      <c r="B117" s="348">
        <f>SUM(B90:B116)</f>
        <v>1355</v>
      </c>
      <c r="C117" s="349"/>
      <c r="D117" s="348">
        <f>SUM(D90:D116)</f>
        <v>455.97</v>
      </c>
      <c r="E117" s="348">
        <f>SUM(E90:E116)</f>
        <v>1380</v>
      </c>
      <c r="F117" s="349"/>
      <c r="G117" s="346">
        <f>SUM(G90:G116)</f>
        <v>407.92500000000001</v>
      </c>
      <c r="H117" s="353"/>
      <c r="I117" s="312"/>
    </row>
    <row r="118" spans="1:9" s="297" customFormat="1" ht="75" customHeight="1" thickTop="1" thickBot="1" x14ac:dyDescent="0.3">
      <c r="A118" s="334" t="s">
        <v>316</v>
      </c>
      <c r="B118" s="335" t="s">
        <v>318</v>
      </c>
      <c r="C118" s="335" t="s">
        <v>317</v>
      </c>
      <c r="D118" s="336" t="s">
        <v>319</v>
      </c>
      <c r="E118" s="335" t="s">
        <v>131</v>
      </c>
      <c r="F118" s="335" t="s">
        <v>132</v>
      </c>
      <c r="G118" s="337" t="s">
        <v>181</v>
      </c>
      <c r="H118" s="337" t="s">
        <v>320</v>
      </c>
    </row>
    <row r="119" spans="1:9" s="297" customFormat="1" ht="41.25" customHeight="1" thickTop="1" x14ac:dyDescent="0.45">
      <c r="A119" s="304" t="s">
        <v>229</v>
      </c>
      <c r="B119" s="309">
        <f>'DATA BASE'!H120</f>
        <v>100</v>
      </c>
      <c r="C119" s="300">
        <f>'DATA BASE'!I120</f>
        <v>58.5</v>
      </c>
      <c r="D119" s="319">
        <f>'DATA BASE'!J120</f>
        <v>41.5</v>
      </c>
      <c r="E119" s="316">
        <f>'DATA BASE'!K120</f>
        <v>100</v>
      </c>
      <c r="F119" s="317">
        <f>'DATA BASE'!L120</f>
        <v>58.5</v>
      </c>
      <c r="G119" s="324">
        <f>'DATA BASE'!M120</f>
        <v>41.5</v>
      </c>
      <c r="H119" s="328">
        <f t="shared" ref="H119:H138" si="4">G119-D119</f>
        <v>0</v>
      </c>
    </row>
    <row r="120" spans="1:9" s="297" customFormat="1" ht="41.25" customHeight="1" x14ac:dyDescent="0.45">
      <c r="A120" s="304" t="s">
        <v>256</v>
      </c>
      <c r="B120" s="309">
        <f>'DATA BASE'!H121</f>
        <v>0</v>
      </c>
      <c r="C120" s="300">
        <f>'DATA BASE'!I121</f>
        <v>74.3</v>
      </c>
      <c r="D120" s="319">
        <f>'DATA BASE'!J121</f>
        <v>0</v>
      </c>
      <c r="E120" s="316">
        <f>'DATA BASE'!K121</f>
        <v>120</v>
      </c>
      <c r="F120" s="317">
        <f>'DATA BASE'!L121</f>
        <v>42.9</v>
      </c>
      <c r="G120" s="324">
        <f>'DATA BASE'!M121</f>
        <v>68.52</v>
      </c>
      <c r="H120" s="328">
        <f t="shared" si="4"/>
        <v>68.52</v>
      </c>
    </row>
    <row r="121" spans="1:9" s="297" customFormat="1" ht="41.25" customHeight="1" x14ac:dyDescent="0.45">
      <c r="A121" s="304" t="s">
        <v>230</v>
      </c>
      <c r="B121" s="309">
        <f>'DATA BASE'!H122</f>
        <v>50</v>
      </c>
      <c r="C121" s="300">
        <f>'DATA BASE'!I122</f>
        <v>85.2</v>
      </c>
      <c r="D121" s="319">
        <f>'DATA BASE'!J122</f>
        <v>7.4000000000000012</v>
      </c>
      <c r="E121" s="316">
        <f>'DATA BASE'!K122</f>
        <v>60</v>
      </c>
      <c r="F121" s="317">
        <f>'DATA BASE'!L122</f>
        <v>76.400000000000006</v>
      </c>
      <c r="G121" s="324">
        <f>'DATA BASE'!M122</f>
        <v>14.16</v>
      </c>
      <c r="H121" s="328">
        <f t="shared" si="4"/>
        <v>6.7599999999999989</v>
      </c>
    </row>
    <row r="122" spans="1:9" s="297" customFormat="1" ht="41.25" customHeight="1" x14ac:dyDescent="0.45">
      <c r="A122" s="329" t="s">
        <v>257</v>
      </c>
      <c r="B122" s="309">
        <f>'DATA BASE'!H124</f>
        <v>0</v>
      </c>
      <c r="C122" s="300">
        <f>'DATA BASE'!I124</f>
        <v>20</v>
      </c>
      <c r="D122" s="319">
        <f>'DATA BASE'!J124</f>
        <v>0</v>
      </c>
      <c r="E122" s="316">
        <f>'DATA BASE'!K124</f>
        <v>120</v>
      </c>
      <c r="F122" s="317">
        <f>'DATA BASE'!L124</f>
        <v>66.900000000000006</v>
      </c>
      <c r="G122" s="324">
        <f>'DATA BASE'!M124</f>
        <v>39.72</v>
      </c>
      <c r="H122" s="345">
        <f t="shared" si="4"/>
        <v>39.72</v>
      </c>
    </row>
    <row r="123" spans="1:9" s="297" customFormat="1" ht="41.25" customHeight="1" x14ac:dyDescent="0.45">
      <c r="A123" s="304" t="s">
        <v>231</v>
      </c>
      <c r="B123" s="366">
        <f>'DATA BASE'!H125</f>
        <v>50</v>
      </c>
      <c r="C123" s="367">
        <f>'DATA BASE'!I125</f>
        <v>10</v>
      </c>
      <c r="D123" s="368">
        <f>'DATA BASE'!J125</f>
        <v>45</v>
      </c>
      <c r="E123" s="369">
        <f>'DATA BASE'!K125</f>
        <v>50</v>
      </c>
      <c r="F123" s="370">
        <f>'DATA BASE'!L125</f>
        <v>22.9</v>
      </c>
      <c r="G123" s="371">
        <f>'DATA BASE'!M125</f>
        <v>38.550000000000004</v>
      </c>
      <c r="H123" s="328">
        <f t="shared" si="4"/>
        <v>-6.4499999999999957</v>
      </c>
    </row>
    <row r="124" spans="1:9" s="297" customFormat="1" ht="41.25" customHeight="1" x14ac:dyDescent="0.45">
      <c r="A124" s="304" t="s">
        <v>258</v>
      </c>
      <c r="B124" s="309">
        <f>'DATA BASE'!H126</f>
        <v>0</v>
      </c>
      <c r="C124" s="300">
        <f>'DATA BASE'!I126</f>
        <v>78.900000000000006</v>
      </c>
      <c r="D124" s="319">
        <f>'DATA BASE'!J126</f>
        <v>0</v>
      </c>
      <c r="E124" s="316">
        <f>'DATA BASE'!K126</f>
        <v>0</v>
      </c>
      <c r="F124" s="317">
        <f>'DATA BASE'!L126</f>
        <v>85.3</v>
      </c>
      <c r="G124" s="324">
        <f>'DATA BASE'!M126</f>
        <v>0</v>
      </c>
      <c r="H124" s="328">
        <f t="shared" si="4"/>
        <v>0</v>
      </c>
    </row>
    <row r="125" spans="1:9" s="297" customFormat="1" ht="41.25" customHeight="1" x14ac:dyDescent="0.45">
      <c r="A125" s="304" t="s">
        <v>232</v>
      </c>
      <c r="B125" s="309">
        <f>'DATA BASE'!H127</f>
        <v>70</v>
      </c>
      <c r="C125" s="300">
        <f>'DATA BASE'!I127</f>
        <v>50</v>
      </c>
      <c r="D125" s="319">
        <f>'DATA BASE'!J127</f>
        <v>35</v>
      </c>
      <c r="E125" s="316">
        <f>'DATA BASE'!K127</f>
        <v>60</v>
      </c>
      <c r="F125" s="317">
        <f>'DATA BASE'!L127</f>
        <v>39</v>
      </c>
      <c r="G125" s="324">
        <f>'DATA BASE'!M127</f>
        <v>36.6</v>
      </c>
      <c r="H125" s="328">
        <f t="shared" si="4"/>
        <v>1.6000000000000014</v>
      </c>
    </row>
    <row r="126" spans="1:9" s="297" customFormat="1" ht="41.25" customHeight="1" x14ac:dyDescent="0.45">
      <c r="A126" s="304" t="s">
        <v>233</v>
      </c>
      <c r="B126" s="309">
        <f>'DATA BASE'!H128</f>
        <v>50</v>
      </c>
      <c r="C126" s="300">
        <f>'DATA BASE'!I128</f>
        <v>9.6999999999999993</v>
      </c>
      <c r="D126" s="319">
        <f>'DATA BASE'!J128</f>
        <v>45.15</v>
      </c>
      <c r="E126" s="316">
        <f>'DATA BASE'!K128</f>
        <v>50</v>
      </c>
      <c r="F126" s="317">
        <f>'DATA BASE'!L128</f>
        <v>8.1999999999999993</v>
      </c>
      <c r="G126" s="324">
        <f>'DATA BASE'!M128</f>
        <v>45.9</v>
      </c>
      <c r="H126" s="328">
        <f t="shared" si="4"/>
        <v>0.75</v>
      </c>
    </row>
    <row r="127" spans="1:9" s="297" customFormat="1" ht="41.25" customHeight="1" x14ac:dyDescent="0.45">
      <c r="A127" s="304" t="s">
        <v>259</v>
      </c>
      <c r="B127" s="309">
        <f>'DATA BASE'!H129</f>
        <v>50</v>
      </c>
      <c r="C127" s="300">
        <f>'DATA BASE'!I129</f>
        <v>68.5</v>
      </c>
      <c r="D127" s="319">
        <f>'DATA BASE'!J129</f>
        <v>15.749999999999996</v>
      </c>
      <c r="E127" s="316">
        <f>'DATA BASE'!K129</f>
        <v>100</v>
      </c>
      <c r="F127" s="317">
        <f>'DATA BASE'!L129</f>
        <v>68.400000000000006</v>
      </c>
      <c r="G127" s="324">
        <f>'DATA BASE'!M129</f>
        <v>31.599999999999994</v>
      </c>
      <c r="H127" s="328">
        <f t="shared" si="4"/>
        <v>15.849999999999998</v>
      </c>
    </row>
    <row r="128" spans="1:9" s="297" customFormat="1" ht="41.25" customHeight="1" x14ac:dyDescent="0.45">
      <c r="A128" s="304" t="s">
        <v>235</v>
      </c>
      <c r="B128" s="309">
        <f>'DATA BASE'!H130</f>
        <v>400</v>
      </c>
      <c r="C128" s="300">
        <f>'DATA BASE'!I130</f>
        <v>96.8</v>
      </c>
      <c r="D128" s="319">
        <f>'DATA BASE'!J130</f>
        <v>12.800000000000011</v>
      </c>
      <c r="E128" s="316">
        <f>'DATA BASE'!K130</f>
        <v>400</v>
      </c>
      <c r="F128" s="317">
        <f>'DATA BASE'!L130</f>
        <v>96.3</v>
      </c>
      <c r="G128" s="324">
        <f>'DATA BASE'!M130</f>
        <v>14.800000000000013</v>
      </c>
      <c r="H128" s="328">
        <f t="shared" si="4"/>
        <v>2.0000000000000018</v>
      </c>
    </row>
    <row r="129" spans="1:8" s="297" customFormat="1" ht="41.25" customHeight="1" x14ac:dyDescent="0.45">
      <c r="A129" s="304" t="s">
        <v>236</v>
      </c>
      <c r="B129" s="309">
        <f>'DATA BASE'!H131</f>
        <v>50</v>
      </c>
      <c r="C129" s="300">
        <f>'DATA BASE'!I131</f>
        <v>92.4</v>
      </c>
      <c r="D129" s="319">
        <f>'DATA BASE'!J131</f>
        <v>3.799999999999998</v>
      </c>
      <c r="E129" s="316">
        <f>'DATA BASE'!K131</f>
        <v>50</v>
      </c>
      <c r="F129" s="317">
        <f>'DATA BASE'!L131</f>
        <v>82.4</v>
      </c>
      <c r="G129" s="324">
        <f>'DATA BASE'!M131</f>
        <v>8.7999999999999972</v>
      </c>
      <c r="H129" s="328">
        <f t="shared" si="4"/>
        <v>4.9999999999999991</v>
      </c>
    </row>
    <row r="130" spans="1:8" s="297" customFormat="1" ht="41.25" customHeight="1" x14ac:dyDescent="0.45">
      <c r="A130" s="304" t="s">
        <v>237</v>
      </c>
      <c r="B130" s="309">
        <f>'DATA BASE'!H132</f>
        <v>80</v>
      </c>
      <c r="C130" s="300">
        <f>'DATA BASE'!I132</f>
        <v>12</v>
      </c>
      <c r="D130" s="319">
        <f>'DATA BASE'!J132</f>
        <v>70.400000000000006</v>
      </c>
      <c r="E130" s="316">
        <f>'DATA BASE'!K132</f>
        <v>80</v>
      </c>
      <c r="F130" s="317">
        <f>'DATA BASE'!L132</f>
        <v>0.8</v>
      </c>
      <c r="G130" s="324">
        <f>'DATA BASE'!M132</f>
        <v>79.36</v>
      </c>
      <c r="H130" s="328">
        <f t="shared" si="4"/>
        <v>8.9599999999999937</v>
      </c>
    </row>
    <row r="131" spans="1:8" s="297" customFormat="1" ht="41.25" customHeight="1" x14ac:dyDescent="0.45">
      <c r="A131" s="304" t="s">
        <v>238</v>
      </c>
      <c r="B131" s="309">
        <f>'DATA BASE'!H133</f>
        <v>100</v>
      </c>
      <c r="C131" s="300">
        <f>'DATA BASE'!I133</f>
        <v>12</v>
      </c>
      <c r="D131" s="319">
        <f>'DATA BASE'!J133</f>
        <v>88</v>
      </c>
      <c r="E131" s="316">
        <f>'DATA BASE'!K133</f>
        <v>100</v>
      </c>
      <c r="F131" s="317">
        <f>'DATA BASE'!L133</f>
        <v>0.4</v>
      </c>
      <c r="G131" s="324">
        <f>'DATA BASE'!M133</f>
        <v>99.6</v>
      </c>
      <c r="H131" s="328">
        <f t="shared" si="4"/>
        <v>11.599999999999994</v>
      </c>
    </row>
    <row r="132" spans="1:8" s="297" customFormat="1" ht="41.25" customHeight="1" x14ac:dyDescent="0.45">
      <c r="A132" s="304" t="s">
        <v>239</v>
      </c>
      <c r="B132" s="309">
        <f>'DATA BASE'!H134</f>
        <v>150</v>
      </c>
      <c r="C132" s="300">
        <f>'DATA BASE'!I134</f>
        <v>10</v>
      </c>
      <c r="D132" s="319">
        <f>'DATA BASE'!J134</f>
        <v>135</v>
      </c>
      <c r="E132" s="316">
        <f>'DATA BASE'!K134</f>
        <v>220</v>
      </c>
      <c r="F132" s="317">
        <f>'DATA BASE'!L134</f>
        <v>8.5</v>
      </c>
      <c r="G132" s="324">
        <f>'DATA BASE'!M134</f>
        <v>201.3</v>
      </c>
      <c r="H132" s="328">
        <f t="shared" si="4"/>
        <v>66.300000000000011</v>
      </c>
    </row>
    <row r="133" spans="1:8" s="297" customFormat="1" ht="41.25" customHeight="1" x14ac:dyDescent="0.45">
      <c r="A133" s="304" t="s">
        <v>240</v>
      </c>
      <c r="B133" s="309">
        <f>'DATA BASE'!H136</f>
        <v>110</v>
      </c>
      <c r="C133" s="300">
        <f>'DATA BASE'!I136</f>
        <v>3.2</v>
      </c>
      <c r="D133" s="319">
        <f>'DATA BASE'!J136</f>
        <v>106.47999999999999</v>
      </c>
      <c r="E133" s="316">
        <f>'DATA BASE'!K136</f>
        <v>110</v>
      </c>
      <c r="F133" s="317">
        <f>'DATA BASE'!L136</f>
        <v>9.3000000000000007</v>
      </c>
      <c r="G133" s="324">
        <f>'DATA BASE'!M136</f>
        <v>99.77000000000001</v>
      </c>
      <c r="H133" s="328">
        <f t="shared" si="4"/>
        <v>-6.7099999999999795</v>
      </c>
    </row>
    <row r="134" spans="1:8" s="297" customFormat="1" ht="41.25" customHeight="1" x14ac:dyDescent="0.45">
      <c r="A134" s="304" t="s">
        <v>260</v>
      </c>
      <c r="B134" s="309">
        <f>'DATA BASE'!H137</f>
        <v>0</v>
      </c>
      <c r="C134" s="300">
        <f>'DATA BASE'!I137</f>
        <v>0.4</v>
      </c>
      <c r="D134" s="319">
        <f>'DATA BASE'!J137</f>
        <v>0</v>
      </c>
      <c r="E134" s="316">
        <f>'DATA BASE'!K137</f>
        <v>0</v>
      </c>
      <c r="F134" s="317">
        <f>'DATA BASE'!L137</f>
        <v>0.4</v>
      </c>
      <c r="G134" s="324">
        <f>'DATA BASE'!M137</f>
        <v>0</v>
      </c>
      <c r="H134" s="328">
        <f t="shared" si="4"/>
        <v>0</v>
      </c>
    </row>
    <row r="135" spans="1:8" s="297" customFormat="1" ht="41.25" customHeight="1" x14ac:dyDescent="0.45">
      <c r="A135" s="304" t="s">
        <v>391</v>
      </c>
      <c r="B135" s="309">
        <f>'DATA BASE'!H138</f>
        <v>0</v>
      </c>
      <c r="C135" s="300">
        <f>'DATA BASE'!I138</f>
        <v>0</v>
      </c>
      <c r="D135" s="319">
        <f>'DATA BASE'!J138</f>
        <v>0</v>
      </c>
      <c r="E135" s="316">
        <f>'DATA BASE'!K138</f>
        <v>0</v>
      </c>
      <c r="F135" s="317">
        <f>'DATA BASE'!L138</f>
        <v>0</v>
      </c>
      <c r="G135" s="324">
        <f>'DATA BASE'!M138</f>
        <v>0</v>
      </c>
      <c r="H135" s="328">
        <f t="shared" si="4"/>
        <v>0</v>
      </c>
    </row>
    <row r="136" spans="1:8" s="297" customFormat="1" ht="41.25" customHeight="1" x14ac:dyDescent="0.45">
      <c r="A136" s="304" t="s">
        <v>392</v>
      </c>
      <c r="B136" s="309">
        <f>'DATA BASE'!H139</f>
        <v>0</v>
      </c>
      <c r="C136" s="300">
        <f>'DATA BASE'!I139</f>
        <v>0</v>
      </c>
      <c r="D136" s="319">
        <f>'DATA BASE'!J139</f>
        <v>0</v>
      </c>
      <c r="E136" s="316">
        <f>'DATA BASE'!K139</f>
        <v>0</v>
      </c>
      <c r="F136" s="317">
        <f>'DATA BASE'!L139</f>
        <v>0</v>
      </c>
      <c r="G136" s="324">
        <f>'DATA BASE'!M139</f>
        <v>0</v>
      </c>
      <c r="H136" s="328">
        <f t="shared" si="4"/>
        <v>0</v>
      </c>
    </row>
    <row r="137" spans="1:8" s="297" customFormat="1" ht="41.25" customHeight="1" x14ac:dyDescent="0.45">
      <c r="A137" s="304" t="s">
        <v>393</v>
      </c>
      <c r="B137" s="309">
        <f>'DATA BASE'!H140</f>
        <v>120</v>
      </c>
      <c r="C137" s="300">
        <f>'DATA BASE'!I140</f>
        <v>58</v>
      </c>
      <c r="D137" s="319">
        <f>'DATA BASE'!J140</f>
        <v>50.400000000000006</v>
      </c>
      <c r="E137" s="316">
        <f>'DATA BASE'!K140</f>
        <v>110</v>
      </c>
      <c r="F137" s="317">
        <f>'DATA BASE'!L140</f>
        <v>49.9</v>
      </c>
      <c r="G137" s="324">
        <f>'DATA BASE'!M140</f>
        <v>55.11</v>
      </c>
      <c r="H137" s="328">
        <f t="shared" si="4"/>
        <v>4.7099999999999937</v>
      </c>
    </row>
    <row r="138" spans="1:8" s="298" customFormat="1" ht="41.25" customHeight="1" x14ac:dyDescent="0.45">
      <c r="A138" s="304" t="s">
        <v>394</v>
      </c>
      <c r="B138" s="309">
        <f>'DATA BASE'!H141</f>
        <v>250</v>
      </c>
      <c r="C138" s="300">
        <f>'DATA BASE'!I141</f>
        <v>0.4</v>
      </c>
      <c r="D138" s="319">
        <f>'DATA BASE'!J141</f>
        <v>249</v>
      </c>
      <c r="E138" s="316">
        <f>'DATA BASE'!K141</f>
        <v>260</v>
      </c>
      <c r="F138" s="317">
        <f>'DATA BASE'!L141</f>
        <v>0.4</v>
      </c>
      <c r="G138" s="324">
        <f>'DATA BASE'!M141</f>
        <v>258.95999999999998</v>
      </c>
      <c r="H138" s="328">
        <f t="shared" si="4"/>
        <v>9.9599999999999795</v>
      </c>
    </row>
    <row r="139" spans="1:8" ht="41.25" customHeight="1" x14ac:dyDescent="0.45">
      <c r="A139" s="304" t="s">
        <v>261</v>
      </c>
      <c r="B139" s="309">
        <f>'DATA BASE'!H142</f>
        <v>0</v>
      </c>
      <c r="C139" s="300">
        <f>'DATA BASE'!I142</f>
        <v>0</v>
      </c>
      <c r="D139" s="319">
        <f>'DATA BASE'!J142</f>
        <v>0</v>
      </c>
      <c r="E139" s="316">
        <f>'DATA BASE'!K142</f>
        <v>0</v>
      </c>
      <c r="F139" s="317">
        <f>'DATA BASE'!L142</f>
        <v>27</v>
      </c>
      <c r="G139" s="324">
        <f>'DATA BASE'!M142</f>
        <v>0</v>
      </c>
      <c r="H139" s="328">
        <f>G139-D139</f>
        <v>0</v>
      </c>
    </row>
    <row r="140" spans="1:8" ht="41.25" customHeight="1" x14ac:dyDescent="0.45">
      <c r="A140" s="304" t="s">
        <v>241</v>
      </c>
      <c r="B140" s="309">
        <f>'DATA BASE'!H143</f>
        <v>0</v>
      </c>
      <c r="C140" s="300">
        <f>'DATA BASE'!I143</f>
        <v>0</v>
      </c>
      <c r="D140" s="319">
        <f>'DATA BASE'!J143</f>
        <v>0</v>
      </c>
      <c r="E140" s="316">
        <f>'DATA BASE'!K143</f>
        <v>80</v>
      </c>
      <c r="F140" s="317">
        <f>'DATA BASE'!L143</f>
        <v>90</v>
      </c>
      <c r="G140" s="324">
        <f>'DATA BASE'!M143</f>
        <v>7.9999999999999982</v>
      </c>
      <c r="H140" s="328">
        <f>G140-D140</f>
        <v>7.9999999999999982</v>
      </c>
    </row>
    <row r="141" spans="1:8" ht="41.25" customHeight="1" x14ac:dyDescent="0.45">
      <c r="A141" s="304" t="s">
        <v>242</v>
      </c>
      <c r="B141" s="309">
        <f>'DATA BASE'!H144</f>
        <v>90</v>
      </c>
      <c r="C141" s="300">
        <f>'DATA BASE'!I144</f>
        <v>50</v>
      </c>
      <c r="D141" s="319">
        <f>'DATA BASE'!J144</f>
        <v>45</v>
      </c>
      <c r="E141" s="316">
        <f>'DATA BASE'!K144</f>
        <v>90</v>
      </c>
      <c r="F141" s="317">
        <f>'DATA BASE'!L144</f>
        <v>46.6</v>
      </c>
      <c r="G141" s="324">
        <f>'DATA BASE'!M144</f>
        <v>48.06</v>
      </c>
      <c r="H141" s="328">
        <f>G141-D141</f>
        <v>3.0600000000000023</v>
      </c>
    </row>
    <row r="142" spans="1:8" ht="41.25" customHeight="1" x14ac:dyDescent="0.45">
      <c r="A142" s="304" t="s">
        <v>243</v>
      </c>
      <c r="B142" s="309">
        <f>'DATA BASE'!H145</f>
        <v>0</v>
      </c>
      <c r="C142" s="300">
        <f>'DATA BASE'!I145</f>
        <v>0</v>
      </c>
      <c r="D142" s="319">
        <f>'DATA BASE'!J145</f>
        <v>0</v>
      </c>
      <c r="E142" s="316">
        <f>'DATA BASE'!K145</f>
        <v>40</v>
      </c>
      <c r="F142" s="317">
        <f>'DATA BASE'!L145</f>
        <v>1.2</v>
      </c>
      <c r="G142" s="324">
        <f>'DATA BASE'!M145</f>
        <v>39.519999999999996</v>
      </c>
      <c r="H142" s="328">
        <f>G142-D142</f>
        <v>39.519999999999996</v>
      </c>
    </row>
    <row r="143" spans="1:8" ht="41.25" customHeight="1" x14ac:dyDescent="0.45">
      <c r="A143" s="304" t="s">
        <v>244</v>
      </c>
      <c r="B143" s="309">
        <f>'DATA BASE'!H147</f>
        <v>0</v>
      </c>
      <c r="C143" s="300">
        <f>'DATA BASE'!I147</f>
        <v>0</v>
      </c>
      <c r="D143" s="319">
        <f>'DATA BASE'!J147</f>
        <v>0</v>
      </c>
      <c r="E143" s="316">
        <f>'DATA BASE'!K147</f>
        <v>80</v>
      </c>
      <c r="F143" s="317">
        <f>'DATA BASE'!L147</f>
        <v>82.1</v>
      </c>
      <c r="G143" s="324">
        <f>'DATA BASE'!M147</f>
        <v>14.320000000000004</v>
      </c>
      <c r="H143" s="328">
        <f>G143-D143</f>
        <v>14.320000000000004</v>
      </c>
    </row>
    <row r="144" spans="1:8" ht="41.25" customHeight="1" x14ac:dyDescent="0.45">
      <c r="A144" s="304"/>
      <c r="B144" s="309"/>
      <c r="C144" s="300"/>
      <c r="D144" s="319"/>
      <c r="E144" s="316"/>
      <c r="F144" s="317"/>
      <c r="G144" s="324"/>
      <c r="H144" s="328"/>
    </row>
    <row r="145" spans="1:8" ht="41.25" customHeight="1" x14ac:dyDescent="0.45">
      <c r="A145" s="304"/>
      <c r="B145" s="309"/>
      <c r="C145" s="300"/>
      <c r="D145" s="319"/>
      <c r="E145" s="316"/>
      <c r="F145" s="317"/>
      <c r="G145" s="324"/>
      <c r="H145" s="328"/>
    </row>
    <row r="146" spans="1:8" ht="41.25" customHeight="1" thickBot="1" x14ac:dyDescent="0.5">
      <c r="A146" s="304"/>
      <c r="B146" s="348">
        <f>SUM(B119:B145)</f>
        <v>1720</v>
      </c>
      <c r="C146" s="349"/>
      <c r="D146" s="348">
        <f>SUM(D119:D145)</f>
        <v>950.68000000000006</v>
      </c>
      <c r="E146" s="348">
        <f>SUM(E119:E145)</f>
        <v>2280</v>
      </c>
      <c r="F146" s="349"/>
      <c r="G146" s="346">
        <f>SUM(G119:G145)</f>
        <v>1244.1499999999999</v>
      </c>
      <c r="H146" s="353"/>
    </row>
    <row r="147" spans="1:8" ht="71.25" customHeight="1" thickTop="1" thickBot="1" x14ac:dyDescent="0.3">
      <c r="A147" s="334" t="s">
        <v>316</v>
      </c>
      <c r="B147" s="335" t="s">
        <v>318</v>
      </c>
      <c r="C147" s="335" t="s">
        <v>317</v>
      </c>
      <c r="D147" s="336" t="s">
        <v>319</v>
      </c>
      <c r="E147" s="335" t="s">
        <v>131</v>
      </c>
      <c r="F147" s="335" t="s">
        <v>132</v>
      </c>
      <c r="G147" s="337" t="s">
        <v>181</v>
      </c>
      <c r="H147" s="337" t="s">
        <v>320</v>
      </c>
    </row>
    <row r="148" spans="1:8" ht="41.25" customHeight="1" thickTop="1" x14ac:dyDescent="0.45">
      <c r="A148" s="304" t="s">
        <v>304</v>
      </c>
      <c r="B148" s="309">
        <f>'DATA BASE'!H148</f>
        <v>600</v>
      </c>
      <c r="C148" s="300">
        <f>'DATA BASE'!I148</f>
        <v>94</v>
      </c>
      <c r="D148" s="319">
        <f>'DATA BASE'!J148</f>
        <v>36.000000000000028</v>
      </c>
      <c r="E148" s="316">
        <f>'DATA BASE'!K148</f>
        <v>600</v>
      </c>
      <c r="F148" s="317">
        <f>'DATA BASE'!L148</f>
        <v>94</v>
      </c>
      <c r="G148" s="324">
        <f>'DATA BASE'!M148</f>
        <v>36.000000000000028</v>
      </c>
      <c r="H148" s="328">
        <f t="shared" ref="H148:H153" si="5">G148-D148</f>
        <v>0</v>
      </c>
    </row>
    <row r="149" spans="1:8" ht="41.25" customHeight="1" x14ac:dyDescent="0.45">
      <c r="A149" s="304" t="s">
        <v>313</v>
      </c>
      <c r="B149" s="309">
        <f>'DATA BASE'!H149</f>
        <v>500</v>
      </c>
      <c r="C149" s="300">
        <f>'DATA BASE'!I149</f>
        <v>93</v>
      </c>
      <c r="D149" s="319">
        <f>'DATA BASE'!J149</f>
        <v>34.999999999999979</v>
      </c>
      <c r="E149" s="316">
        <f>'DATA BASE'!K149</f>
        <v>520</v>
      </c>
      <c r="F149" s="317">
        <f>'DATA BASE'!L149</f>
        <v>95</v>
      </c>
      <c r="G149" s="324">
        <f>'DATA BASE'!M149</f>
        <v>26.000000000000021</v>
      </c>
      <c r="H149" s="328">
        <f t="shared" si="5"/>
        <v>-8.9999999999999574</v>
      </c>
    </row>
    <row r="150" spans="1:8" ht="41.25" customHeight="1" x14ac:dyDescent="0.45">
      <c r="A150" s="304" t="s">
        <v>305</v>
      </c>
      <c r="B150" s="309">
        <f>'DATA BASE'!H150</f>
        <v>100</v>
      </c>
      <c r="C150" s="300">
        <f>'DATA BASE'!I150</f>
        <v>90</v>
      </c>
      <c r="D150" s="319">
        <f>'DATA BASE'!J150</f>
        <v>9.9999999999999982</v>
      </c>
      <c r="E150" s="316">
        <f>'DATA BASE'!K150</f>
        <v>130</v>
      </c>
      <c r="F150" s="317">
        <f>'DATA BASE'!L150</f>
        <v>72.3</v>
      </c>
      <c r="G150" s="324">
        <f>'DATA BASE'!M150</f>
        <v>36.010000000000005</v>
      </c>
      <c r="H150" s="328">
        <f t="shared" si="5"/>
        <v>26.010000000000005</v>
      </c>
    </row>
    <row r="151" spans="1:8" ht="41.25" customHeight="1" x14ac:dyDescent="0.45">
      <c r="A151" s="304" t="s">
        <v>306</v>
      </c>
      <c r="B151" s="309">
        <f>'DATA BASE'!H151</f>
        <v>300</v>
      </c>
      <c r="C151" s="300">
        <f>'DATA BASE'!I151</f>
        <v>92.7</v>
      </c>
      <c r="D151" s="319">
        <f>'DATA BASE'!J151</f>
        <v>21.899999999999984</v>
      </c>
      <c r="E151" s="316">
        <f>'DATA BASE'!K151</f>
        <v>350</v>
      </c>
      <c r="F151" s="317">
        <f>'DATA BASE'!L151</f>
        <v>89.5</v>
      </c>
      <c r="G151" s="324">
        <f>'DATA BASE'!M151</f>
        <v>36.749999999999993</v>
      </c>
      <c r="H151" s="328">
        <f t="shared" si="5"/>
        <v>14.850000000000009</v>
      </c>
    </row>
    <row r="152" spans="1:8" ht="41.25" customHeight="1" x14ac:dyDescent="0.45">
      <c r="A152" s="304" t="s">
        <v>308</v>
      </c>
      <c r="B152" s="309">
        <f>'DATA BASE'!H152</f>
        <v>0</v>
      </c>
      <c r="C152" s="300">
        <f>'DATA BASE'!I152</f>
        <v>88</v>
      </c>
      <c r="D152" s="319">
        <f>'DATA BASE'!J152</f>
        <v>0</v>
      </c>
      <c r="E152" s="316">
        <f>'DATA BASE'!K152</f>
        <v>0</v>
      </c>
      <c r="F152" s="317">
        <f>'DATA BASE'!L152</f>
        <v>98</v>
      </c>
      <c r="G152" s="324">
        <f>'DATA BASE'!M152</f>
        <v>0</v>
      </c>
      <c r="H152" s="328">
        <f t="shared" si="5"/>
        <v>0</v>
      </c>
    </row>
    <row r="153" spans="1:8" ht="41.25" customHeight="1" thickBot="1" x14ac:dyDescent="0.5">
      <c r="A153" s="306" t="s">
        <v>307</v>
      </c>
      <c r="B153" s="311">
        <f>'DATA BASE'!H153</f>
        <v>100</v>
      </c>
      <c r="C153" s="301">
        <f>'DATA BASE'!I153</f>
        <v>12</v>
      </c>
      <c r="D153" s="321">
        <f>'DATA BASE'!J153</f>
        <v>88</v>
      </c>
      <c r="E153" s="341">
        <f>'DATA BASE'!K153</f>
        <v>100</v>
      </c>
      <c r="F153" s="342">
        <f>'DATA BASE'!L153</f>
        <v>33.6</v>
      </c>
      <c r="G153" s="343">
        <f>'DATA BASE'!M153</f>
        <v>66.399999999999991</v>
      </c>
      <c r="H153" s="339">
        <f t="shared" si="5"/>
        <v>-21.600000000000009</v>
      </c>
    </row>
    <row r="154" spans="1:8" ht="41.25" customHeight="1" thickTop="1" x14ac:dyDescent="0.45">
      <c r="A154" s="303"/>
      <c r="B154" s="308"/>
      <c r="C154" s="299"/>
      <c r="D154" s="318"/>
      <c r="E154" s="314"/>
      <c r="F154" s="315"/>
      <c r="G154" s="323"/>
      <c r="H154" s="344"/>
    </row>
    <row r="155" spans="1:8" ht="41.25" customHeight="1" x14ac:dyDescent="0.45">
      <c r="A155" s="304"/>
      <c r="B155" s="310"/>
      <c r="C155" s="300"/>
      <c r="D155" s="320"/>
      <c r="E155" s="316"/>
      <c r="F155" s="317"/>
      <c r="G155" s="325"/>
      <c r="H155" s="345"/>
    </row>
    <row r="156" spans="1:8" ht="41.25" customHeight="1" x14ac:dyDescent="0.45">
      <c r="A156" s="304"/>
      <c r="B156" s="309"/>
      <c r="C156" s="300"/>
      <c r="D156" s="319"/>
      <c r="E156" s="316"/>
      <c r="F156" s="317"/>
      <c r="G156" s="324"/>
      <c r="H156" s="345"/>
    </row>
    <row r="157" spans="1:8" ht="41.25" customHeight="1" thickBot="1" x14ac:dyDescent="0.5">
      <c r="A157" s="304"/>
      <c r="B157" s="348">
        <f>SUM(B148:B156)</f>
        <v>1600</v>
      </c>
      <c r="C157" s="349"/>
      <c r="D157" s="348">
        <f>SUM(D148:D153)</f>
        <v>190.89999999999998</v>
      </c>
      <c r="E157" s="348">
        <f>SUM(E148:E153)</f>
        <v>1700</v>
      </c>
      <c r="F157" s="349"/>
      <c r="G157" s="346">
        <f>SUM(G148:G153)</f>
        <v>201.16000000000003</v>
      </c>
      <c r="H157" s="353"/>
    </row>
    <row r="158" spans="1:8" ht="41.25" customHeight="1" thickTop="1" x14ac:dyDescent="0.45">
      <c r="A158" s="354"/>
      <c r="B158" s="365"/>
      <c r="C158" s="358"/>
      <c r="D158" s="359"/>
      <c r="E158" s="365"/>
      <c r="F158" s="358"/>
      <c r="G158" s="359"/>
      <c r="H158" s="360"/>
    </row>
    <row r="159" spans="1:8" ht="41.25" customHeight="1" x14ac:dyDescent="0.45">
      <c r="A159" s="355"/>
      <c r="B159" s="357"/>
      <c r="C159" s="357"/>
      <c r="D159" s="361"/>
      <c r="E159" s="356"/>
      <c r="F159" s="357"/>
      <c r="G159" s="362"/>
      <c r="H159" s="363"/>
    </row>
    <row r="160" spans="1:8" ht="41.25" customHeight="1" x14ac:dyDescent="0.25"/>
    <row r="161" spans="1:9" ht="41.25" customHeight="1" x14ac:dyDescent="0.25"/>
    <row r="162" spans="1:9" ht="41.25" customHeight="1" x14ac:dyDescent="0.25"/>
    <row r="163" spans="1:9" ht="41.25" customHeight="1" thickBot="1" x14ac:dyDescent="0.3"/>
    <row r="164" spans="1:9" ht="41.25" customHeight="1" thickTop="1" x14ac:dyDescent="0.35">
      <c r="A164" s="767" t="s">
        <v>321</v>
      </c>
      <c r="B164" s="768"/>
      <c r="C164" s="813" t="e">
        <f>B157+B146+B117+B88+B58+B31</f>
        <v>#REF!</v>
      </c>
      <c r="D164" s="814"/>
      <c r="E164" s="540" t="s">
        <v>328</v>
      </c>
      <c r="F164" s="775" t="e">
        <f>C164*6.289</f>
        <v>#REF!</v>
      </c>
      <c r="G164" s="776"/>
      <c r="H164" s="759" t="s">
        <v>276</v>
      </c>
      <c r="I164" s="760"/>
    </row>
    <row r="165" spans="1:9" ht="41.25" customHeight="1" x14ac:dyDescent="0.35">
      <c r="A165" s="771" t="s">
        <v>325</v>
      </c>
      <c r="B165" s="772"/>
      <c r="C165" s="773" t="e">
        <f>D157+D146+D117+D88+D58+D31</f>
        <v>#REF!</v>
      </c>
      <c r="D165" s="774"/>
      <c r="E165" s="541" t="s">
        <v>328</v>
      </c>
      <c r="F165" s="727" t="e">
        <f>C165*6.283</f>
        <v>#REF!</v>
      </c>
      <c r="G165" s="728"/>
      <c r="H165" s="761" t="s">
        <v>276</v>
      </c>
      <c r="I165" s="762"/>
    </row>
    <row r="166" spans="1:9" ht="41.25" customHeight="1" x14ac:dyDescent="0.35">
      <c r="A166" s="753" t="s">
        <v>322</v>
      </c>
      <c r="B166" s="754"/>
      <c r="C166" s="745" t="e">
        <f>E157+E146+E117+E88+E58+E31</f>
        <v>#REF!</v>
      </c>
      <c r="D166" s="746"/>
      <c r="E166" s="541" t="s">
        <v>328</v>
      </c>
      <c r="F166" s="777" t="e">
        <f t="shared" ref="F166:F171" si="6">C166*6.289</f>
        <v>#REF!</v>
      </c>
      <c r="G166" s="778"/>
      <c r="H166" s="761" t="s">
        <v>276</v>
      </c>
      <c r="I166" s="762"/>
    </row>
    <row r="167" spans="1:9" ht="41.25" customHeight="1" x14ac:dyDescent="0.35">
      <c r="A167" s="753" t="s">
        <v>323</v>
      </c>
      <c r="B167" s="754"/>
      <c r="C167" s="745" t="e">
        <f>G157+G146+G117+G88+G58+G31</f>
        <v>#REF!</v>
      </c>
      <c r="D167" s="746"/>
      <c r="E167" s="541" t="s">
        <v>328</v>
      </c>
      <c r="F167" s="727" t="e">
        <f t="shared" si="6"/>
        <v>#REF!</v>
      </c>
      <c r="G167" s="728"/>
      <c r="H167" s="761" t="s">
        <v>276</v>
      </c>
      <c r="I167" s="762"/>
    </row>
    <row r="168" spans="1:9" ht="41.25" customHeight="1" x14ac:dyDescent="0.35">
      <c r="A168" s="753" t="s">
        <v>329</v>
      </c>
      <c r="B168" s="754"/>
      <c r="C168" s="745">
        <f>G157</f>
        <v>201.16000000000003</v>
      </c>
      <c r="D168" s="746"/>
      <c r="E168" s="541" t="s">
        <v>328</v>
      </c>
      <c r="F168" s="777">
        <f t="shared" si="6"/>
        <v>1265.0952400000001</v>
      </c>
      <c r="G168" s="778"/>
      <c r="H168" s="761" t="s">
        <v>276</v>
      </c>
      <c r="I168" s="762"/>
    </row>
    <row r="169" spans="1:9" ht="41.25" customHeight="1" x14ac:dyDescent="0.35">
      <c r="A169" s="753" t="s">
        <v>324</v>
      </c>
      <c r="B169" s="754"/>
      <c r="C169" s="745" t="e">
        <f>C167-C168</f>
        <v>#REF!</v>
      </c>
      <c r="D169" s="746"/>
      <c r="E169" s="541" t="s">
        <v>328</v>
      </c>
      <c r="F169" s="727" t="e">
        <f t="shared" si="6"/>
        <v>#REF!</v>
      </c>
      <c r="G169" s="728"/>
      <c r="H169" s="761" t="s">
        <v>276</v>
      </c>
      <c r="I169" s="762"/>
    </row>
    <row r="170" spans="1:9" ht="41.25" customHeight="1" x14ac:dyDescent="0.35">
      <c r="A170" s="749" t="s">
        <v>327</v>
      </c>
      <c r="B170" s="750"/>
      <c r="C170" s="751" t="e">
        <f>C166-C167</f>
        <v>#REF!</v>
      </c>
      <c r="D170" s="752"/>
      <c r="E170" s="542" t="s">
        <v>328</v>
      </c>
      <c r="F170" s="806" t="e">
        <f t="shared" si="6"/>
        <v>#REF!</v>
      </c>
      <c r="G170" s="807"/>
      <c r="H170" s="798" t="s">
        <v>276</v>
      </c>
      <c r="I170" s="799"/>
    </row>
    <row r="171" spans="1:9" ht="41.25" customHeight="1" thickBot="1" x14ac:dyDescent="0.4">
      <c r="A171" s="741" t="s">
        <v>326</v>
      </c>
      <c r="B171" s="742"/>
      <c r="C171" s="747" t="e">
        <f>C165-C167</f>
        <v>#REF!</v>
      </c>
      <c r="D171" s="748"/>
      <c r="E171" s="543" t="s">
        <v>328</v>
      </c>
      <c r="F171" s="808" t="e">
        <f t="shared" si="6"/>
        <v>#REF!</v>
      </c>
      <c r="G171" s="809"/>
      <c r="H171" s="800" t="s">
        <v>276</v>
      </c>
      <c r="I171" s="801"/>
    </row>
    <row r="172" spans="1:9" ht="41.25" customHeight="1" thickTop="1" x14ac:dyDescent="0.25"/>
    <row r="173" spans="1:9" ht="41.25" customHeight="1" x14ac:dyDescent="0.25"/>
    <row r="174" spans="1:9" ht="41.25" customHeight="1" x14ac:dyDescent="0.25"/>
    <row r="175" spans="1:9" ht="41.25" customHeight="1" x14ac:dyDescent="0.25"/>
    <row r="176" spans="1:9" ht="41.25" customHeight="1" x14ac:dyDescent="0.25"/>
    <row r="177" ht="41.25" customHeight="1" x14ac:dyDescent="0.25"/>
    <row r="178" ht="41.25" customHeight="1" x14ac:dyDescent="0.25"/>
    <row r="179" ht="41.25" customHeight="1" x14ac:dyDescent="0.25"/>
    <row r="180" ht="41.25" customHeight="1" x14ac:dyDescent="0.25"/>
    <row r="181" ht="41.25" customHeight="1" x14ac:dyDescent="0.25"/>
    <row r="182" ht="41.25" customHeight="1" x14ac:dyDescent="0.25"/>
    <row r="183" ht="41.25" customHeight="1" x14ac:dyDescent="0.25"/>
    <row r="184" ht="41.25" customHeight="1" x14ac:dyDescent="0.25"/>
    <row r="185" ht="41.25" customHeight="1" x14ac:dyDescent="0.25"/>
    <row r="186" ht="41.25" customHeight="1" x14ac:dyDescent="0.25"/>
    <row r="187" ht="41.25" customHeight="1" x14ac:dyDescent="0.25"/>
    <row r="188" ht="41.25" customHeight="1" x14ac:dyDescent="0.25"/>
    <row r="189" ht="41.25" customHeight="1" x14ac:dyDescent="0.25"/>
    <row r="190" ht="41.25" customHeight="1" x14ac:dyDescent="0.25"/>
    <row r="191" ht="41.25" customHeight="1" x14ac:dyDescent="0.25"/>
    <row r="192" ht="41.25" customHeight="1" x14ac:dyDescent="0.25"/>
    <row r="193" ht="41.25" customHeight="1" x14ac:dyDescent="0.25"/>
    <row r="194" ht="41.25" customHeight="1" x14ac:dyDescent="0.25"/>
    <row r="195" ht="41.25" customHeight="1" x14ac:dyDescent="0.25"/>
    <row r="196" ht="41.25" customHeight="1" x14ac:dyDescent="0.25"/>
    <row r="197" ht="41.25" customHeight="1" x14ac:dyDescent="0.25"/>
    <row r="198" ht="41.25" customHeight="1" x14ac:dyDescent="0.25"/>
    <row r="199" ht="41.25" customHeight="1" x14ac:dyDescent="0.25"/>
    <row r="200" ht="41.25" customHeight="1" x14ac:dyDescent="0.25"/>
    <row r="201" ht="41.25" customHeight="1" x14ac:dyDescent="0.25"/>
    <row r="202" ht="41.25" customHeight="1" x14ac:dyDescent="0.25"/>
    <row r="203" ht="41.25" customHeight="1" x14ac:dyDescent="0.25"/>
    <row r="204" ht="41.25" customHeight="1" x14ac:dyDescent="0.25"/>
    <row r="205" ht="41.25" customHeight="1" x14ac:dyDescent="0.25"/>
    <row r="206" ht="41.25" customHeight="1" x14ac:dyDescent="0.25"/>
    <row r="207" ht="41.25" customHeight="1" x14ac:dyDescent="0.25"/>
    <row r="208" ht="41.25" customHeight="1" x14ac:dyDescent="0.25"/>
    <row r="209" ht="41.25" customHeight="1" x14ac:dyDescent="0.25"/>
    <row r="210" ht="41.25" customHeight="1" x14ac:dyDescent="0.25"/>
    <row r="211" ht="41.25" customHeight="1" x14ac:dyDescent="0.25"/>
    <row r="212" ht="41.25" customHeight="1" x14ac:dyDescent="0.25"/>
    <row r="213" ht="41.25" customHeight="1" x14ac:dyDescent="0.25"/>
    <row r="214" ht="41.25" customHeight="1" x14ac:dyDescent="0.25"/>
    <row r="215" ht="41.25" customHeight="1" x14ac:dyDescent="0.25"/>
    <row r="216" ht="41.25" customHeight="1" x14ac:dyDescent="0.25"/>
    <row r="217" ht="41.25" customHeight="1" x14ac:dyDescent="0.25"/>
    <row r="218" ht="41.25" customHeight="1" x14ac:dyDescent="0.25"/>
    <row r="219" ht="41.25" customHeight="1" x14ac:dyDescent="0.25"/>
    <row r="220" ht="41.25" customHeight="1" x14ac:dyDescent="0.25"/>
    <row r="221" ht="41.25" customHeight="1" x14ac:dyDescent="0.25"/>
    <row r="222" ht="41.25" customHeight="1" x14ac:dyDescent="0.25"/>
    <row r="223" ht="41.25" customHeight="1" x14ac:dyDescent="0.25"/>
    <row r="224" ht="41.25" customHeight="1" x14ac:dyDescent="0.25"/>
    <row r="225" ht="41.25" customHeight="1" x14ac:dyDescent="0.25"/>
    <row r="226" ht="41.25" customHeight="1" x14ac:dyDescent="0.25"/>
    <row r="227" ht="41.25" customHeight="1" x14ac:dyDescent="0.25"/>
    <row r="228" ht="41.25" customHeight="1" x14ac:dyDescent="0.25"/>
    <row r="229" ht="41.25" customHeight="1" x14ac:dyDescent="0.25"/>
    <row r="230" ht="41.25" customHeight="1" x14ac:dyDescent="0.25"/>
    <row r="231" ht="41.25" customHeight="1" x14ac:dyDescent="0.25"/>
    <row r="232" ht="41.25" customHeight="1" x14ac:dyDescent="0.25"/>
    <row r="233" ht="41.25" customHeight="1" x14ac:dyDescent="0.25"/>
    <row r="234" ht="41.25" customHeight="1" x14ac:dyDescent="0.25"/>
    <row r="235" ht="41.25" customHeight="1" x14ac:dyDescent="0.25"/>
    <row r="236" ht="41.25" customHeight="1" x14ac:dyDescent="0.25"/>
    <row r="237" ht="41.25" customHeight="1" x14ac:dyDescent="0.25"/>
    <row r="238" ht="41.25" customHeight="1" x14ac:dyDescent="0.25"/>
    <row r="239" ht="41.25" customHeight="1" x14ac:dyDescent="0.25"/>
    <row r="240" ht="41.25" customHeight="1" x14ac:dyDescent="0.25"/>
    <row r="241" ht="41.25" customHeight="1" x14ac:dyDescent="0.25"/>
    <row r="242" ht="41.25" customHeight="1" x14ac:dyDescent="0.25"/>
    <row r="243" ht="41.25" customHeight="1" x14ac:dyDescent="0.25"/>
    <row r="244" ht="41.25" customHeight="1" x14ac:dyDescent="0.25"/>
    <row r="245" ht="41.25" customHeight="1" x14ac:dyDescent="0.25"/>
    <row r="246" ht="41.25" customHeight="1" x14ac:dyDescent="0.25"/>
    <row r="247" ht="41.25" customHeight="1" x14ac:dyDescent="0.25"/>
    <row r="248" ht="41.25" customHeight="1" x14ac:dyDescent="0.25"/>
    <row r="249" ht="41.25" customHeight="1" x14ac:dyDescent="0.25"/>
    <row r="250" ht="41.25" customHeight="1" x14ac:dyDescent="0.25"/>
    <row r="251" ht="41.25" customHeight="1" x14ac:dyDescent="0.25"/>
    <row r="252" ht="41.25" customHeight="1" x14ac:dyDescent="0.25"/>
    <row r="253" ht="41.25" customHeight="1" x14ac:dyDescent="0.25"/>
    <row r="254" ht="41.25" customHeight="1" x14ac:dyDescent="0.25"/>
    <row r="255" ht="41.25" customHeight="1" x14ac:dyDescent="0.25"/>
    <row r="256" ht="41.25" customHeight="1" x14ac:dyDescent="0.25"/>
    <row r="257" ht="41.25" customHeight="1" x14ac:dyDescent="0.25"/>
    <row r="258" ht="41.25" customHeight="1" x14ac:dyDescent="0.25"/>
    <row r="259" ht="41.25" customHeight="1" x14ac:dyDescent="0.25"/>
    <row r="260" ht="41.25" customHeight="1" x14ac:dyDescent="0.25"/>
    <row r="261" ht="41.25" customHeight="1" x14ac:dyDescent="0.25"/>
    <row r="262" ht="41.25" customHeight="1" x14ac:dyDescent="0.25"/>
    <row r="263" ht="41.25" customHeight="1" x14ac:dyDescent="0.25"/>
    <row r="264" ht="41.25" customHeight="1" x14ac:dyDescent="0.25"/>
    <row r="265" ht="41.25" customHeight="1" x14ac:dyDescent="0.25"/>
    <row r="266" ht="41.25" customHeight="1" x14ac:dyDescent="0.25"/>
    <row r="267" ht="41.25" customHeight="1" x14ac:dyDescent="0.25"/>
    <row r="268" ht="41.25" customHeight="1" x14ac:dyDescent="0.25"/>
    <row r="269" ht="41.25" customHeight="1" x14ac:dyDescent="0.25"/>
    <row r="270" ht="41.25" customHeight="1" x14ac:dyDescent="0.25"/>
    <row r="271" ht="41.25" customHeight="1" x14ac:dyDescent="0.25"/>
    <row r="272" ht="41.25" customHeight="1" x14ac:dyDescent="0.25"/>
    <row r="273" ht="41.25" customHeight="1" x14ac:dyDescent="0.25"/>
    <row r="274" ht="41.25" customHeight="1" x14ac:dyDescent="0.25"/>
    <row r="275" ht="41.25" customHeight="1" x14ac:dyDescent="0.25"/>
    <row r="276" ht="41.25" customHeight="1" x14ac:dyDescent="0.25"/>
    <row r="277" ht="41.25" customHeight="1" x14ac:dyDescent="0.25"/>
    <row r="278" ht="41.25" customHeight="1" x14ac:dyDescent="0.25"/>
    <row r="279" ht="41.25" customHeight="1" x14ac:dyDescent="0.25"/>
    <row r="280" ht="41.25" customHeight="1" x14ac:dyDescent="0.25"/>
    <row r="281" ht="41.25" customHeight="1" x14ac:dyDescent="0.25"/>
    <row r="282" ht="41.25" customHeight="1" x14ac:dyDescent="0.25"/>
    <row r="283" ht="41.25" customHeight="1" x14ac:dyDescent="0.25"/>
    <row r="284" ht="41.25" customHeight="1" x14ac:dyDescent="0.25"/>
    <row r="285" ht="41.25" customHeight="1" x14ac:dyDescent="0.25"/>
    <row r="286" ht="41.25" customHeight="1" x14ac:dyDescent="0.25"/>
    <row r="287" ht="41.25" customHeight="1" x14ac:dyDescent="0.25"/>
    <row r="288" ht="41.25" customHeight="1" x14ac:dyDescent="0.25"/>
    <row r="289" ht="41.25" customHeight="1" x14ac:dyDescent="0.25"/>
    <row r="290" ht="41.25" customHeight="1" x14ac:dyDescent="0.25"/>
    <row r="291" ht="41.25" customHeight="1" x14ac:dyDescent="0.25"/>
    <row r="292" ht="41.25" customHeight="1" x14ac:dyDescent="0.25"/>
    <row r="293" ht="41.25" customHeight="1" x14ac:dyDescent="0.25"/>
    <row r="294" ht="41.25" customHeight="1" x14ac:dyDescent="0.25"/>
    <row r="295" ht="41.25" customHeight="1" x14ac:dyDescent="0.25"/>
    <row r="296" ht="41.25" customHeight="1" x14ac:dyDescent="0.25"/>
    <row r="297" ht="41.25" customHeight="1" x14ac:dyDescent="0.25"/>
    <row r="298" ht="41.25" customHeight="1" x14ac:dyDescent="0.25"/>
    <row r="299" ht="41.25" customHeight="1" x14ac:dyDescent="0.25"/>
    <row r="300" ht="41.25" customHeight="1" x14ac:dyDescent="0.25"/>
    <row r="301" ht="41.25" customHeight="1" x14ac:dyDescent="0.25"/>
    <row r="302" ht="41.25" customHeight="1" x14ac:dyDescent="0.25"/>
    <row r="303" ht="41.25" customHeight="1" x14ac:dyDescent="0.25"/>
    <row r="304" ht="41.25" customHeight="1" x14ac:dyDescent="0.25"/>
    <row r="305" ht="41.25" customHeight="1" x14ac:dyDescent="0.25"/>
    <row r="306" ht="41.25" customHeight="1" x14ac:dyDescent="0.25"/>
    <row r="307" ht="41.25" customHeight="1" x14ac:dyDescent="0.25"/>
    <row r="308" ht="41.25" customHeight="1" x14ac:dyDescent="0.25"/>
    <row r="309" ht="41.25" customHeight="1" x14ac:dyDescent="0.25"/>
    <row r="310" ht="41.25" customHeight="1" x14ac:dyDescent="0.25"/>
    <row r="311" ht="41.25" customHeight="1" x14ac:dyDescent="0.25"/>
    <row r="312" ht="41.25" customHeight="1" x14ac:dyDescent="0.25"/>
    <row r="313" ht="41.25" customHeight="1" x14ac:dyDescent="0.25"/>
    <row r="314" ht="41.25" customHeight="1" x14ac:dyDescent="0.25"/>
    <row r="315" ht="41.25" customHeight="1" x14ac:dyDescent="0.25"/>
    <row r="316" ht="41.25" customHeight="1" x14ac:dyDescent="0.25"/>
    <row r="317" ht="41.25" customHeight="1" x14ac:dyDescent="0.25"/>
    <row r="318" ht="41.25" customHeight="1" x14ac:dyDescent="0.25"/>
    <row r="319" ht="41.25" customHeight="1" x14ac:dyDescent="0.25"/>
    <row r="320" ht="41.25" customHeight="1" x14ac:dyDescent="0.25"/>
    <row r="321" ht="41.25" customHeight="1" x14ac:dyDescent="0.25"/>
    <row r="322" ht="41.25" customHeight="1" x14ac:dyDescent="0.25"/>
    <row r="323" ht="41.25" customHeight="1" x14ac:dyDescent="0.25"/>
    <row r="324" ht="41.25" customHeight="1" x14ac:dyDescent="0.25"/>
    <row r="325" ht="41.25" customHeight="1" x14ac:dyDescent="0.25"/>
    <row r="326" ht="41.25" customHeight="1" x14ac:dyDescent="0.25"/>
    <row r="327" ht="41.25" customHeight="1" x14ac:dyDescent="0.25"/>
    <row r="328" ht="41.25" customHeight="1" x14ac:dyDescent="0.25"/>
  </sheetData>
  <mergeCells count="32">
    <mergeCell ref="A164:B164"/>
    <mergeCell ref="C164:D164"/>
    <mergeCell ref="F164:G164"/>
    <mergeCell ref="H164:I164"/>
    <mergeCell ref="A165:B165"/>
    <mergeCell ref="C165:D165"/>
    <mergeCell ref="F165:G165"/>
    <mergeCell ref="H165:I165"/>
    <mergeCell ref="A166:B166"/>
    <mergeCell ref="C166:D166"/>
    <mergeCell ref="F166:G166"/>
    <mergeCell ref="H166:I166"/>
    <mergeCell ref="A167:B167"/>
    <mergeCell ref="C167:D167"/>
    <mergeCell ref="F167:G167"/>
    <mergeCell ref="H167:I167"/>
    <mergeCell ref="A168:B168"/>
    <mergeCell ref="C168:D168"/>
    <mergeCell ref="F168:G168"/>
    <mergeCell ref="H168:I168"/>
    <mergeCell ref="A169:B169"/>
    <mergeCell ref="C169:D169"/>
    <mergeCell ref="F169:G169"/>
    <mergeCell ref="H169:I169"/>
    <mergeCell ref="A170:B170"/>
    <mergeCell ref="C170:D170"/>
    <mergeCell ref="F170:G170"/>
    <mergeCell ref="H170:I170"/>
    <mergeCell ref="A171:B171"/>
    <mergeCell ref="C171:D171"/>
    <mergeCell ref="F171:G171"/>
    <mergeCell ref="H171:I171"/>
  </mergeCells>
  <dataValidations count="1">
    <dataValidation type="list" allowBlank="1" showInputMessage="1" showErrorMessage="1" error="Please Select a right value from the list" sqref="A139:A143 A33:A58 A90:A117 A74:A88 A60:A69 A119:A134 A148:A153">
      <formula1>$B$3:$B$140</formula1>
    </dataValidation>
  </dataValidations>
  <pageMargins left="0.7" right="0.7" top="0.75" bottom="0.75" header="0.3" footer="0.3"/>
  <pageSetup paperSize="9" scale="60" orientation="portrait" r:id="rId1"/>
  <rowBreaks count="1" manualBreakCount="1">
    <brk id="31" max="7" man="1"/>
  </rowBreaks>
  <colBreaks count="1" manualBreakCount="1">
    <brk id="8" max="135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Please Select a right value from the list">
          <x14:formula1>
            <xm:f>' Data Lists'!$B$3:$B$147</xm:f>
          </x14:formula1>
          <xm:sqref>A2:A31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A70:A72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8"/>
  <sheetViews>
    <sheetView view="pageBreakPreview" topLeftCell="A174" zoomScale="112" zoomScaleNormal="100" zoomScaleSheetLayoutView="112" workbookViewId="0">
      <selection activeCell="A7" sqref="A7:XFD7"/>
    </sheetView>
  </sheetViews>
  <sheetFormatPr defaultRowHeight="15" x14ac:dyDescent="0.25"/>
  <cols>
    <col min="1" max="1" width="11.5703125" customWidth="1"/>
    <col min="2" max="2" width="13.42578125" customWidth="1"/>
    <col min="4" max="4" width="12.42578125" customWidth="1"/>
    <col min="5" max="5" width="14.28515625" customWidth="1"/>
    <col min="6" max="6" width="11.5703125" customWidth="1"/>
    <col min="7" max="7" width="12.5703125" customWidth="1"/>
    <col min="8" max="8" width="12.140625" customWidth="1"/>
    <col min="9" max="9" width="12" customWidth="1"/>
    <col min="11" max="11" width="16.28515625" style="470" customWidth="1"/>
  </cols>
  <sheetData>
    <row r="1" spans="1:11" ht="78.75" customHeight="1" thickTop="1" thickBot="1" x14ac:dyDescent="0.3">
      <c r="A1" s="373" t="s">
        <v>316</v>
      </c>
      <c r="B1" s="374" t="s">
        <v>318</v>
      </c>
      <c r="C1" s="374" t="s">
        <v>317</v>
      </c>
      <c r="D1" s="375" t="s">
        <v>319</v>
      </c>
      <c r="E1" s="374" t="s">
        <v>131</v>
      </c>
      <c r="F1" s="374" t="s">
        <v>132</v>
      </c>
      <c r="G1" s="376" t="s">
        <v>181</v>
      </c>
      <c r="H1" s="377" t="s">
        <v>320</v>
      </c>
      <c r="I1" s="377" t="s">
        <v>262</v>
      </c>
      <c r="K1" s="472" t="s">
        <v>134</v>
      </c>
    </row>
    <row r="2" spans="1:11" ht="37.5" customHeight="1" thickTop="1" x14ac:dyDescent="0.25">
      <c r="A2" s="6" t="s">
        <v>27</v>
      </c>
      <c r="B2" s="308">
        <f>'DATA BASE'!H8</f>
        <v>75</v>
      </c>
      <c r="C2" s="299">
        <f>'DATA BASE'!I8</f>
        <v>66</v>
      </c>
      <c r="D2" s="318">
        <f>'DATA BASE'!J8</f>
        <v>25.499999999999996</v>
      </c>
      <c r="E2" s="314">
        <f>'DATA BASE'!K8</f>
        <v>85</v>
      </c>
      <c r="F2" s="315">
        <f>'DATA BASE'!L8</f>
        <v>68.599999999999994</v>
      </c>
      <c r="G2" s="323">
        <f>'DATA BASE'!M8</f>
        <v>26.690000000000005</v>
      </c>
      <c r="H2" s="378">
        <f>G2-D2</f>
        <v>1.1900000000000084</v>
      </c>
      <c r="I2" s="328" t="s">
        <v>330</v>
      </c>
      <c r="K2" s="466">
        <f>'DATA BASE'!$O$8</f>
        <v>0.06</v>
      </c>
    </row>
    <row r="3" spans="1:11" ht="37.5" customHeight="1" x14ac:dyDescent="0.25">
      <c r="A3" s="6" t="s">
        <v>56</v>
      </c>
      <c r="B3" s="309">
        <f>'DATA BASE'!H38</f>
        <v>170</v>
      </c>
      <c r="C3" s="300">
        <f>'DATA BASE'!I38</f>
        <v>85</v>
      </c>
      <c r="D3" s="319">
        <f>'DATA BASE'!J38</f>
        <v>25.500000000000004</v>
      </c>
      <c r="E3" s="316">
        <f>'DATA BASE'!K38</f>
        <v>170</v>
      </c>
      <c r="F3" s="317">
        <f>'DATA BASE'!L38</f>
        <v>85.4</v>
      </c>
      <c r="G3" s="324">
        <f>'DATA BASE'!M38</f>
        <v>24.819999999999986</v>
      </c>
      <c r="H3" s="378">
        <f t="shared" ref="H3:H22" si="0">G3-D3</f>
        <v>-0.68000000000001748</v>
      </c>
      <c r="I3" s="328" t="s">
        <v>330</v>
      </c>
      <c r="K3" s="466">
        <f>'DATA BASE'!$O$38</f>
        <v>0.04</v>
      </c>
    </row>
    <row r="4" spans="1:11" ht="37.5" customHeight="1" x14ac:dyDescent="0.25">
      <c r="A4" s="6" t="s">
        <v>67</v>
      </c>
      <c r="B4" s="309">
        <f>'DATA BASE'!H50</f>
        <v>0</v>
      </c>
      <c r="C4" s="300">
        <f>'DATA BASE'!I50</f>
        <v>80</v>
      </c>
      <c r="D4" s="319">
        <f>'DATA BASE'!J50</f>
        <v>0</v>
      </c>
      <c r="E4" s="316">
        <f>'DATA BASE'!K50</f>
        <v>0</v>
      </c>
      <c r="F4" s="317">
        <f>'DATA BASE'!L50</f>
        <v>76.7</v>
      </c>
      <c r="G4" s="324">
        <f>'DATA BASE'!M50</f>
        <v>0</v>
      </c>
      <c r="H4" s="378">
        <f t="shared" si="0"/>
        <v>0</v>
      </c>
      <c r="I4" s="328" t="s">
        <v>330</v>
      </c>
      <c r="K4" s="466">
        <f>'DATA BASE'!$O$50</f>
        <v>0.03</v>
      </c>
    </row>
    <row r="5" spans="1:11" ht="37.5" customHeight="1" x14ac:dyDescent="0.25">
      <c r="A5" s="379" t="s">
        <v>86</v>
      </c>
      <c r="B5" s="331">
        <f>'DATA BASE'!H66</f>
        <v>200</v>
      </c>
      <c r="C5" s="330">
        <f>'DATA BASE'!I66</f>
        <v>27.8</v>
      </c>
      <c r="D5" s="380">
        <f>'DATA BASE'!J66</f>
        <v>144.4</v>
      </c>
      <c r="E5" s="381">
        <f>'DATA BASE'!K66</f>
        <v>200</v>
      </c>
      <c r="F5" s="382">
        <f>'DATA BASE'!L66</f>
        <v>4.8</v>
      </c>
      <c r="G5" s="383">
        <f>'DATA BASE'!M66</f>
        <v>190.39999999999998</v>
      </c>
      <c r="H5" s="384">
        <f t="shared" si="0"/>
        <v>45.999999999999972</v>
      </c>
      <c r="I5" s="332" t="s">
        <v>330</v>
      </c>
      <c r="K5" s="466">
        <f>'DATA BASE'!$O$66</f>
        <v>0</v>
      </c>
    </row>
    <row r="6" spans="1:11" ht="37.5" customHeight="1" thickBot="1" x14ac:dyDescent="0.3">
      <c r="A6" s="379" t="s">
        <v>386</v>
      </c>
      <c r="B6" s="331">
        <f>'DATA BASE'!H72</f>
        <v>0</v>
      </c>
      <c r="C6" s="330">
        <f>'DATA BASE'!I72</f>
        <v>0</v>
      </c>
      <c r="D6" s="380">
        <f>'DATA BASE'!J72</f>
        <v>0</v>
      </c>
      <c r="E6" s="381">
        <f>'DATA BASE'!K72</f>
        <v>0</v>
      </c>
      <c r="F6" s="382">
        <f>'DATA BASE'!L72</f>
        <v>0</v>
      </c>
      <c r="G6" s="383">
        <f>'DATA BASE'!M72</f>
        <v>0</v>
      </c>
      <c r="H6" s="384"/>
      <c r="I6" s="332"/>
      <c r="K6" s="630"/>
    </row>
    <row r="7" spans="1:11" ht="37.5" customHeight="1" thickTop="1" thickBot="1" x14ac:dyDescent="0.3">
      <c r="A7" s="643" t="s">
        <v>331</v>
      </c>
      <c r="B7" s="640">
        <f>SUM(B2:B6)</f>
        <v>445</v>
      </c>
      <c r="C7" s="641"/>
      <c r="D7" s="642">
        <f>SUM(D2:D6)</f>
        <v>195.4</v>
      </c>
      <c r="E7" s="640">
        <f>SUM(E2:E6)</f>
        <v>455</v>
      </c>
      <c r="F7" s="641"/>
      <c r="G7" s="642">
        <f>SUM(G2:G6)</f>
        <v>241.90999999999997</v>
      </c>
      <c r="H7" s="641">
        <f>SUM(H2:H6)</f>
        <v>46.509999999999962</v>
      </c>
      <c r="I7" s="641"/>
      <c r="K7" s="471">
        <f>SUM(K2:K5)</f>
        <v>0.13</v>
      </c>
    </row>
    <row r="8" spans="1:11" ht="37.5" customHeight="1" thickTop="1" x14ac:dyDescent="0.25">
      <c r="A8" s="91" t="s">
        <v>28</v>
      </c>
      <c r="B8" s="366">
        <f>'DATA BASE'!H9</f>
        <v>80</v>
      </c>
      <c r="C8" s="367">
        <f>'DATA BASE'!I9</f>
        <v>79.599999999999994</v>
      </c>
      <c r="D8" s="368">
        <f>'DATA BASE'!J9</f>
        <v>16.320000000000007</v>
      </c>
      <c r="E8" s="369">
        <f>'DATA BASE'!K9</f>
        <v>80</v>
      </c>
      <c r="F8" s="370">
        <f>'DATA BASE'!L9</f>
        <v>0.8</v>
      </c>
      <c r="G8" s="371">
        <f>'DATA BASE'!M9</f>
        <v>79.36</v>
      </c>
      <c r="H8" s="384">
        <f t="shared" si="0"/>
        <v>63.039999999999992</v>
      </c>
      <c r="I8" s="385" t="s">
        <v>102</v>
      </c>
      <c r="K8" s="466">
        <f>'DATA BASE'!$O$9</f>
        <v>0.11</v>
      </c>
    </row>
    <row r="9" spans="1:11" ht="37.5" customHeight="1" x14ac:dyDescent="0.25">
      <c r="A9" s="6" t="s">
        <v>39</v>
      </c>
      <c r="B9" s="309">
        <f>'DATA BASE'!H21</f>
        <v>200</v>
      </c>
      <c r="C9" s="300">
        <f>'DATA BASE'!I21</f>
        <v>95</v>
      </c>
      <c r="D9" s="319">
        <f>'DATA BASE'!J21</f>
        <v>10.000000000000009</v>
      </c>
      <c r="E9" s="316">
        <f>'DATA BASE'!K21</f>
        <v>185</v>
      </c>
      <c r="F9" s="317">
        <f>'DATA BASE'!L21</f>
        <v>93.3</v>
      </c>
      <c r="G9" s="324">
        <f>'DATA BASE'!M21</f>
        <v>12.39500000000001</v>
      </c>
      <c r="H9" s="388">
        <f t="shared" si="0"/>
        <v>2.3950000000000014</v>
      </c>
      <c r="I9" s="386" t="s">
        <v>102</v>
      </c>
      <c r="K9" s="466">
        <f>'DATA BASE'!$O$21</f>
        <v>0.11</v>
      </c>
    </row>
    <row r="10" spans="1:11" ht="37.5" customHeight="1" x14ac:dyDescent="0.25">
      <c r="A10" s="6" t="s">
        <v>49</v>
      </c>
      <c r="B10" s="309">
        <f>'DATA BASE'!H31</f>
        <v>0</v>
      </c>
      <c r="C10" s="300">
        <f>'DATA BASE'!I31</f>
        <v>97</v>
      </c>
      <c r="D10" s="319">
        <f>'DATA BASE'!J31</f>
        <v>0</v>
      </c>
      <c r="E10" s="316">
        <f>'DATA BASE'!K31</f>
        <v>0</v>
      </c>
      <c r="F10" s="317">
        <f>'DATA BASE'!L31</f>
        <v>92.7</v>
      </c>
      <c r="G10" s="324">
        <f>'DATA BASE'!M31</f>
        <v>0</v>
      </c>
      <c r="H10" s="378">
        <f t="shared" si="0"/>
        <v>0</v>
      </c>
      <c r="I10" s="386" t="s">
        <v>102</v>
      </c>
      <c r="K10" s="466">
        <f>'DATA BASE'!$O$31</f>
        <v>0</v>
      </c>
    </row>
    <row r="11" spans="1:11" ht="37.5" customHeight="1" thickBot="1" x14ac:dyDescent="0.3">
      <c r="A11" s="6" t="s">
        <v>63</v>
      </c>
      <c r="B11" s="309">
        <f>'DATA BASE'!H45</f>
        <v>550</v>
      </c>
      <c r="C11" s="300">
        <f>'DATA BASE'!I45</f>
        <v>26.2</v>
      </c>
      <c r="D11" s="319">
        <f>'DATA BASE'!J45</f>
        <v>405.9</v>
      </c>
      <c r="E11" s="316">
        <f>'DATA BASE'!K45</f>
        <v>545</v>
      </c>
      <c r="F11" s="317">
        <f>'DATA BASE'!L45</f>
        <v>96</v>
      </c>
      <c r="G11" s="324">
        <f>'DATA BASE'!M45</f>
        <v>21.800000000000018</v>
      </c>
      <c r="H11" s="384">
        <f>G11-D11</f>
        <v>-384.09999999999997</v>
      </c>
      <c r="I11" s="387" t="s">
        <v>102</v>
      </c>
      <c r="K11" s="466">
        <f>'DATA BASE'!$O$45</f>
        <v>0.38</v>
      </c>
    </row>
    <row r="12" spans="1:11" ht="37.5" customHeight="1" thickTop="1" thickBot="1" x14ac:dyDescent="0.3">
      <c r="A12" s="643" t="s">
        <v>331</v>
      </c>
      <c r="B12" s="640">
        <f>SUM(B8:B11)</f>
        <v>830</v>
      </c>
      <c r="C12" s="641"/>
      <c r="D12" s="642">
        <f>SUM(D8:D11)</f>
        <v>432.21999999999997</v>
      </c>
      <c r="E12" s="640">
        <f>SUM(E8:E11)</f>
        <v>810</v>
      </c>
      <c r="F12" s="641"/>
      <c r="G12" s="642">
        <f>SUM(G8:G11)</f>
        <v>113.55500000000004</v>
      </c>
      <c r="H12" s="641">
        <f>SUM(H8:H11)</f>
        <v>-318.66499999999996</v>
      </c>
      <c r="I12" s="641"/>
      <c r="K12" s="471">
        <f>SUM(K8:K11)</f>
        <v>0.6</v>
      </c>
    </row>
    <row r="13" spans="1:11" ht="37.5" customHeight="1" thickTop="1" x14ac:dyDescent="0.25">
      <c r="A13" s="6" t="s">
        <v>395</v>
      </c>
      <c r="B13" s="309">
        <f>'DATA BASE'!H10</f>
        <v>0</v>
      </c>
      <c r="C13" s="300">
        <f>'DATA BASE'!I10</f>
        <v>0</v>
      </c>
      <c r="D13" s="319">
        <f>'DATA BASE'!J10</f>
        <v>0</v>
      </c>
      <c r="E13" s="316">
        <f>'DATA BASE'!K10</f>
        <v>50</v>
      </c>
      <c r="F13" s="317">
        <f>'DATA BASE'!L10</f>
        <v>57.3</v>
      </c>
      <c r="G13" s="324">
        <f>'DATA BASE'!M10</f>
        <v>21.35</v>
      </c>
      <c r="H13" s="378">
        <f t="shared" si="0"/>
        <v>21.35</v>
      </c>
      <c r="I13" s="812" t="s">
        <v>106</v>
      </c>
      <c r="K13" s="639"/>
    </row>
    <row r="14" spans="1:11" ht="37.5" customHeight="1" x14ac:dyDescent="0.25">
      <c r="A14" s="6" t="s">
        <v>256</v>
      </c>
      <c r="B14" s="309">
        <f>'DATA BASE'!H121</f>
        <v>0</v>
      </c>
      <c r="C14" s="300">
        <f>'DATA BASE'!I121</f>
        <v>74.3</v>
      </c>
      <c r="D14" s="319">
        <f>'DATA BASE'!J121</f>
        <v>0</v>
      </c>
      <c r="E14" s="316">
        <f>'DATA BASE'!K121</f>
        <v>120</v>
      </c>
      <c r="F14" s="317">
        <f>'DATA BASE'!L121</f>
        <v>42.9</v>
      </c>
      <c r="G14" s="324">
        <f>'DATA BASE'!M121</f>
        <v>68.52</v>
      </c>
      <c r="H14" s="378">
        <f t="shared" si="0"/>
        <v>68.52</v>
      </c>
      <c r="I14" s="810"/>
      <c r="K14" s="466">
        <f>'DATA BASE'!$O$121</f>
        <v>0</v>
      </c>
    </row>
    <row r="15" spans="1:11" ht="37.5" customHeight="1" thickBot="1" x14ac:dyDescent="0.3">
      <c r="A15" s="6" t="s">
        <v>257</v>
      </c>
      <c r="B15" s="309">
        <f>'DATA BASE'!H124</f>
        <v>0</v>
      </c>
      <c r="C15" s="300">
        <f>'DATA BASE'!I124</f>
        <v>20</v>
      </c>
      <c r="D15" s="319">
        <f>'DATA BASE'!J124</f>
        <v>0</v>
      </c>
      <c r="E15" s="316">
        <f>'DATA BASE'!K124</f>
        <v>120</v>
      </c>
      <c r="F15" s="317">
        <f>'DATA BASE'!L124</f>
        <v>66.900000000000006</v>
      </c>
      <c r="G15" s="324">
        <f>'DATA BASE'!M124</f>
        <v>39.72</v>
      </c>
      <c r="H15" s="378">
        <f t="shared" si="0"/>
        <v>39.72</v>
      </c>
      <c r="I15" s="811"/>
      <c r="K15" s="466">
        <f>'DATA BASE'!$O$124</f>
        <v>0</v>
      </c>
    </row>
    <row r="16" spans="1:11" ht="37.5" customHeight="1" thickTop="1" thickBot="1" x14ac:dyDescent="0.3">
      <c r="A16" s="643" t="s">
        <v>331</v>
      </c>
      <c r="B16" s="640">
        <f>SUM(B14:B15)</f>
        <v>0</v>
      </c>
      <c r="C16" s="641"/>
      <c r="D16" s="642">
        <f>SUM(D14:D15)</f>
        <v>0</v>
      </c>
      <c r="E16" s="640">
        <f>SUM(E13:E15)</f>
        <v>290</v>
      </c>
      <c r="F16" s="641"/>
      <c r="G16" s="642">
        <f>SUM(G13:G15)</f>
        <v>129.59</v>
      </c>
      <c r="H16" s="641">
        <f>SUM(H13:H15)</f>
        <v>129.59</v>
      </c>
      <c r="I16" s="641"/>
      <c r="K16" s="471">
        <f>SUM(K14:K15)</f>
        <v>0</v>
      </c>
    </row>
    <row r="17" spans="1:11" ht="37.5" customHeight="1" thickTop="1" x14ac:dyDescent="0.25">
      <c r="A17" s="6" t="s">
        <v>29</v>
      </c>
      <c r="B17" s="366">
        <f>'DATA BASE'!H11</f>
        <v>90</v>
      </c>
      <c r="C17" s="367">
        <f>'DATA BASE'!I11</f>
        <v>93.6</v>
      </c>
      <c r="D17" s="368">
        <f>'DATA BASE'!J11</f>
        <v>5.7600000000000051</v>
      </c>
      <c r="E17" s="369">
        <f>'DATA BASE'!K11</f>
        <v>80</v>
      </c>
      <c r="F17" s="370">
        <f>'DATA BASE'!L11</f>
        <v>97.7</v>
      </c>
      <c r="G17" s="371">
        <f>'DATA BASE'!M11</f>
        <v>1.8400000000000016</v>
      </c>
      <c r="H17" s="378">
        <f t="shared" si="0"/>
        <v>-3.9200000000000035</v>
      </c>
      <c r="I17" s="389" t="s">
        <v>107</v>
      </c>
      <c r="K17" s="466">
        <f>'DATA BASE'!$O$11</f>
        <v>0.05</v>
      </c>
    </row>
    <row r="18" spans="1:11" ht="37.5" customHeight="1" x14ac:dyDescent="0.25">
      <c r="A18" s="6" t="s">
        <v>52</v>
      </c>
      <c r="B18" s="309">
        <f>'DATA BASE'!H33</f>
        <v>100</v>
      </c>
      <c r="C18" s="300">
        <f>'DATA BASE'!I33</f>
        <v>80</v>
      </c>
      <c r="D18" s="319">
        <f>'DATA BASE'!J33</f>
        <v>19.999999999999996</v>
      </c>
      <c r="E18" s="316">
        <f>'DATA BASE'!K33</f>
        <v>75</v>
      </c>
      <c r="F18" s="317">
        <f>'DATA BASE'!L33</f>
        <v>66.900000000000006</v>
      </c>
      <c r="G18" s="324">
        <f>'DATA BASE'!M33</f>
        <v>24.824999999999996</v>
      </c>
      <c r="H18" s="378">
        <f t="shared" si="0"/>
        <v>4.8249999999999993</v>
      </c>
      <c r="I18" s="386" t="s">
        <v>107</v>
      </c>
      <c r="K18" s="466">
        <f>'DATA BASE'!$O$33</f>
        <v>0.14000000000000001</v>
      </c>
    </row>
    <row r="19" spans="1:11" ht="37.5" customHeight="1" x14ac:dyDescent="0.25">
      <c r="A19" s="6" t="s">
        <v>60</v>
      </c>
      <c r="B19" s="309">
        <f>'DATA BASE'!H42</f>
        <v>140</v>
      </c>
      <c r="C19" s="300">
        <f>'DATA BASE'!I42</f>
        <v>86</v>
      </c>
      <c r="D19" s="319">
        <f>'DATA BASE'!J42</f>
        <v>19.600000000000001</v>
      </c>
      <c r="E19" s="316">
        <f>'DATA BASE'!K42</f>
        <v>115</v>
      </c>
      <c r="F19" s="317">
        <f>'DATA BASE'!L42</f>
        <v>88.9</v>
      </c>
      <c r="G19" s="324">
        <f>'DATA BASE'!M42</f>
        <v>12.764999999999999</v>
      </c>
      <c r="H19" s="378">
        <f t="shared" si="0"/>
        <v>-6.8350000000000026</v>
      </c>
      <c r="I19" s="386" t="s">
        <v>107</v>
      </c>
      <c r="K19" s="466">
        <f>'DATA BASE'!O42</f>
        <v>0.14000000000000001</v>
      </c>
    </row>
    <row r="20" spans="1:11" ht="37.5" customHeight="1" x14ac:dyDescent="0.25">
      <c r="A20" s="6" t="s">
        <v>61</v>
      </c>
      <c r="B20" s="309">
        <f>'DATA BASE'!H43</f>
        <v>90</v>
      </c>
      <c r="C20" s="300">
        <f>'DATA BASE'!I43</f>
        <v>51</v>
      </c>
      <c r="D20" s="319">
        <f>'DATA BASE'!J43</f>
        <v>44.1</v>
      </c>
      <c r="E20" s="316">
        <f>'DATA BASE'!K43</f>
        <v>80</v>
      </c>
      <c r="F20" s="317">
        <f>'DATA BASE'!L43</f>
        <v>58.5</v>
      </c>
      <c r="G20" s="324">
        <f>'DATA BASE'!M43</f>
        <v>33.200000000000003</v>
      </c>
      <c r="H20" s="378">
        <f t="shared" si="0"/>
        <v>-10.899999999999999</v>
      </c>
      <c r="I20" s="386" t="s">
        <v>107</v>
      </c>
      <c r="K20" s="466">
        <f>'DATA BASE'!O43</f>
        <v>0.15</v>
      </c>
    </row>
    <row r="21" spans="1:11" ht="37.5" customHeight="1" x14ac:dyDescent="0.25">
      <c r="A21" s="6" t="s">
        <v>62</v>
      </c>
      <c r="B21" s="366">
        <f>'DATA BASE'!H44</f>
        <v>0</v>
      </c>
      <c r="C21" s="367">
        <f>'DATA BASE'!I44</f>
        <v>94.6</v>
      </c>
      <c r="D21" s="368">
        <f>'DATA BASE'!J44</f>
        <v>0</v>
      </c>
      <c r="E21" s="369">
        <f>'DATA BASE'!K44</f>
        <v>0</v>
      </c>
      <c r="F21" s="370">
        <f>'DATA BASE'!L44</f>
        <v>92.5</v>
      </c>
      <c r="G21" s="371">
        <f>'DATA BASE'!M44</f>
        <v>0</v>
      </c>
      <c r="H21" s="378">
        <f t="shared" si="0"/>
        <v>0</v>
      </c>
      <c r="I21" s="386" t="s">
        <v>107</v>
      </c>
      <c r="K21" s="466">
        <f>'DATA BASE'!O44</f>
        <v>0</v>
      </c>
    </row>
    <row r="22" spans="1:11" ht="37.5" customHeight="1" thickBot="1" x14ac:dyDescent="0.3">
      <c r="A22" s="6" t="s">
        <v>232</v>
      </c>
      <c r="B22" s="309">
        <f>'DATA BASE'!H127</f>
        <v>70</v>
      </c>
      <c r="C22" s="300">
        <f>'DATA BASE'!I127</f>
        <v>50</v>
      </c>
      <c r="D22" s="319">
        <f>'DATA BASE'!J127</f>
        <v>35</v>
      </c>
      <c r="E22" s="316">
        <f>'DATA BASE'!K127</f>
        <v>60</v>
      </c>
      <c r="F22" s="317">
        <f>'DATA BASE'!L127</f>
        <v>39</v>
      </c>
      <c r="G22" s="324">
        <f>'DATA BASE'!M127</f>
        <v>36.6</v>
      </c>
      <c r="H22" s="378">
        <f t="shared" si="0"/>
        <v>1.6000000000000014</v>
      </c>
      <c r="I22" s="390" t="s">
        <v>107</v>
      </c>
      <c r="K22" s="466">
        <f>'DATA BASE'!$O$127</f>
        <v>0.14000000000000001</v>
      </c>
    </row>
    <row r="23" spans="1:11" ht="37.5" customHeight="1" thickTop="1" thickBot="1" x14ac:dyDescent="0.3">
      <c r="A23" s="643" t="s">
        <v>331</v>
      </c>
      <c r="B23" s="640">
        <f>SUM(B17:B22)</f>
        <v>490</v>
      </c>
      <c r="C23" s="641"/>
      <c r="D23" s="642">
        <f>SUM(D17:D22)</f>
        <v>124.46000000000001</v>
      </c>
      <c r="E23" s="640">
        <f>SUM(E17:E22)</f>
        <v>410</v>
      </c>
      <c r="F23" s="641"/>
      <c r="G23" s="642">
        <f>SUM(G17:G22)</f>
        <v>109.22999999999999</v>
      </c>
      <c r="H23" s="641">
        <f>SUM(H21:H22)</f>
        <v>1.6000000000000014</v>
      </c>
      <c r="I23" s="641"/>
      <c r="K23" s="471">
        <f>SUM(K17:K22)</f>
        <v>0.62</v>
      </c>
    </row>
    <row r="24" spans="1:11" ht="37.5" customHeight="1" thickTop="1" x14ac:dyDescent="0.25">
      <c r="A24" s="373" t="s">
        <v>316</v>
      </c>
      <c r="B24" s="374" t="s">
        <v>318</v>
      </c>
      <c r="C24" s="374" t="s">
        <v>317</v>
      </c>
      <c r="D24" s="375" t="s">
        <v>319</v>
      </c>
      <c r="E24" s="374" t="s">
        <v>131</v>
      </c>
      <c r="F24" s="374" t="s">
        <v>132</v>
      </c>
      <c r="G24" s="376" t="s">
        <v>181</v>
      </c>
      <c r="H24" s="377" t="s">
        <v>320</v>
      </c>
      <c r="I24" s="377" t="s">
        <v>262</v>
      </c>
      <c r="K24" s="468"/>
    </row>
    <row r="25" spans="1:11" ht="37.5" customHeight="1" x14ac:dyDescent="0.25">
      <c r="A25" s="21" t="s">
        <v>64</v>
      </c>
      <c r="B25" s="309">
        <f>'DATA BASE'!H47</f>
        <v>60</v>
      </c>
      <c r="C25" s="300">
        <f>'DATA BASE'!I47</f>
        <v>30</v>
      </c>
      <c r="D25" s="319">
        <f>'DATA BASE'!J47</f>
        <v>42</v>
      </c>
      <c r="E25" s="316">
        <f>'DATA BASE'!K47</f>
        <v>60</v>
      </c>
      <c r="F25" s="317">
        <f>'DATA BASE'!L47</f>
        <v>40.9</v>
      </c>
      <c r="G25" s="324">
        <f>'DATA BASE'!M47</f>
        <v>35.46</v>
      </c>
      <c r="H25" s="378">
        <f>G25-D25</f>
        <v>-6.5399999999999991</v>
      </c>
      <c r="I25" s="386" t="s">
        <v>103</v>
      </c>
      <c r="K25" s="466">
        <f>'DATA BASE'!$O$47</f>
        <v>0.19</v>
      </c>
    </row>
    <row r="26" spans="1:11" ht="37.5" customHeight="1" x14ac:dyDescent="0.25">
      <c r="A26" s="21" t="s">
        <v>64</v>
      </c>
      <c r="B26" s="366">
        <f>'DATA BASE'!H46</f>
        <v>0</v>
      </c>
      <c r="C26" s="367">
        <f>'DATA BASE'!I46</f>
        <v>0</v>
      </c>
      <c r="D26" s="368">
        <f>'DATA BASE'!J46</f>
        <v>0</v>
      </c>
      <c r="E26" s="369">
        <f>'DATA BASE'!K46</f>
        <v>0</v>
      </c>
      <c r="F26" s="370">
        <f>'DATA BASE'!L46</f>
        <v>0</v>
      </c>
      <c r="G26" s="371">
        <f>'DATA BASE'!M46</f>
        <v>0</v>
      </c>
      <c r="H26" s="378">
        <f>'DATA BASE'!N46</f>
        <v>0</v>
      </c>
      <c r="I26" s="386"/>
      <c r="K26" s="466"/>
    </row>
    <row r="27" spans="1:11" ht="37.5" customHeight="1" thickBot="1" x14ac:dyDescent="0.3">
      <c r="A27" s="21" t="s">
        <v>83</v>
      </c>
      <c r="B27" s="366">
        <f>'DATA BASE'!H62</f>
        <v>80</v>
      </c>
      <c r="C27" s="367">
        <f>'DATA BASE'!I62</f>
        <v>48.9</v>
      </c>
      <c r="D27" s="368">
        <f>'DATA BASE'!J62</f>
        <v>40.880000000000003</v>
      </c>
      <c r="E27" s="369">
        <f>'DATA BASE'!K62</f>
        <v>70</v>
      </c>
      <c r="F27" s="370">
        <f>'DATA BASE'!L62</f>
        <v>96</v>
      </c>
      <c r="G27" s="371">
        <f>'DATA BASE'!M62</f>
        <v>2.8000000000000025</v>
      </c>
      <c r="H27" s="378">
        <f>G27-D27</f>
        <v>-38.08</v>
      </c>
      <c r="I27" s="386" t="s">
        <v>103</v>
      </c>
      <c r="K27" s="466">
        <f>'DATA BASE'!$O$62</f>
        <v>0.43</v>
      </c>
    </row>
    <row r="28" spans="1:11" ht="37.5" customHeight="1" thickTop="1" thickBot="1" x14ac:dyDescent="0.3">
      <c r="A28" s="643" t="s">
        <v>331</v>
      </c>
      <c r="B28" s="640">
        <f>SUM(B25:B27)</f>
        <v>140</v>
      </c>
      <c r="C28" s="641"/>
      <c r="D28" s="642">
        <f>SUM(D25:D27)</f>
        <v>82.88</v>
      </c>
      <c r="E28" s="640">
        <f>SUM(E25:E27)</f>
        <v>130</v>
      </c>
      <c r="F28" s="641"/>
      <c r="G28" s="642">
        <f>SUM(G25:G27)</f>
        <v>38.260000000000005</v>
      </c>
      <c r="H28" s="641">
        <f>SUM(H25:H27)</f>
        <v>-44.62</v>
      </c>
      <c r="I28" s="641"/>
      <c r="K28" s="471">
        <f>SUM(K25:K27)</f>
        <v>0.62</v>
      </c>
    </row>
    <row r="29" spans="1:11" ht="37.5" customHeight="1" thickTop="1" x14ac:dyDescent="0.25">
      <c r="A29" s="6" t="s">
        <v>46</v>
      </c>
      <c r="B29" s="366">
        <f>'DATA BASE'!H28</f>
        <v>170</v>
      </c>
      <c r="C29" s="367">
        <f>'DATA BASE'!I28</f>
        <v>90.8</v>
      </c>
      <c r="D29" s="368">
        <f>'DATA BASE'!J28</f>
        <v>15.640000000000015</v>
      </c>
      <c r="E29" s="369">
        <f>'DATA BASE'!K28</f>
        <v>170</v>
      </c>
      <c r="F29" s="370">
        <f>'DATA BASE'!L28</f>
        <v>82.9</v>
      </c>
      <c r="G29" s="371">
        <f>'DATA BASE'!M28</f>
        <v>29.06999999999999</v>
      </c>
      <c r="H29" s="378">
        <f>G29-D29</f>
        <v>13.429999999999975</v>
      </c>
      <c r="I29" s="386" t="s">
        <v>105</v>
      </c>
      <c r="K29" s="466">
        <f>'DATA BASE'!$O$28</f>
        <v>2.5000000000000001E-2</v>
      </c>
    </row>
    <row r="30" spans="1:11" ht="37.5" customHeight="1" x14ac:dyDescent="0.25">
      <c r="A30" s="6" t="s">
        <v>58</v>
      </c>
      <c r="B30" s="309">
        <f>'DATA BASE'!H40</f>
        <v>50</v>
      </c>
      <c r="C30" s="300">
        <f>'DATA BASE'!I40</f>
        <v>53.2</v>
      </c>
      <c r="D30" s="319">
        <f>'DATA BASE'!J40</f>
        <v>23.4</v>
      </c>
      <c r="E30" s="316">
        <f>'DATA BASE'!K40</f>
        <v>50</v>
      </c>
      <c r="F30" s="317">
        <f>'DATA BASE'!L40</f>
        <v>82.2</v>
      </c>
      <c r="G30" s="324">
        <f>'DATA BASE'!M40</f>
        <v>8.8999999999999968</v>
      </c>
      <c r="H30" s="378">
        <f t="shared" ref="H30:H34" si="1">G30-D30</f>
        <v>-14.500000000000002</v>
      </c>
      <c r="I30" s="386" t="s">
        <v>105</v>
      </c>
      <c r="K30" s="466">
        <f>'DATA BASE'!$O$40</f>
        <v>1.9E-2</v>
      </c>
    </row>
    <row r="31" spans="1:11" ht="37.5" customHeight="1" x14ac:dyDescent="0.25">
      <c r="A31" s="6" t="s">
        <v>66</v>
      </c>
      <c r="B31" s="309">
        <f>'DATA BASE'!H49</f>
        <v>0</v>
      </c>
      <c r="C31" s="300">
        <f>'DATA BASE'!I49</f>
        <v>71.2</v>
      </c>
      <c r="D31" s="319">
        <f>'DATA BASE'!J49</f>
        <v>0</v>
      </c>
      <c r="E31" s="316">
        <f>'DATA BASE'!K49</f>
        <v>0</v>
      </c>
      <c r="F31" s="317">
        <f>'DATA BASE'!L49</f>
        <v>71.2</v>
      </c>
      <c r="G31" s="324">
        <f>'DATA BASE'!M49</f>
        <v>0</v>
      </c>
      <c r="H31" s="378">
        <f t="shared" si="1"/>
        <v>0</v>
      </c>
      <c r="I31" s="386" t="s">
        <v>105</v>
      </c>
      <c r="K31" s="466">
        <f>'DATA BASE'!$O$49</f>
        <v>0.19</v>
      </c>
    </row>
    <row r="32" spans="1:11" ht="37.5" customHeight="1" x14ac:dyDescent="0.25">
      <c r="A32" s="6" t="s">
        <v>72</v>
      </c>
      <c r="B32" s="309">
        <f>'DATA BASE'!H55</f>
        <v>0</v>
      </c>
      <c r="C32" s="300">
        <f>'DATA BASE'!I55</f>
        <v>0</v>
      </c>
      <c r="D32" s="319">
        <f>'DATA BASE'!J55</f>
        <v>0</v>
      </c>
      <c r="E32" s="316">
        <f>'DATA BASE'!K55</f>
        <v>30</v>
      </c>
      <c r="F32" s="317">
        <f>'DATA BASE'!L55</f>
        <v>0.8</v>
      </c>
      <c r="G32" s="324">
        <f>'DATA BASE'!M55</f>
        <v>29.759999999999998</v>
      </c>
      <c r="H32" s="378">
        <f t="shared" si="1"/>
        <v>29.759999999999998</v>
      </c>
      <c r="I32" s="386" t="s">
        <v>105</v>
      </c>
      <c r="K32" s="466">
        <f>'DATA BASE'!$O$55</f>
        <v>0.03</v>
      </c>
    </row>
    <row r="33" spans="1:11" ht="37.5" customHeight="1" x14ac:dyDescent="0.25">
      <c r="A33" s="6" t="s">
        <v>84</v>
      </c>
      <c r="B33" s="309">
        <f>'DATA BASE'!H63</f>
        <v>40</v>
      </c>
      <c r="C33" s="300">
        <f>'DATA BASE'!I63</f>
        <v>46.5</v>
      </c>
      <c r="D33" s="319">
        <f>'DATA BASE'!J63</f>
        <v>21.4</v>
      </c>
      <c r="E33" s="316">
        <f>'DATA BASE'!K63</f>
        <v>50</v>
      </c>
      <c r="F33" s="317">
        <f>'DATA BASE'!L63</f>
        <v>42.4</v>
      </c>
      <c r="G33" s="324">
        <f>'DATA BASE'!M63</f>
        <v>28.800000000000004</v>
      </c>
      <c r="H33" s="378">
        <f t="shared" si="1"/>
        <v>7.4000000000000057</v>
      </c>
      <c r="I33" s="386" t="s">
        <v>105</v>
      </c>
      <c r="K33" s="466">
        <f>'DATA BASE'!$O$63</f>
        <v>0.81</v>
      </c>
    </row>
    <row r="34" spans="1:11" ht="37.5" customHeight="1" thickBot="1" x14ac:dyDescent="0.3">
      <c r="A34" s="6" t="s">
        <v>89</v>
      </c>
      <c r="B34" s="366">
        <f>'DATA BASE'!H69</f>
        <v>180</v>
      </c>
      <c r="C34" s="367">
        <f>'DATA BASE'!I69</f>
        <v>7</v>
      </c>
      <c r="D34" s="368">
        <f>'DATA BASE'!J69</f>
        <v>167.39999999999998</v>
      </c>
      <c r="E34" s="369">
        <f>'DATA BASE'!K69</f>
        <v>120</v>
      </c>
      <c r="F34" s="370">
        <f>'DATA BASE'!L69</f>
        <v>22.7</v>
      </c>
      <c r="G34" s="371">
        <f>'DATA BASE'!M69</f>
        <v>92.76</v>
      </c>
      <c r="H34" s="378">
        <f t="shared" si="1"/>
        <v>-74.639999999999972</v>
      </c>
      <c r="I34" s="386" t="s">
        <v>105</v>
      </c>
      <c r="K34" s="466">
        <f>'DATA BASE'!$O$69</f>
        <v>0.35</v>
      </c>
    </row>
    <row r="35" spans="1:11" ht="37.5" customHeight="1" thickTop="1" thickBot="1" x14ac:dyDescent="0.3">
      <c r="A35" s="643" t="s">
        <v>331</v>
      </c>
      <c r="B35" s="640">
        <f>SUM(B29:B34)</f>
        <v>440</v>
      </c>
      <c r="C35" s="641"/>
      <c r="D35" s="642">
        <f>SUM(D29:D34)</f>
        <v>227.83999999999997</v>
      </c>
      <c r="E35" s="640">
        <f>SUM(E29:E34)</f>
        <v>420</v>
      </c>
      <c r="F35" s="641"/>
      <c r="G35" s="642">
        <f>SUM(G29:G34)</f>
        <v>189.29000000000002</v>
      </c>
      <c r="H35" s="641">
        <f>SUM(H33:H34)</f>
        <v>-67.239999999999966</v>
      </c>
      <c r="I35" s="641"/>
      <c r="K35" s="471">
        <f>SUM(K29:K34)</f>
        <v>1.4239999999999999</v>
      </c>
    </row>
    <row r="36" spans="1:11" ht="37.5" customHeight="1" thickTop="1" x14ac:dyDescent="0.25">
      <c r="A36" s="6" t="s">
        <v>30</v>
      </c>
      <c r="B36" s="309">
        <f>'DATA BASE'!H12</f>
        <v>150</v>
      </c>
      <c r="C36" s="300">
        <f>'DATA BASE'!I12</f>
        <v>73.2</v>
      </c>
      <c r="D36" s="319">
        <f>'DATA BASE'!J12</f>
        <v>40.200000000000003</v>
      </c>
      <c r="E36" s="316">
        <f>'DATA BASE'!K12</f>
        <v>130</v>
      </c>
      <c r="F36" s="317">
        <f>'DATA BASE'!L12</f>
        <v>87.2</v>
      </c>
      <c r="G36" s="324">
        <f>'DATA BASE'!M12</f>
        <v>16.64</v>
      </c>
      <c r="H36" s="378">
        <f>G36-D36</f>
        <v>-23.560000000000002</v>
      </c>
      <c r="I36" s="386" t="s">
        <v>104</v>
      </c>
      <c r="K36" s="473">
        <v>0.32</v>
      </c>
    </row>
    <row r="37" spans="1:11" ht="37.5" customHeight="1" x14ac:dyDescent="0.25">
      <c r="A37" s="6" t="s">
        <v>51</v>
      </c>
      <c r="B37" s="366">
        <f>'DATA BASE'!H34</f>
        <v>0</v>
      </c>
      <c r="C37" s="367">
        <f>'DATA BASE'!I34</f>
        <v>87</v>
      </c>
      <c r="D37" s="368">
        <f>'DATA BASE'!J34</f>
        <v>0</v>
      </c>
      <c r="E37" s="369">
        <f>'DATA BASE'!K34</f>
        <v>0</v>
      </c>
      <c r="F37" s="370">
        <f>'DATA BASE'!L34</f>
        <v>91.4</v>
      </c>
      <c r="G37" s="371">
        <f>'DATA BASE'!M34</f>
        <v>0</v>
      </c>
      <c r="H37" s="378">
        <f t="shared" ref="H37:H43" si="2">G37-D37</f>
        <v>0</v>
      </c>
      <c r="I37" s="386" t="s">
        <v>104</v>
      </c>
      <c r="K37" s="473">
        <v>0.03</v>
      </c>
    </row>
    <row r="38" spans="1:11" ht="37.5" customHeight="1" x14ac:dyDescent="0.25">
      <c r="A38" s="6" t="s">
        <v>57</v>
      </c>
      <c r="B38" s="309">
        <f>'DATA BASE'!H39</f>
        <v>80</v>
      </c>
      <c r="C38" s="300">
        <f>'DATA BASE'!I39</f>
        <v>46</v>
      </c>
      <c r="D38" s="319">
        <f>'DATA BASE'!J39</f>
        <v>43.2</v>
      </c>
      <c r="E38" s="316">
        <f>'DATA BASE'!K39</f>
        <v>70</v>
      </c>
      <c r="F38" s="317">
        <f>'DATA BASE'!L39</f>
        <v>68.8</v>
      </c>
      <c r="G38" s="324">
        <f>'DATA BASE'!M39</f>
        <v>21.840000000000003</v>
      </c>
      <c r="H38" s="378">
        <f t="shared" si="2"/>
        <v>-21.36</v>
      </c>
      <c r="I38" s="386" t="s">
        <v>104</v>
      </c>
      <c r="K38" s="473">
        <v>0.08</v>
      </c>
    </row>
    <row r="39" spans="1:11" ht="37.5" customHeight="1" x14ac:dyDescent="0.25">
      <c r="A39" s="6" t="s">
        <v>71</v>
      </c>
      <c r="B39" s="309">
        <f>'DATA BASE'!H54</f>
        <v>100</v>
      </c>
      <c r="C39" s="300">
        <f>'DATA BASE'!I54</f>
        <v>58.2</v>
      </c>
      <c r="D39" s="319">
        <f>'DATA BASE'!J54</f>
        <v>41.79999999999999</v>
      </c>
      <c r="E39" s="316">
        <f>'DATA BASE'!K54</f>
        <v>100</v>
      </c>
      <c r="F39" s="317">
        <f>'DATA BASE'!L54</f>
        <v>58.2</v>
      </c>
      <c r="G39" s="324">
        <f>'DATA BASE'!M54</f>
        <v>41.79999999999999</v>
      </c>
      <c r="H39" s="378">
        <f t="shared" si="2"/>
        <v>0</v>
      </c>
      <c r="I39" s="386" t="s">
        <v>104</v>
      </c>
      <c r="K39" s="473">
        <v>0.14000000000000001</v>
      </c>
    </row>
    <row r="40" spans="1:11" ht="37.5" customHeight="1" x14ac:dyDescent="0.25">
      <c r="A40" s="6" t="s">
        <v>76</v>
      </c>
      <c r="B40" s="366">
        <f>'DATA BASE'!H57</f>
        <v>60</v>
      </c>
      <c r="C40" s="367">
        <f>'DATA BASE'!I57</f>
        <v>80</v>
      </c>
      <c r="D40" s="368">
        <f>'DATA BASE'!J57</f>
        <v>11.999999999999996</v>
      </c>
      <c r="E40" s="369">
        <f>'DATA BASE'!K57</f>
        <v>60</v>
      </c>
      <c r="F40" s="370">
        <f>'DATA BASE'!L57</f>
        <v>90.7</v>
      </c>
      <c r="G40" s="371">
        <f>'DATA BASE'!M57</f>
        <v>5.5799999999999983</v>
      </c>
      <c r="H40" s="378">
        <f t="shared" si="2"/>
        <v>-6.4199999999999982</v>
      </c>
      <c r="I40" s="386" t="s">
        <v>104</v>
      </c>
      <c r="K40" s="473">
        <v>0.19</v>
      </c>
    </row>
    <row r="41" spans="1:11" ht="37.5" customHeight="1" x14ac:dyDescent="0.25">
      <c r="A41" s="6" t="s">
        <v>78</v>
      </c>
      <c r="B41" s="309">
        <f>'DATA BASE'!H58</f>
        <v>90</v>
      </c>
      <c r="C41" s="300">
        <f>'DATA BASE'!I58</f>
        <v>50</v>
      </c>
      <c r="D41" s="319">
        <f>'DATA BASE'!J58</f>
        <v>45</v>
      </c>
      <c r="E41" s="316">
        <f>'DATA BASE'!K58</f>
        <v>90</v>
      </c>
      <c r="F41" s="317">
        <f>'DATA BASE'!L58</f>
        <v>50.8</v>
      </c>
      <c r="G41" s="324">
        <f>'DATA BASE'!M58</f>
        <v>44.28</v>
      </c>
      <c r="H41" s="378">
        <f t="shared" si="2"/>
        <v>-0.71999999999999886</v>
      </c>
      <c r="I41" s="386" t="s">
        <v>104</v>
      </c>
      <c r="K41" s="473">
        <v>0.22</v>
      </c>
    </row>
    <row r="42" spans="1:11" ht="37.5" customHeight="1" x14ac:dyDescent="0.25">
      <c r="A42" s="6" t="s">
        <v>79</v>
      </c>
      <c r="B42" s="309">
        <f>'DATA BASE'!H59</f>
        <v>0</v>
      </c>
      <c r="C42" s="300">
        <f>'DATA BASE'!I59</f>
        <v>94.6</v>
      </c>
      <c r="D42" s="319">
        <f>'DATA BASE'!J59</f>
        <v>0</v>
      </c>
      <c r="E42" s="316">
        <f>'DATA BASE'!K59</f>
        <v>0</v>
      </c>
      <c r="F42" s="317">
        <f>'DATA BASE'!L59</f>
        <v>93.7</v>
      </c>
      <c r="G42" s="324">
        <f>'DATA BASE'!M59</f>
        <v>0</v>
      </c>
      <c r="H42" s="378">
        <f t="shared" si="2"/>
        <v>0</v>
      </c>
      <c r="I42" s="386" t="s">
        <v>104</v>
      </c>
      <c r="K42" s="473">
        <v>0</v>
      </c>
    </row>
    <row r="43" spans="1:11" ht="37.5" customHeight="1" thickBot="1" x14ac:dyDescent="0.3">
      <c r="A43" s="6" t="s">
        <v>90</v>
      </c>
      <c r="B43" s="366">
        <f>'DATA BASE'!H70</f>
        <v>80</v>
      </c>
      <c r="C43" s="367">
        <f>'DATA BASE'!I70</f>
        <v>8</v>
      </c>
      <c r="D43" s="368">
        <f>'DATA BASE'!J70</f>
        <v>73.600000000000009</v>
      </c>
      <c r="E43" s="369">
        <f>'DATA BASE'!K70</f>
        <v>100</v>
      </c>
      <c r="F43" s="370">
        <f>'DATA BASE'!L70</f>
        <v>1.6</v>
      </c>
      <c r="G43" s="371">
        <f>'DATA BASE'!M70</f>
        <v>98.4</v>
      </c>
      <c r="H43" s="378">
        <f t="shared" si="2"/>
        <v>24.799999999999997</v>
      </c>
      <c r="I43" s="386" t="s">
        <v>104</v>
      </c>
      <c r="K43" s="473">
        <v>0.35</v>
      </c>
    </row>
    <row r="44" spans="1:11" ht="37.5" customHeight="1" thickTop="1" thickBot="1" x14ac:dyDescent="0.3">
      <c r="A44" s="643" t="s">
        <v>331</v>
      </c>
      <c r="B44" s="640">
        <f>SUM(B36:B43)</f>
        <v>560</v>
      </c>
      <c r="C44" s="641"/>
      <c r="D44" s="642">
        <f>SUM(D36:D43)</f>
        <v>255.8</v>
      </c>
      <c r="E44" s="640">
        <f>SUM(E36:E43)</f>
        <v>550</v>
      </c>
      <c r="F44" s="641"/>
      <c r="G44" s="642">
        <f>SUM(G36:G43)</f>
        <v>228.54</v>
      </c>
      <c r="H44" s="641">
        <f>SUM(H42:H43)</f>
        <v>24.799999999999997</v>
      </c>
      <c r="I44" s="641"/>
      <c r="K44" s="471">
        <f>SUM(K36:K43)</f>
        <v>1.33</v>
      </c>
    </row>
    <row r="45" spans="1:11" ht="37.5" customHeight="1" thickTop="1" thickBot="1" x14ac:dyDescent="0.3">
      <c r="A45" s="6" t="s">
        <v>70</v>
      </c>
      <c r="B45" s="366">
        <f>'DATA BASE'!H53</f>
        <v>250</v>
      </c>
      <c r="C45" s="367">
        <f>'DATA BASE'!I53</f>
        <v>84</v>
      </c>
      <c r="D45" s="368">
        <f>'DATA BASE'!J53</f>
        <v>40.000000000000007</v>
      </c>
      <c r="E45" s="369">
        <f>'DATA BASE'!K53</f>
        <v>210</v>
      </c>
      <c r="F45" s="370">
        <f>'DATA BASE'!L53</f>
        <v>79.599999999999994</v>
      </c>
      <c r="G45" s="371">
        <f>'DATA BASE'!M53</f>
        <v>42.840000000000018</v>
      </c>
      <c r="H45" s="378">
        <f>G45-D45</f>
        <v>2.8400000000000105</v>
      </c>
      <c r="I45" s="386" t="s">
        <v>108</v>
      </c>
      <c r="K45" s="473">
        <v>0.14000000000000001</v>
      </c>
    </row>
    <row r="46" spans="1:11" ht="37.5" customHeight="1" thickTop="1" thickBot="1" x14ac:dyDescent="0.3">
      <c r="A46" s="643" t="s">
        <v>331</v>
      </c>
      <c r="B46" s="640">
        <f>SUM(B45)</f>
        <v>250</v>
      </c>
      <c r="C46" s="641"/>
      <c r="D46" s="642">
        <f>SUM(D45:D45)</f>
        <v>40.000000000000007</v>
      </c>
      <c r="E46" s="640">
        <f>SUM(E45)</f>
        <v>210</v>
      </c>
      <c r="F46" s="641"/>
      <c r="G46" s="642">
        <f>SUM(G45)</f>
        <v>42.840000000000018</v>
      </c>
      <c r="H46" s="641">
        <f>SUM(H45)</f>
        <v>2.8400000000000105</v>
      </c>
      <c r="I46" s="641"/>
      <c r="K46" s="471">
        <f>SUM(K45)</f>
        <v>0.14000000000000001</v>
      </c>
    </row>
    <row r="47" spans="1:11" ht="37.5" customHeight="1" thickTop="1" x14ac:dyDescent="0.25">
      <c r="A47" s="373" t="s">
        <v>316</v>
      </c>
      <c r="B47" s="374" t="s">
        <v>318</v>
      </c>
      <c r="C47" s="374" t="s">
        <v>317</v>
      </c>
      <c r="D47" s="375" t="s">
        <v>319</v>
      </c>
      <c r="E47" s="374" t="s">
        <v>131</v>
      </c>
      <c r="F47" s="374" t="s">
        <v>132</v>
      </c>
      <c r="G47" s="376" t="s">
        <v>181</v>
      </c>
      <c r="H47" s="377" t="s">
        <v>320</v>
      </c>
      <c r="I47" s="377" t="s">
        <v>262</v>
      </c>
      <c r="K47" s="468"/>
    </row>
    <row r="48" spans="1:11" ht="37.5" customHeight="1" x14ac:dyDescent="0.25">
      <c r="A48" s="6" t="s">
        <v>31</v>
      </c>
      <c r="B48" s="366">
        <f>'DATA BASE'!H13</f>
        <v>400</v>
      </c>
      <c r="C48" s="367">
        <f>'DATA BASE'!I13</f>
        <v>84.2</v>
      </c>
      <c r="D48" s="368">
        <f>'DATA BASE'!J13</f>
        <v>63.199999999999967</v>
      </c>
      <c r="E48" s="369">
        <f>'DATA BASE'!K13</f>
        <v>400</v>
      </c>
      <c r="F48" s="370">
        <f>'DATA BASE'!L13</f>
        <v>85.6</v>
      </c>
      <c r="G48" s="371">
        <f>'DATA BASE'!M13</f>
        <v>57.600000000000009</v>
      </c>
      <c r="H48" s="378">
        <f>G48-D48</f>
        <v>-5.5999999999999588</v>
      </c>
      <c r="I48" s="392" t="s">
        <v>109</v>
      </c>
      <c r="K48" s="466">
        <f>'DATA BASE'!$O$13</f>
        <v>0.26</v>
      </c>
    </row>
    <row r="49" spans="1:11" ht="37.5" customHeight="1" x14ac:dyDescent="0.25">
      <c r="A49" s="6" t="s">
        <v>47</v>
      </c>
      <c r="B49" s="309">
        <f>'DATA BASE'!H29</f>
        <v>0</v>
      </c>
      <c r="C49" s="300">
        <f>'DATA BASE'!I29</f>
        <v>95</v>
      </c>
      <c r="D49" s="319">
        <f>'DATA BASE'!J29</f>
        <v>0</v>
      </c>
      <c r="E49" s="316">
        <f>'DATA BASE'!K29</f>
        <v>0</v>
      </c>
      <c r="F49" s="317">
        <f>'DATA BASE'!L29</f>
        <v>92</v>
      </c>
      <c r="G49" s="324">
        <f>'DATA BASE'!M29</f>
        <v>0</v>
      </c>
      <c r="H49" s="378">
        <f t="shared" ref="H49:H59" si="3">G49-D49</f>
        <v>0</v>
      </c>
      <c r="I49" s="392" t="s">
        <v>109</v>
      </c>
      <c r="K49" s="466">
        <f>'DATA BASE'!O29</f>
        <v>0</v>
      </c>
    </row>
    <row r="50" spans="1:11" ht="37.5" customHeight="1" x14ac:dyDescent="0.25">
      <c r="A50" s="6" t="s">
        <v>48</v>
      </c>
      <c r="B50" s="366">
        <f>'DATA BASE'!H30</f>
        <v>150</v>
      </c>
      <c r="C50" s="367">
        <f>'DATA BASE'!I30</f>
        <v>90</v>
      </c>
      <c r="D50" s="368">
        <f>'DATA BASE'!J30</f>
        <v>14.999999999999996</v>
      </c>
      <c r="E50" s="369">
        <f>'DATA BASE'!K30</f>
        <v>140</v>
      </c>
      <c r="F50" s="370">
        <f>'DATA BASE'!L30</f>
        <v>98</v>
      </c>
      <c r="G50" s="371">
        <f>'DATA BASE'!M30</f>
        <v>2.8000000000000025</v>
      </c>
      <c r="H50" s="378">
        <f t="shared" si="3"/>
        <v>-12.199999999999994</v>
      </c>
      <c r="I50" s="392" t="s">
        <v>109</v>
      </c>
      <c r="K50" s="466">
        <f>'DATA BASE'!O30</f>
        <v>0.06</v>
      </c>
    </row>
    <row r="51" spans="1:11" ht="37.5" customHeight="1" x14ac:dyDescent="0.25">
      <c r="A51" s="6" t="s">
        <v>54</v>
      </c>
      <c r="B51" s="309">
        <f>'DATA BASE'!H36</f>
        <v>150</v>
      </c>
      <c r="C51" s="300">
        <f>'DATA BASE'!I36</f>
        <v>80</v>
      </c>
      <c r="D51" s="319">
        <f>'DATA BASE'!J36</f>
        <v>29.999999999999993</v>
      </c>
      <c r="E51" s="316">
        <f>'DATA BASE'!K36</f>
        <v>180</v>
      </c>
      <c r="F51" s="317">
        <f>'DATA BASE'!L36</f>
        <v>69.599999999999994</v>
      </c>
      <c r="G51" s="324">
        <f>'DATA BASE'!M36</f>
        <v>54.720000000000006</v>
      </c>
      <c r="H51" s="378">
        <f t="shared" si="3"/>
        <v>24.720000000000013</v>
      </c>
      <c r="I51" s="392" t="s">
        <v>109</v>
      </c>
      <c r="K51" s="466">
        <f>'DATA BASE'!$O$36</f>
        <v>0.08</v>
      </c>
    </row>
    <row r="52" spans="1:11" ht="37.5" customHeight="1" x14ac:dyDescent="0.25">
      <c r="A52" s="6" t="s">
        <v>59</v>
      </c>
      <c r="B52" s="366">
        <f>'DATA BASE'!H41</f>
        <v>90</v>
      </c>
      <c r="C52" s="367">
        <f>'DATA BASE'!I41</f>
        <v>50.7</v>
      </c>
      <c r="D52" s="368">
        <f>'DATA BASE'!J41</f>
        <v>44.37</v>
      </c>
      <c r="E52" s="369">
        <f>'DATA BASE'!K41</f>
        <v>100</v>
      </c>
      <c r="F52" s="370">
        <f>'DATA BASE'!L41</f>
        <v>65.5</v>
      </c>
      <c r="G52" s="371">
        <f>'DATA BASE'!M41</f>
        <v>34.5</v>
      </c>
      <c r="H52" s="378">
        <f t="shared" si="3"/>
        <v>-9.8699999999999974</v>
      </c>
      <c r="I52" s="392" t="s">
        <v>109</v>
      </c>
      <c r="K52" s="466">
        <f>'DATA BASE'!$O$41</f>
        <v>1.2E-2</v>
      </c>
    </row>
    <row r="53" spans="1:11" ht="37.5" customHeight="1" x14ac:dyDescent="0.25">
      <c r="A53" s="6" t="s">
        <v>65</v>
      </c>
      <c r="B53" s="309">
        <f>'DATA BASE'!H48</f>
        <v>0</v>
      </c>
      <c r="C53" s="300">
        <f>'DATA BASE'!I48</f>
        <v>0</v>
      </c>
      <c r="D53" s="319">
        <f>'DATA BASE'!J48</f>
        <v>0</v>
      </c>
      <c r="E53" s="316">
        <f>'DATA BASE'!K48</f>
        <v>80</v>
      </c>
      <c r="F53" s="317">
        <f>'DATA BASE'!L48</f>
        <v>77.2</v>
      </c>
      <c r="G53" s="324">
        <f>'DATA BASE'!M48</f>
        <v>18.239999999999998</v>
      </c>
      <c r="H53" s="378">
        <f t="shared" si="3"/>
        <v>18.239999999999998</v>
      </c>
      <c r="I53" s="392" t="s">
        <v>109</v>
      </c>
      <c r="K53" s="466">
        <f>'DATA BASE'!$O$48</f>
        <v>0</v>
      </c>
    </row>
    <row r="54" spans="1:11" ht="37.5" customHeight="1" x14ac:dyDescent="0.25">
      <c r="A54" s="6" t="s">
        <v>68</v>
      </c>
      <c r="B54" s="366">
        <f>'DATA BASE'!H51</f>
        <v>0</v>
      </c>
      <c r="C54" s="367">
        <f>'DATA BASE'!I51</f>
        <v>0</v>
      </c>
      <c r="D54" s="368">
        <f>'DATA BASE'!J51</f>
        <v>0</v>
      </c>
      <c r="E54" s="369">
        <f>'DATA BASE'!K51</f>
        <v>140</v>
      </c>
      <c r="F54" s="370">
        <f>'DATA BASE'!L51</f>
        <v>92</v>
      </c>
      <c r="G54" s="371">
        <f>'DATA BASE'!M51</f>
        <v>11.199999999999994</v>
      </c>
      <c r="H54" s="378">
        <f t="shared" si="3"/>
        <v>11.199999999999994</v>
      </c>
      <c r="I54" s="392" t="s">
        <v>109</v>
      </c>
      <c r="K54" s="466">
        <f>'DATA BASE'!O51</f>
        <v>0</v>
      </c>
    </row>
    <row r="55" spans="1:11" ht="37.5" customHeight="1" x14ac:dyDescent="0.25">
      <c r="A55" s="6" t="s">
        <v>69</v>
      </c>
      <c r="B55" s="309">
        <f>'DATA BASE'!H52</f>
        <v>50</v>
      </c>
      <c r="C55" s="300">
        <f>'DATA BASE'!I52</f>
        <v>50</v>
      </c>
      <c r="D55" s="319">
        <f>'DATA BASE'!J52</f>
        <v>25</v>
      </c>
      <c r="E55" s="316">
        <f>'DATA BASE'!K52</f>
        <v>50</v>
      </c>
      <c r="F55" s="317">
        <f>'DATA BASE'!L52</f>
        <v>50</v>
      </c>
      <c r="G55" s="324">
        <f>'DATA BASE'!M52</f>
        <v>25</v>
      </c>
      <c r="H55" s="378">
        <f t="shared" si="3"/>
        <v>0</v>
      </c>
      <c r="I55" s="392" t="s">
        <v>109</v>
      </c>
      <c r="K55" s="466">
        <f>'DATA BASE'!O52</f>
        <v>0.06</v>
      </c>
    </row>
    <row r="56" spans="1:11" ht="37.5" customHeight="1" x14ac:dyDescent="0.25">
      <c r="A56" s="6" t="s">
        <v>85</v>
      </c>
      <c r="B56" s="366">
        <f>'DATA BASE'!H64</f>
        <v>90</v>
      </c>
      <c r="C56" s="367">
        <f>'DATA BASE'!I64</f>
        <v>50</v>
      </c>
      <c r="D56" s="368">
        <f>'DATA BASE'!J64</f>
        <v>45</v>
      </c>
      <c r="E56" s="369">
        <f>'DATA BASE'!K64</f>
        <v>150</v>
      </c>
      <c r="F56" s="370">
        <f>'DATA BASE'!L64</f>
        <v>3.2</v>
      </c>
      <c r="G56" s="371">
        <f>'DATA BASE'!M64</f>
        <v>145.19999999999999</v>
      </c>
      <c r="H56" s="378">
        <f t="shared" si="3"/>
        <v>100.19999999999999</v>
      </c>
      <c r="I56" s="392" t="s">
        <v>109</v>
      </c>
      <c r="K56" s="466">
        <f>'DATA BASE'!O64</f>
        <v>0.4</v>
      </c>
    </row>
    <row r="57" spans="1:11" ht="37.5" customHeight="1" x14ac:dyDescent="0.25">
      <c r="A57" s="6" t="s">
        <v>180</v>
      </c>
      <c r="B57" s="309">
        <f>'DATA BASE'!H65</f>
        <v>100</v>
      </c>
      <c r="C57" s="300">
        <f>'DATA BASE'!I65</f>
        <v>1.6</v>
      </c>
      <c r="D57" s="319">
        <f>'DATA BASE'!J65</f>
        <v>98.4</v>
      </c>
      <c r="E57" s="316">
        <f>'DATA BASE'!K65</f>
        <v>90</v>
      </c>
      <c r="F57" s="317">
        <f>'DATA BASE'!L65</f>
        <v>7.3</v>
      </c>
      <c r="G57" s="324">
        <f>'DATA BASE'!M65</f>
        <v>83.43</v>
      </c>
      <c r="H57" s="378">
        <f t="shared" si="3"/>
        <v>-14.969999999999999</v>
      </c>
      <c r="I57" s="392" t="s">
        <v>109</v>
      </c>
      <c r="K57" s="466">
        <f>'DATA BASE'!O65</f>
        <v>0.42</v>
      </c>
    </row>
    <row r="58" spans="1:11" ht="37.5" customHeight="1" x14ac:dyDescent="0.25">
      <c r="A58" s="6" t="s">
        <v>91</v>
      </c>
      <c r="B58" s="366">
        <f>'DATA BASE'!H71</f>
        <v>45</v>
      </c>
      <c r="C58" s="367">
        <f>'DATA BASE'!I71</f>
        <v>5</v>
      </c>
      <c r="D58" s="368">
        <f>'DATA BASE'!J71</f>
        <v>42.75</v>
      </c>
      <c r="E58" s="369">
        <f>'DATA BASE'!K71</f>
        <v>50</v>
      </c>
      <c r="F58" s="370">
        <f>'DATA BASE'!L71</f>
        <v>100</v>
      </c>
      <c r="G58" s="371">
        <f>'DATA BASE'!M71</f>
        <v>0</v>
      </c>
      <c r="H58" s="378">
        <f t="shared" si="3"/>
        <v>-42.75</v>
      </c>
      <c r="I58" s="392" t="s">
        <v>109</v>
      </c>
      <c r="K58" s="466">
        <f>'DATA BASE'!$O$71</f>
        <v>0.35</v>
      </c>
    </row>
    <row r="59" spans="1:11" ht="37.5" customHeight="1" thickBot="1" x14ac:dyDescent="0.3">
      <c r="A59" s="6" t="str">
        <f>'DATA BASE'!$A$73</f>
        <v>113M-128</v>
      </c>
      <c r="B59" s="366">
        <f>'DATA BASE'!H73</f>
        <v>100</v>
      </c>
      <c r="C59" s="367">
        <f>'DATA BASE'!I73</f>
        <v>18.3</v>
      </c>
      <c r="D59" s="368">
        <f>'DATA BASE'!J73</f>
        <v>81.699999999999989</v>
      </c>
      <c r="E59" s="369">
        <f>'DATA BASE'!K73</f>
        <v>100</v>
      </c>
      <c r="F59" s="370">
        <f>'DATA BASE'!L73</f>
        <v>38.5</v>
      </c>
      <c r="G59" s="371">
        <f>'DATA BASE'!M73</f>
        <v>61.5</v>
      </c>
      <c r="H59" s="378">
        <f t="shared" si="3"/>
        <v>-20.199999999999989</v>
      </c>
      <c r="I59" s="392" t="s">
        <v>109</v>
      </c>
      <c r="K59" s="630"/>
    </row>
    <row r="60" spans="1:11" ht="37.5" customHeight="1" thickTop="1" thickBot="1" x14ac:dyDescent="0.3">
      <c r="A60" s="643" t="s">
        <v>331</v>
      </c>
      <c r="B60" s="640">
        <f>SUM(B48:B59)</f>
        <v>1175</v>
      </c>
      <c r="C60" s="641"/>
      <c r="D60" s="642">
        <f>SUM(D48:D59)</f>
        <v>445.41999999999996</v>
      </c>
      <c r="E60" s="640">
        <f>SUM(E48:E59)</f>
        <v>1480</v>
      </c>
      <c r="F60" s="641"/>
      <c r="G60" s="642">
        <f>SUM(G48:G59)</f>
        <v>494.19</v>
      </c>
      <c r="H60" s="641">
        <f>SUM(H48:H58)</f>
        <v>68.970000000000041</v>
      </c>
      <c r="I60" s="641"/>
      <c r="K60" s="471">
        <f>SUM(K48:K58)</f>
        <v>1.6419999999999999</v>
      </c>
    </row>
    <row r="61" spans="1:11" ht="37.5" customHeight="1" thickTop="1" x14ac:dyDescent="0.25">
      <c r="A61" s="6" t="s">
        <v>32</v>
      </c>
      <c r="B61" s="309">
        <f>'DATA BASE'!H14</f>
        <v>80</v>
      </c>
      <c r="C61" s="300">
        <f>'DATA BASE'!I14</f>
        <v>93.6</v>
      </c>
      <c r="D61" s="319">
        <f>'DATA BASE'!J14</f>
        <v>5.1200000000000045</v>
      </c>
      <c r="E61" s="316">
        <f>'DATA BASE'!K14</f>
        <v>0</v>
      </c>
      <c r="F61" s="317">
        <f>'DATA BASE'!L14</f>
        <v>88</v>
      </c>
      <c r="G61" s="324">
        <f>'DATA BASE'!M14</f>
        <v>0</v>
      </c>
      <c r="H61" s="378">
        <f t="shared" ref="H61:H68" si="4">G61-D61</f>
        <v>-5.1200000000000045</v>
      </c>
      <c r="I61" s="392" t="s">
        <v>110</v>
      </c>
      <c r="K61" s="466">
        <f>'DATA BASE'!$O$14</f>
        <v>0.03</v>
      </c>
    </row>
    <row r="62" spans="1:11" ht="37.5" customHeight="1" x14ac:dyDescent="0.25">
      <c r="A62" s="6" t="s">
        <v>87</v>
      </c>
      <c r="B62" s="366">
        <f>'DATA BASE'!H67</f>
        <v>100</v>
      </c>
      <c r="C62" s="367">
        <f>'DATA BASE'!I67</f>
        <v>13</v>
      </c>
      <c r="D62" s="368">
        <f>'DATA BASE'!J67</f>
        <v>87</v>
      </c>
      <c r="E62" s="369">
        <f>'DATA BASE'!K67</f>
        <v>115</v>
      </c>
      <c r="F62" s="370">
        <f>'DATA BASE'!L67</f>
        <v>0.8</v>
      </c>
      <c r="G62" s="371">
        <f>'DATA BASE'!M67</f>
        <v>114.08</v>
      </c>
      <c r="H62" s="378">
        <f t="shared" si="4"/>
        <v>27.08</v>
      </c>
      <c r="I62" s="392" t="s">
        <v>110</v>
      </c>
      <c r="K62" s="466">
        <f>'DATA BASE'!$O$67</f>
        <v>0.34</v>
      </c>
    </row>
    <row r="63" spans="1:11" ht="37.5" customHeight="1" thickBot="1" x14ac:dyDescent="0.3">
      <c r="A63" s="6" t="str">
        <f>'DATA BASE'!$A$74</f>
        <v>113M-129</v>
      </c>
      <c r="B63" s="633">
        <f>'DATA BASE'!H74</f>
        <v>200</v>
      </c>
      <c r="C63" s="634">
        <f>'DATA BASE'!I74</f>
        <v>59.4</v>
      </c>
      <c r="D63" s="635">
        <f>'DATA BASE'!J74</f>
        <v>81.2</v>
      </c>
      <c r="E63" s="636">
        <f>'DATA BASE'!K74</f>
        <v>200</v>
      </c>
      <c r="F63" s="637">
        <f>'DATA BASE'!L74</f>
        <v>57.3</v>
      </c>
      <c r="G63" s="638">
        <f>'DATA BASE'!M74</f>
        <v>85.4</v>
      </c>
      <c r="H63" s="378">
        <f t="shared" si="4"/>
        <v>4.2000000000000028</v>
      </c>
      <c r="I63" s="392" t="s">
        <v>110</v>
      </c>
      <c r="K63" s="630"/>
    </row>
    <row r="64" spans="1:11" ht="37.5" customHeight="1" thickTop="1" thickBot="1" x14ac:dyDescent="0.3">
      <c r="A64" s="643" t="s">
        <v>331</v>
      </c>
      <c r="B64" s="640">
        <f>SUM(B61:B63)</f>
        <v>380</v>
      </c>
      <c r="C64" s="641"/>
      <c r="D64" s="642">
        <f>SUM(D61:D63)</f>
        <v>173.32</v>
      </c>
      <c r="E64" s="640">
        <f>SUM(E61:E63)</f>
        <v>315</v>
      </c>
      <c r="F64" s="641"/>
      <c r="G64" s="642">
        <f>SUM(G61:G63)</f>
        <v>199.48000000000002</v>
      </c>
      <c r="H64" s="641">
        <f>SUM(H61:H62)</f>
        <v>21.959999999999994</v>
      </c>
      <c r="I64" s="641"/>
      <c r="K64" s="471">
        <f>SUM(K61:K62)</f>
        <v>0.37</v>
      </c>
    </row>
    <row r="65" spans="1:11" ht="37.5" customHeight="1" thickTop="1" x14ac:dyDescent="0.25">
      <c r="A65" s="6" t="s">
        <v>35</v>
      </c>
      <c r="B65" s="309">
        <f>'DATA BASE'!H17</f>
        <v>0</v>
      </c>
      <c r="C65" s="300">
        <f>'DATA BASE'!I17</f>
        <v>80</v>
      </c>
      <c r="D65" s="319">
        <f>'DATA BASE'!J17</f>
        <v>0</v>
      </c>
      <c r="E65" s="316">
        <f>'DATA BASE'!K17</f>
        <v>200</v>
      </c>
      <c r="F65" s="317">
        <f>'DATA BASE'!L17</f>
        <v>97.2</v>
      </c>
      <c r="G65" s="324">
        <f>'DATA BASE'!M17</f>
        <v>5.600000000000005</v>
      </c>
      <c r="H65" s="378">
        <f t="shared" si="4"/>
        <v>5.600000000000005</v>
      </c>
      <c r="I65" s="392" t="s">
        <v>111</v>
      </c>
      <c r="K65" s="466">
        <f>'DATA BASE'!O17</f>
        <v>0</v>
      </c>
    </row>
    <row r="66" spans="1:11" ht="37.5" customHeight="1" thickBot="1" x14ac:dyDescent="0.3">
      <c r="A66" s="6" t="s">
        <v>36</v>
      </c>
      <c r="B66" s="366">
        <f>'DATA BASE'!H18</f>
        <v>0</v>
      </c>
      <c r="C66" s="367">
        <f>'DATA BASE'!I18</f>
        <v>0</v>
      </c>
      <c r="D66" s="368">
        <f>'DATA BASE'!J18</f>
        <v>0</v>
      </c>
      <c r="E66" s="369">
        <f>'DATA BASE'!K18</f>
        <v>0</v>
      </c>
      <c r="F66" s="370">
        <f>'DATA BASE'!L18</f>
        <v>0</v>
      </c>
      <c r="G66" s="371">
        <f>'DATA BASE'!M18</f>
        <v>0</v>
      </c>
      <c r="H66" s="378">
        <f t="shared" si="4"/>
        <v>0</v>
      </c>
      <c r="I66" s="392" t="s">
        <v>111</v>
      </c>
      <c r="K66" s="466">
        <f>'DATA BASE'!O18</f>
        <v>0</v>
      </c>
    </row>
    <row r="67" spans="1:11" ht="37.5" customHeight="1" thickTop="1" thickBot="1" x14ac:dyDescent="0.3">
      <c r="A67" s="643" t="s">
        <v>331</v>
      </c>
      <c r="B67" s="640">
        <f>SUM(B65:B66)</f>
        <v>0</v>
      </c>
      <c r="C67" s="641"/>
      <c r="D67" s="642">
        <f>SUM(D65:D66)</f>
        <v>0</v>
      </c>
      <c r="E67" s="640">
        <f>SUM(E65:E66)</f>
        <v>200</v>
      </c>
      <c r="F67" s="641"/>
      <c r="G67" s="642">
        <f>SUM(G65:G66)</f>
        <v>5.600000000000005</v>
      </c>
      <c r="H67" s="641">
        <f>SUM(H65:H66)</f>
        <v>5.600000000000005</v>
      </c>
      <c r="I67" s="641"/>
      <c r="K67" s="471">
        <f>SUM(K65:K66)</f>
        <v>0</v>
      </c>
    </row>
    <row r="68" spans="1:11" ht="37.5" customHeight="1" thickTop="1" thickBot="1" x14ac:dyDescent="0.3">
      <c r="A68" s="6" t="s">
        <v>53</v>
      </c>
      <c r="B68" s="309">
        <f>'DATA BASE'!H35</f>
        <v>0</v>
      </c>
      <c r="C68" s="300">
        <f>'DATA BASE'!I35</f>
        <v>0</v>
      </c>
      <c r="D68" s="319">
        <f>'DATA BASE'!J35</f>
        <v>0</v>
      </c>
      <c r="E68" s="316">
        <f>'DATA BASE'!K35</f>
        <v>35</v>
      </c>
      <c r="F68" s="317">
        <f>'DATA BASE'!L35</f>
        <v>67.8</v>
      </c>
      <c r="G68" s="324">
        <f>'DATA BASE'!M35</f>
        <v>11.270000000000003</v>
      </c>
      <c r="H68" s="378">
        <f t="shared" si="4"/>
        <v>11.270000000000003</v>
      </c>
      <c r="I68" s="392" t="s">
        <v>112</v>
      </c>
      <c r="K68" s="467">
        <f>'DATA BASE'!$O$35</f>
        <v>0</v>
      </c>
    </row>
    <row r="69" spans="1:11" ht="37.5" customHeight="1" thickTop="1" thickBot="1" x14ac:dyDescent="0.3">
      <c r="A69" s="643" t="s">
        <v>331</v>
      </c>
      <c r="B69" s="640">
        <f>SUM(B68)</f>
        <v>0</v>
      </c>
      <c r="C69" s="641"/>
      <c r="D69" s="642">
        <f>SUM(D68)</f>
        <v>0</v>
      </c>
      <c r="E69" s="640">
        <f>SUM(E68)</f>
        <v>35</v>
      </c>
      <c r="F69" s="641"/>
      <c r="G69" s="642">
        <f>SUM(G68)</f>
        <v>11.270000000000003</v>
      </c>
      <c r="H69" s="641">
        <f>SUM(H68)</f>
        <v>11.270000000000003</v>
      </c>
      <c r="I69" s="641"/>
      <c r="K69" s="471">
        <f>SUM(K68)</f>
        <v>0</v>
      </c>
    </row>
    <row r="70" spans="1:11" ht="37.5" customHeight="1" thickTop="1" x14ac:dyDescent="0.25">
      <c r="A70" s="373" t="s">
        <v>316</v>
      </c>
      <c r="B70" s="374" t="s">
        <v>318</v>
      </c>
      <c r="C70" s="374" t="s">
        <v>317</v>
      </c>
      <c r="D70" s="375" t="s">
        <v>319</v>
      </c>
      <c r="E70" s="374" t="s">
        <v>131</v>
      </c>
      <c r="F70" s="374" t="s">
        <v>132</v>
      </c>
      <c r="G70" s="376" t="s">
        <v>181</v>
      </c>
      <c r="H70" s="377" t="s">
        <v>320</v>
      </c>
      <c r="I70" s="377" t="s">
        <v>262</v>
      </c>
      <c r="K70" s="468"/>
    </row>
    <row r="71" spans="1:11" ht="37.5" customHeight="1" x14ac:dyDescent="0.25">
      <c r="A71" s="6" t="s">
        <v>50</v>
      </c>
      <c r="B71" s="309">
        <f>'DATA BASE'!H32</f>
        <v>0</v>
      </c>
      <c r="C71" s="300">
        <f>'DATA BASE'!I32</f>
        <v>98</v>
      </c>
      <c r="D71" s="319">
        <f>'DATA BASE'!J32</f>
        <v>0</v>
      </c>
      <c r="E71" s="316">
        <f>'DATA BASE'!K32</f>
        <v>0</v>
      </c>
      <c r="F71" s="317">
        <f>'DATA BASE'!L32</f>
        <v>96</v>
      </c>
      <c r="G71" s="324">
        <f>'DATA BASE'!M32</f>
        <v>0</v>
      </c>
      <c r="H71" s="378">
        <f t="shared" ref="H71:H76" si="5">G71-D71</f>
        <v>0</v>
      </c>
      <c r="I71" s="392" t="s">
        <v>113</v>
      </c>
      <c r="K71" s="466">
        <f>'DATA BASE'!$O$32</f>
        <v>0</v>
      </c>
    </row>
    <row r="72" spans="1:11" ht="37.5" customHeight="1" x14ac:dyDescent="0.25">
      <c r="A72" s="6" t="s">
        <v>208</v>
      </c>
      <c r="B72" s="366">
        <f>'DATA BASE'!H89</f>
        <v>50</v>
      </c>
      <c r="C72" s="367">
        <f>'DATA BASE'!I89</f>
        <v>74</v>
      </c>
      <c r="D72" s="368">
        <f>'DATA BASE'!J89</f>
        <v>13</v>
      </c>
      <c r="E72" s="369">
        <f>'DATA BASE'!K89</f>
        <v>50</v>
      </c>
      <c r="F72" s="370">
        <f>'DATA BASE'!L89</f>
        <v>73.099999999999994</v>
      </c>
      <c r="G72" s="371">
        <f>'DATA BASE'!M89</f>
        <v>13.450000000000001</v>
      </c>
      <c r="H72" s="378">
        <f t="shared" si="5"/>
        <v>0.45000000000000107</v>
      </c>
      <c r="I72" s="392" t="s">
        <v>113</v>
      </c>
      <c r="K72" s="466">
        <f>'DATA BASE'!$O$89</f>
        <v>0.22</v>
      </c>
    </row>
    <row r="73" spans="1:11" ht="37.5" customHeight="1" x14ac:dyDescent="0.25">
      <c r="A73" s="6" t="s">
        <v>250</v>
      </c>
      <c r="B73" s="309">
        <f>'DATA BASE'!H98</f>
        <v>0</v>
      </c>
      <c r="C73" s="300">
        <f>'DATA BASE'!I98</f>
        <v>100</v>
      </c>
      <c r="D73" s="319">
        <f>'DATA BASE'!J98</f>
        <v>0</v>
      </c>
      <c r="E73" s="316">
        <f>'DATA BASE'!K98</f>
        <v>0</v>
      </c>
      <c r="F73" s="317">
        <f>'DATA BASE'!L98</f>
        <v>100</v>
      </c>
      <c r="G73" s="324">
        <f>'DATA BASE'!M98</f>
        <v>0</v>
      </c>
      <c r="H73" s="378">
        <f t="shared" si="5"/>
        <v>0</v>
      </c>
      <c r="I73" s="392" t="s">
        <v>113</v>
      </c>
      <c r="K73" s="466">
        <f>'DATA BASE'!$O$98</f>
        <v>0</v>
      </c>
    </row>
    <row r="74" spans="1:11" ht="37.5" customHeight="1" x14ac:dyDescent="0.25">
      <c r="A74" s="6" t="s">
        <v>254</v>
      </c>
      <c r="B74" s="366">
        <f>'DATA BASE'!H112</f>
        <v>0</v>
      </c>
      <c r="C74" s="367">
        <f>'DATA BASE'!I112</f>
        <v>76.400000000000006</v>
      </c>
      <c r="D74" s="368">
        <f>'DATA BASE'!J112</f>
        <v>0</v>
      </c>
      <c r="E74" s="369">
        <f>'DATA BASE'!K112</f>
        <v>0</v>
      </c>
      <c r="F74" s="370">
        <f>'DATA BASE'!L112</f>
        <v>82.1</v>
      </c>
      <c r="G74" s="371">
        <f>'DATA BASE'!M112</f>
        <v>0</v>
      </c>
      <c r="H74" s="378">
        <f t="shared" si="5"/>
        <v>0</v>
      </c>
      <c r="I74" s="392" t="s">
        <v>113</v>
      </c>
      <c r="K74" s="466">
        <f>'DATA BASE'!$O$112</f>
        <v>0</v>
      </c>
    </row>
    <row r="75" spans="1:11" ht="37.5" customHeight="1" x14ac:dyDescent="0.25">
      <c r="A75" s="6" t="s">
        <v>224</v>
      </c>
      <c r="B75" s="309">
        <f>'DATA BASE'!H115</f>
        <v>0</v>
      </c>
      <c r="C75" s="300">
        <f>'DATA BASE'!I115</f>
        <v>48</v>
      </c>
      <c r="D75" s="319">
        <f>'DATA BASE'!J115</f>
        <v>0</v>
      </c>
      <c r="E75" s="316">
        <f>'DATA BASE'!K115</f>
        <v>0</v>
      </c>
      <c r="F75" s="317">
        <f>'DATA BASE'!L115</f>
        <v>33.799999999999997</v>
      </c>
      <c r="G75" s="324">
        <f>'DATA BASE'!M115</f>
        <v>0</v>
      </c>
      <c r="H75" s="378">
        <f t="shared" si="5"/>
        <v>0</v>
      </c>
      <c r="I75" s="392" t="s">
        <v>113</v>
      </c>
      <c r="K75" s="466">
        <f>'DATA BASE'!$O$115</f>
        <v>0</v>
      </c>
    </row>
    <row r="76" spans="1:11" ht="37.5" customHeight="1" thickBot="1" x14ac:dyDescent="0.3">
      <c r="A76" s="6" t="str">
        <f>'DATA BASE'!$A$141</f>
        <v>BM-133</v>
      </c>
      <c r="B76" s="309">
        <f>'DATA BASE'!H141</f>
        <v>250</v>
      </c>
      <c r="C76" s="300">
        <f>'DATA BASE'!I141</f>
        <v>0.4</v>
      </c>
      <c r="D76" s="319">
        <f>'DATA BASE'!J141</f>
        <v>249</v>
      </c>
      <c r="E76" s="316">
        <f>'DATA BASE'!K141</f>
        <v>260</v>
      </c>
      <c r="F76" s="317">
        <f>'DATA BASE'!L141</f>
        <v>0.4</v>
      </c>
      <c r="G76" s="324">
        <f>'DATA BASE'!M141</f>
        <v>258.95999999999998</v>
      </c>
      <c r="H76" s="378">
        <f t="shared" si="5"/>
        <v>9.9599999999999795</v>
      </c>
      <c r="I76" s="392"/>
      <c r="K76" s="630"/>
    </row>
    <row r="77" spans="1:11" ht="37.5" customHeight="1" thickTop="1" thickBot="1" x14ac:dyDescent="0.3">
      <c r="A77" s="643" t="s">
        <v>331</v>
      </c>
      <c r="B77" s="640">
        <f>SUM(B71:B76)</f>
        <v>300</v>
      </c>
      <c r="C77" s="641"/>
      <c r="D77" s="642">
        <f>SUM(D71:D76)</f>
        <v>262</v>
      </c>
      <c r="E77" s="640">
        <f>SUM(E71:E76)</f>
        <v>310</v>
      </c>
      <c r="F77" s="641"/>
      <c r="G77" s="642">
        <f>SUM(G71:G76)</f>
        <v>272.40999999999997</v>
      </c>
      <c r="H77" s="641">
        <f>SUM(H75)</f>
        <v>0</v>
      </c>
      <c r="I77" s="641"/>
      <c r="K77" s="471">
        <f>SUM(K71:K75)</f>
        <v>0.22</v>
      </c>
    </row>
    <row r="78" spans="1:11" ht="37.5" customHeight="1" thickTop="1" x14ac:dyDescent="0.25">
      <c r="A78" s="6" t="s">
        <v>80</v>
      </c>
      <c r="B78" s="309">
        <v>140</v>
      </c>
      <c r="C78" s="300">
        <v>71.599999999999994</v>
      </c>
      <c r="D78" s="319">
        <v>39.760000000000005</v>
      </c>
      <c r="E78" s="316">
        <v>130</v>
      </c>
      <c r="F78" s="317">
        <v>80.2</v>
      </c>
      <c r="G78" s="324">
        <v>25.739999999999995</v>
      </c>
      <c r="H78" s="378">
        <f>G78-D78</f>
        <v>-14.02000000000001</v>
      </c>
      <c r="I78" s="392" t="s">
        <v>114</v>
      </c>
      <c r="K78" s="466">
        <f>'DATA BASE'!$O$60</f>
        <v>0.34</v>
      </c>
    </row>
    <row r="79" spans="1:11" ht="37.5" customHeight="1" x14ac:dyDescent="0.25">
      <c r="A79" s="6" t="s">
        <v>212</v>
      </c>
      <c r="B79" s="366">
        <v>40</v>
      </c>
      <c r="C79" s="367">
        <v>41.3</v>
      </c>
      <c r="D79" s="368">
        <v>23.479999999999997</v>
      </c>
      <c r="E79" s="369">
        <v>40</v>
      </c>
      <c r="F79" s="370">
        <v>41.3</v>
      </c>
      <c r="G79" s="371">
        <v>23.479999999999997</v>
      </c>
      <c r="H79" s="378">
        <f>G79-D79</f>
        <v>0</v>
      </c>
      <c r="I79" s="392" t="s">
        <v>114</v>
      </c>
      <c r="K79" s="466">
        <f>'DATA BASE'!$O$96</f>
        <v>0.11</v>
      </c>
    </row>
    <row r="80" spans="1:11" ht="37.5" customHeight="1" x14ac:dyDescent="0.25">
      <c r="A80" s="6" t="s">
        <v>237</v>
      </c>
      <c r="B80" s="309">
        <v>80</v>
      </c>
      <c r="C80" s="300">
        <v>12</v>
      </c>
      <c r="D80" s="319">
        <v>70.400000000000006</v>
      </c>
      <c r="E80" s="316">
        <v>80</v>
      </c>
      <c r="F80" s="317">
        <v>0.8</v>
      </c>
      <c r="G80" s="324">
        <v>79.36</v>
      </c>
      <c r="H80" s="378">
        <f>G80-D80</f>
        <v>8.9599999999999937</v>
      </c>
      <c r="I80" s="392" t="s">
        <v>114</v>
      </c>
      <c r="K80" s="466">
        <f>'DATA BASE'!$O$132</f>
        <v>0.6</v>
      </c>
    </row>
    <row r="81" spans="1:11" ht="37.5" customHeight="1" thickBot="1" x14ac:dyDescent="0.3">
      <c r="A81" s="6" t="str">
        <f>'DATA BASE'!$A$88</f>
        <v>BM-37</v>
      </c>
      <c r="B81" s="309">
        <f>'DATA BASE'!H88</f>
        <v>30</v>
      </c>
      <c r="C81" s="300">
        <f>'DATA BASE'!I88</f>
        <v>16.8</v>
      </c>
      <c r="D81" s="319">
        <f>'DATA BASE'!J88</f>
        <v>24.959999999999997</v>
      </c>
      <c r="E81" s="316">
        <f>'DATA BASE'!K88</f>
        <v>50</v>
      </c>
      <c r="F81" s="317">
        <f>'DATA BASE'!L88</f>
        <v>50.8</v>
      </c>
      <c r="G81" s="324">
        <f>'DATA BASE'!M88</f>
        <v>24.6</v>
      </c>
      <c r="H81" s="378">
        <f>G81-D81</f>
        <v>-0.35999999999999588</v>
      </c>
      <c r="I81" s="392" t="s">
        <v>114</v>
      </c>
      <c r="K81" s="630"/>
    </row>
    <row r="82" spans="1:11" ht="37.5" customHeight="1" thickTop="1" thickBot="1" x14ac:dyDescent="0.3">
      <c r="A82" s="643" t="s">
        <v>331</v>
      </c>
      <c r="B82" s="640">
        <f>SUM(B78:B81)</f>
        <v>290</v>
      </c>
      <c r="C82" s="641"/>
      <c r="D82" s="642">
        <f>SUM(D78:D81)</f>
        <v>158.60000000000002</v>
      </c>
      <c r="E82" s="640">
        <f>SUM(E78:E81)</f>
        <v>300</v>
      </c>
      <c r="F82" s="641"/>
      <c r="G82" s="642">
        <f>SUM(G78:G81)</f>
        <v>153.17999999999998</v>
      </c>
      <c r="H82" s="641">
        <f>SUM(H78:H81)</f>
        <v>-5.4200000000000124</v>
      </c>
      <c r="I82" s="641"/>
      <c r="K82" s="471">
        <f>SUM(K78:K80)</f>
        <v>1.05</v>
      </c>
    </row>
    <row r="83" spans="1:11" ht="37.5" customHeight="1" thickTop="1" x14ac:dyDescent="0.25">
      <c r="A83" s="6" t="s">
        <v>227</v>
      </c>
      <c r="B83" s="366">
        <f>'DATA BASE'!H118</f>
        <v>40</v>
      </c>
      <c r="C83" s="367">
        <f>'DATA BASE'!I118</f>
        <v>18</v>
      </c>
      <c r="D83" s="368">
        <f>'DATA BASE'!J118</f>
        <v>32.800000000000004</v>
      </c>
      <c r="E83" s="369">
        <f>'DATA BASE'!K118</f>
        <v>40</v>
      </c>
      <c r="F83" s="370">
        <f>'DATA BASE'!L118</f>
        <v>71.7</v>
      </c>
      <c r="G83" s="371">
        <f>'DATA BASE'!M118</f>
        <v>11.319999999999997</v>
      </c>
      <c r="H83" s="378">
        <f t="shared" ref="H83:H96" si="6">G83-D83</f>
        <v>-21.480000000000008</v>
      </c>
      <c r="I83" s="392" t="s">
        <v>115</v>
      </c>
      <c r="K83" s="466">
        <f>'DATA BASE'!$O$118</f>
        <v>0.1</v>
      </c>
    </row>
    <row r="84" spans="1:11" ht="37.5" customHeight="1" x14ac:dyDescent="0.25">
      <c r="A84" s="6" t="s">
        <v>230</v>
      </c>
      <c r="B84" s="309">
        <f>'DATA BASE'!H122</f>
        <v>50</v>
      </c>
      <c r="C84" s="300">
        <f>'DATA BASE'!I122</f>
        <v>85.2</v>
      </c>
      <c r="D84" s="319">
        <f>'DATA BASE'!J122</f>
        <v>7.4000000000000012</v>
      </c>
      <c r="E84" s="316">
        <f>'DATA BASE'!K122</f>
        <v>60</v>
      </c>
      <c r="F84" s="317">
        <f>'DATA BASE'!L122</f>
        <v>76.400000000000006</v>
      </c>
      <c r="G84" s="324">
        <f>'DATA BASE'!M122</f>
        <v>14.16</v>
      </c>
      <c r="H84" s="378">
        <f t="shared" si="6"/>
        <v>6.7599999999999989</v>
      </c>
      <c r="I84" s="392" t="s">
        <v>115</v>
      </c>
      <c r="K84" s="466">
        <f>'DATA BASE'!$O$122</f>
        <v>0.3</v>
      </c>
    </row>
    <row r="85" spans="1:11" ht="37.5" customHeight="1" x14ac:dyDescent="0.25">
      <c r="A85" s="6" t="str">
        <f>'DATA BASE'!$A$123</f>
        <v>BM-103</v>
      </c>
      <c r="B85" s="309">
        <f>'DATA BASE'!H123</f>
        <v>0</v>
      </c>
      <c r="C85" s="300">
        <f>'DATA BASE'!I123</f>
        <v>0</v>
      </c>
      <c r="D85" s="319">
        <f>'DATA BASE'!J123</f>
        <v>0</v>
      </c>
      <c r="E85" s="316">
        <f>'DATA BASE'!K123</f>
        <v>0</v>
      </c>
      <c r="F85" s="317">
        <f>'DATA BASE'!L123</f>
        <v>0</v>
      </c>
      <c r="G85" s="324">
        <f>'DATA BASE'!M123</f>
        <v>0</v>
      </c>
      <c r="H85" s="378">
        <f t="shared" si="6"/>
        <v>0</v>
      </c>
      <c r="I85" s="392" t="s">
        <v>115</v>
      </c>
      <c r="K85" s="466"/>
    </row>
    <row r="86" spans="1:11" ht="37.5" customHeight="1" thickBot="1" x14ac:dyDescent="0.3">
      <c r="A86" s="6" t="s">
        <v>233</v>
      </c>
      <c r="B86" s="309">
        <f>'DATA BASE'!H128</f>
        <v>50</v>
      </c>
      <c r="C86" s="300">
        <f>'DATA BASE'!I128</f>
        <v>9.6999999999999993</v>
      </c>
      <c r="D86" s="319">
        <f>'DATA BASE'!J128</f>
        <v>45.15</v>
      </c>
      <c r="E86" s="316">
        <f>'DATA BASE'!K128</f>
        <v>50</v>
      </c>
      <c r="F86" s="317">
        <f>'DATA BASE'!L128</f>
        <v>8.1999999999999993</v>
      </c>
      <c r="G86" s="324">
        <f>'DATA BASE'!M128</f>
        <v>45.9</v>
      </c>
      <c r="H86" s="378">
        <f t="shared" si="6"/>
        <v>0.75</v>
      </c>
      <c r="I86" s="392" t="s">
        <v>115</v>
      </c>
      <c r="K86" s="466">
        <f>'DATA BASE'!$O$128</f>
        <v>0.56999999999999995</v>
      </c>
    </row>
    <row r="87" spans="1:11" ht="37.5" customHeight="1" thickTop="1" thickBot="1" x14ac:dyDescent="0.3">
      <c r="A87" s="643" t="s">
        <v>331</v>
      </c>
      <c r="B87" s="640">
        <f>SUM(B83:B86)</f>
        <v>140</v>
      </c>
      <c r="C87" s="641"/>
      <c r="D87" s="642">
        <f>SUM(D83:D86)</f>
        <v>85.35</v>
      </c>
      <c r="E87" s="640">
        <f>SUM(E83:E86)</f>
        <v>150</v>
      </c>
      <c r="F87" s="641"/>
      <c r="G87" s="642">
        <f>SUM(G83:G86)</f>
        <v>71.38</v>
      </c>
      <c r="H87" s="641">
        <f>SUM(H83:H86)</f>
        <v>-13.97000000000001</v>
      </c>
      <c r="I87" s="641"/>
      <c r="K87" s="471">
        <f>SUM(K83:K86)</f>
        <v>0.97</v>
      </c>
    </row>
    <row r="88" spans="1:11" ht="37.5" customHeight="1" thickTop="1" x14ac:dyDescent="0.25">
      <c r="A88" s="6" t="s">
        <v>82</v>
      </c>
      <c r="B88" s="309">
        <f>'DATA BASE'!H61</f>
        <v>120</v>
      </c>
      <c r="C88" s="300">
        <f>'DATA BASE'!I61</f>
        <v>90.1</v>
      </c>
      <c r="D88" s="319">
        <f>'DATA BASE'!J61</f>
        <v>11.88000000000001</v>
      </c>
      <c r="E88" s="316">
        <f>'DATA BASE'!K61</f>
        <v>120</v>
      </c>
      <c r="F88" s="317">
        <f>'DATA BASE'!L61</f>
        <v>90.1</v>
      </c>
      <c r="G88" s="324">
        <f>'DATA BASE'!M61</f>
        <v>11.88000000000001</v>
      </c>
      <c r="H88" s="378">
        <f t="shared" si="6"/>
        <v>0</v>
      </c>
      <c r="I88" s="392" t="s">
        <v>116</v>
      </c>
      <c r="K88" s="466">
        <f>'DATA BASE'!$O$61</f>
        <v>0.39</v>
      </c>
    </row>
    <row r="89" spans="1:11" ht="37.5" customHeight="1" x14ac:dyDescent="0.25">
      <c r="A89" s="6" t="s">
        <v>219</v>
      </c>
      <c r="B89" s="309">
        <f>'DATA BASE'!H108</f>
        <v>100</v>
      </c>
      <c r="C89" s="300">
        <f>'DATA BASE'!I108</f>
        <v>98</v>
      </c>
      <c r="D89" s="319">
        <f>'DATA BASE'!J108</f>
        <v>2.0000000000000018</v>
      </c>
      <c r="E89" s="316">
        <f>'DATA BASE'!K108</f>
        <v>100</v>
      </c>
      <c r="F89" s="317">
        <f>'DATA BASE'!L108</f>
        <v>97.6</v>
      </c>
      <c r="G89" s="324">
        <f>'DATA BASE'!M108</f>
        <v>2.4000000000000021</v>
      </c>
      <c r="H89" s="378">
        <f t="shared" si="6"/>
        <v>0.40000000000000036</v>
      </c>
      <c r="I89" s="392" t="s">
        <v>116</v>
      </c>
      <c r="K89" s="466">
        <f>'DATA BASE'!$O$108</f>
        <v>0.03</v>
      </c>
    </row>
    <row r="90" spans="1:11" ht="37.5" customHeight="1" x14ac:dyDescent="0.25">
      <c r="A90" s="6" t="s">
        <v>255</v>
      </c>
      <c r="B90" s="309">
        <f>'DATA BASE'!H113</f>
        <v>0</v>
      </c>
      <c r="C90" s="300">
        <f>'DATA BASE'!I113</f>
        <v>92.6</v>
      </c>
      <c r="D90" s="319">
        <f>'DATA BASE'!J113</f>
        <v>0</v>
      </c>
      <c r="E90" s="316">
        <f>'DATA BASE'!K113</f>
        <v>0</v>
      </c>
      <c r="F90" s="317">
        <f>'DATA BASE'!L113</f>
        <v>92.6</v>
      </c>
      <c r="G90" s="324">
        <f>'DATA BASE'!M113</f>
        <v>0</v>
      </c>
      <c r="H90" s="378">
        <f t="shared" si="6"/>
        <v>0</v>
      </c>
      <c r="I90" s="392" t="s">
        <v>116</v>
      </c>
      <c r="K90" s="466">
        <f>'DATA BASE'!$O$113</f>
        <v>0</v>
      </c>
    </row>
    <row r="91" spans="1:11" ht="37.5" customHeight="1" x14ac:dyDescent="0.25">
      <c r="A91" s="6" t="s">
        <v>228</v>
      </c>
      <c r="B91" s="366">
        <f>'DATA BASE'!H119</f>
        <v>35</v>
      </c>
      <c r="C91" s="367">
        <f>'DATA BASE'!I119</f>
        <v>10</v>
      </c>
      <c r="D91" s="368">
        <f>'DATA BASE'!J119</f>
        <v>31.5</v>
      </c>
      <c r="E91" s="369">
        <f>'DATA BASE'!K119</f>
        <v>30</v>
      </c>
      <c r="F91" s="370">
        <f>'DATA BASE'!L119</f>
        <v>0.8</v>
      </c>
      <c r="G91" s="371">
        <f>'DATA BASE'!M119</f>
        <v>29.759999999999998</v>
      </c>
      <c r="H91" s="378">
        <f t="shared" si="6"/>
        <v>-1.740000000000002</v>
      </c>
      <c r="I91" s="392" t="s">
        <v>116</v>
      </c>
      <c r="K91" s="466">
        <f>'DATA BASE'!$O$119</f>
        <v>0.02</v>
      </c>
    </row>
    <row r="92" spans="1:11" ht="37.5" customHeight="1" x14ac:dyDescent="0.25">
      <c r="A92" s="6" t="s">
        <v>259</v>
      </c>
      <c r="B92" s="309">
        <f>'DATA BASE'!H129</f>
        <v>50</v>
      </c>
      <c r="C92" s="300">
        <f>'DATA BASE'!I129</f>
        <v>68.5</v>
      </c>
      <c r="D92" s="319">
        <f>'DATA BASE'!J129</f>
        <v>15.749999999999996</v>
      </c>
      <c r="E92" s="316">
        <f>'DATA BASE'!K129</f>
        <v>100</v>
      </c>
      <c r="F92" s="317">
        <f>'DATA BASE'!L129</f>
        <v>68.400000000000006</v>
      </c>
      <c r="G92" s="324">
        <f>'DATA BASE'!M129</f>
        <v>31.599999999999994</v>
      </c>
      <c r="H92" s="378">
        <f t="shared" si="6"/>
        <v>15.849999999999998</v>
      </c>
      <c r="I92" s="392" t="s">
        <v>116</v>
      </c>
      <c r="K92" s="466">
        <f>'DATA BASE'!$O$129</f>
        <v>0.31</v>
      </c>
    </row>
    <row r="93" spans="1:11" ht="37.5" customHeight="1" x14ac:dyDescent="0.25">
      <c r="A93" s="6" t="str">
        <f>'DATA BASE'!$A$140</f>
        <v>BM-130</v>
      </c>
      <c r="B93" s="309">
        <f>'DATA BASE'!H140</f>
        <v>120</v>
      </c>
      <c r="C93" s="300">
        <f>'DATA BASE'!I140</f>
        <v>58</v>
      </c>
      <c r="D93" s="319">
        <f>'DATA BASE'!J140</f>
        <v>50.400000000000006</v>
      </c>
      <c r="E93" s="316">
        <f>'DATA BASE'!K140</f>
        <v>110</v>
      </c>
      <c r="F93" s="317">
        <f>'DATA BASE'!L140</f>
        <v>49.9</v>
      </c>
      <c r="G93" s="324">
        <f>'DATA BASE'!M140</f>
        <v>55.11</v>
      </c>
      <c r="H93" s="378">
        <f t="shared" si="6"/>
        <v>4.7099999999999937</v>
      </c>
      <c r="I93" s="392" t="s">
        <v>116</v>
      </c>
      <c r="K93" s="466"/>
    </row>
    <row r="94" spans="1:11" ht="37.5" customHeight="1" x14ac:dyDescent="0.25">
      <c r="A94" s="6" t="str">
        <f>'DATA BASE'!$A$93</f>
        <v>BM-46</v>
      </c>
      <c r="B94" s="309">
        <f>'DATA BASE'!H93</f>
        <v>0</v>
      </c>
      <c r="C94" s="300">
        <f>'DATA BASE'!I93</f>
        <v>0</v>
      </c>
      <c r="D94" s="319">
        <f>'DATA BASE'!J93</f>
        <v>0</v>
      </c>
      <c r="E94" s="316">
        <f>'DATA BASE'!K93</f>
        <v>65</v>
      </c>
      <c r="F94" s="317">
        <f>'DATA BASE'!L93</f>
        <v>70.400000000000006</v>
      </c>
      <c r="G94" s="324">
        <f>'DATA BASE'!M93</f>
        <v>19.239999999999995</v>
      </c>
      <c r="H94" s="378">
        <f t="shared" si="6"/>
        <v>19.239999999999995</v>
      </c>
      <c r="I94" s="392" t="s">
        <v>116</v>
      </c>
      <c r="K94" s="466"/>
    </row>
    <row r="95" spans="1:11" ht="37.5" customHeight="1" x14ac:dyDescent="0.25">
      <c r="A95" s="6" t="s">
        <v>242</v>
      </c>
      <c r="B95" s="309">
        <f>'DATA BASE'!H144</f>
        <v>90</v>
      </c>
      <c r="C95" s="300">
        <f>'DATA BASE'!I144</f>
        <v>50</v>
      </c>
      <c r="D95" s="319">
        <f>'DATA BASE'!J144</f>
        <v>45</v>
      </c>
      <c r="E95" s="316">
        <f>'DATA BASE'!K144</f>
        <v>90</v>
      </c>
      <c r="F95" s="317">
        <f>'DATA BASE'!L144</f>
        <v>46.6</v>
      </c>
      <c r="G95" s="324">
        <f>'DATA BASE'!M144</f>
        <v>48.06</v>
      </c>
      <c r="H95" s="378">
        <f t="shared" si="6"/>
        <v>3.0600000000000023</v>
      </c>
      <c r="I95" s="392" t="s">
        <v>116</v>
      </c>
      <c r="K95" s="466">
        <f>'DATA BASE'!O144</f>
        <v>0.68</v>
      </c>
    </row>
    <row r="96" spans="1:11" ht="37.5" customHeight="1" thickBot="1" x14ac:dyDescent="0.3">
      <c r="A96" s="6" t="s">
        <v>243</v>
      </c>
      <c r="B96" s="366">
        <f>'DATA BASE'!H145</f>
        <v>0</v>
      </c>
      <c r="C96" s="367">
        <f>'DATA BASE'!I145</f>
        <v>0</v>
      </c>
      <c r="D96" s="368">
        <f>'DATA BASE'!J145</f>
        <v>0</v>
      </c>
      <c r="E96" s="369">
        <f>'DATA BASE'!K145</f>
        <v>40</v>
      </c>
      <c r="F96" s="370">
        <f>'DATA BASE'!L145</f>
        <v>1.2</v>
      </c>
      <c r="G96" s="371">
        <f>'DATA BASE'!M145</f>
        <v>39.519999999999996</v>
      </c>
      <c r="H96" s="378">
        <f t="shared" si="6"/>
        <v>39.519999999999996</v>
      </c>
      <c r="I96" s="392" t="s">
        <v>116</v>
      </c>
      <c r="K96" s="466">
        <f>'DATA BASE'!O145</f>
        <v>0</v>
      </c>
    </row>
    <row r="97" spans="1:11" ht="37.5" customHeight="1" thickTop="1" thickBot="1" x14ac:dyDescent="0.3">
      <c r="A97" s="643" t="s">
        <v>331</v>
      </c>
      <c r="B97" s="640">
        <f>SUM(B88:B96)</f>
        <v>515</v>
      </c>
      <c r="C97" s="641"/>
      <c r="D97" s="642">
        <f>SUM(D88:D96)</f>
        <v>156.53000000000003</v>
      </c>
      <c r="E97" s="640">
        <f>SUM(E88:E96)</f>
        <v>655</v>
      </c>
      <c r="F97" s="641"/>
      <c r="G97" s="642">
        <f>SUM(G88:G96)</f>
        <v>237.57</v>
      </c>
      <c r="H97" s="641">
        <f>SUM(H88:H96)</f>
        <v>81.039999999999992</v>
      </c>
      <c r="I97" s="641"/>
      <c r="K97" s="471">
        <f>SUM(K88:K96)</f>
        <v>1.4300000000000002</v>
      </c>
    </row>
    <row r="98" spans="1:11" ht="37.5" customHeight="1" thickTop="1" x14ac:dyDescent="0.25">
      <c r="A98" s="373" t="s">
        <v>316</v>
      </c>
      <c r="B98" s="374" t="s">
        <v>318</v>
      </c>
      <c r="C98" s="374" t="s">
        <v>317</v>
      </c>
      <c r="D98" s="375" t="s">
        <v>319</v>
      </c>
      <c r="E98" s="374" t="s">
        <v>131</v>
      </c>
      <c r="F98" s="374" t="s">
        <v>132</v>
      </c>
      <c r="G98" s="376" t="s">
        <v>181</v>
      </c>
      <c r="H98" s="377" t="s">
        <v>320</v>
      </c>
      <c r="I98" s="377" t="s">
        <v>262</v>
      </c>
      <c r="K98" s="468"/>
    </row>
    <row r="99" spans="1:11" ht="37.5" customHeight="1" x14ac:dyDescent="0.25">
      <c r="A99" s="391" t="s">
        <v>199</v>
      </c>
      <c r="B99" s="309">
        <f>'DATA BASE'!H75</f>
        <v>50</v>
      </c>
      <c r="C99" s="300">
        <f>'DATA BASE'!I75</f>
        <v>75</v>
      </c>
      <c r="D99" s="319">
        <f>'DATA BASE'!J75</f>
        <v>12.5</v>
      </c>
      <c r="E99" s="316">
        <f>'DATA BASE'!K75</f>
        <v>50</v>
      </c>
      <c r="F99" s="317">
        <f>'DATA BASE'!L75</f>
        <v>33.1</v>
      </c>
      <c r="G99" s="324">
        <f>'DATA BASE'!M75</f>
        <v>33.450000000000003</v>
      </c>
      <c r="H99" s="378">
        <f t="shared" ref="H99:H117" si="7">G99-D99</f>
        <v>20.950000000000003</v>
      </c>
      <c r="I99" s="392" t="s">
        <v>303</v>
      </c>
      <c r="K99" s="466">
        <f>'DATA BASE'!$O$75</f>
        <v>0.04</v>
      </c>
    </row>
    <row r="100" spans="1:11" ht="37.5" customHeight="1" thickBot="1" x14ac:dyDescent="0.3">
      <c r="A100" s="6" t="s">
        <v>247</v>
      </c>
      <c r="B100" s="309">
        <f>'DATA BASE'!H83</f>
        <v>0</v>
      </c>
      <c r="C100" s="300">
        <f>'DATA BASE'!I83</f>
        <v>1.2</v>
      </c>
      <c r="D100" s="319">
        <f>'DATA BASE'!J83</f>
        <v>0</v>
      </c>
      <c r="E100" s="316">
        <f>'DATA BASE'!K83</f>
        <v>0</v>
      </c>
      <c r="F100" s="317">
        <f>'DATA BASE'!L83</f>
        <v>37.6</v>
      </c>
      <c r="G100" s="324">
        <f>'DATA BASE'!M83</f>
        <v>0</v>
      </c>
      <c r="H100" s="378">
        <f t="shared" si="7"/>
        <v>0</v>
      </c>
      <c r="I100" s="392" t="s">
        <v>303</v>
      </c>
      <c r="K100" s="466">
        <f>'DATA BASE'!$O$83</f>
        <v>0</v>
      </c>
    </row>
    <row r="101" spans="1:11" ht="37.5" customHeight="1" thickTop="1" thickBot="1" x14ac:dyDescent="0.3">
      <c r="A101" s="643" t="s">
        <v>331</v>
      </c>
      <c r="B101" s="640">
        <f>SUM(B99:B100)</f>
        <v>50</v>
      </c>
      <c r="C101" s="641"/>
      <c r="D101" s="642">
        <f>SUM(D99:D100)</f>
        <v>12.5</v>
      </c>
      <c r="E101" s="640">
        <f>SUM(E99:E100)</f>
        <v>50</v>
      </c>
      <c r="F101" s="641"/>
      <c r="G101" s="642">
        <f>SUM(G99:G100)</f>
        <v>33.450000000000003</v>
      </c>
      <c r="H101" s="641">
        <f>SUM(H100)</f>
        <v>0</v>
      </c>
      <c r="I101" s="641"/>
      <c r="K101" s="471">
        <f>SUM(K99:K100)</f>
        <v>0.04</v>
      </c>
    </row>
    <row r="102" spans="1:11" ht="37.5" customHeight="1" thickTop="1" x14ac:dyDescent="0.25">
      <c r="A102" s="391" t="str">
        <f>'DATA BASE'!$A$100</f>
        <v>BM-70</v>
      </c>
      <c r="B102" s="309">
        <f>'DATA BASE'!H100</f>
        <v>0</v>
      </c>
      <c r="C102" s="300">
        <f>'DATA BASE'!I100</f>
        <v>0</v>
      </c>
      <c r="D102" s="319">
        <f>'DATA BASE'!J100</f>
        <v>0</v>
      </c>
      <c r="E102" s="316">
        <f>'DATA BASE'!K100</f>
        <v>0</v>
      </c>
      <c r="F102" s="317">
        <f>'DATA BASE'!L100</f>
        <v>0</v>
      </c>
      <c r="G102" s="324">
        <f>'DATA BASE'!M100</f>
        <v>0</v>
      </c>
      <c r="H102" s="378">
        <f t="shared" si="7"/>
        <v>0</v>
      </c>
      <c r="I102" s="392"/>
      <c r="K102" s="639"/>
    </row>
    <row r="103" spans="1:11" ht="37.5" customHeight="1" x14ac:dyDescent="0.25">
      <c r="A103" s="391" t="s">
        <v>215</v>
      </c>
      <c r="B103" s="309">
        <f>'DATA BASE'!H102</f>
        <v>40</v>
      </c>
      <c r="C103" s="300">
        <f>'DATA BASE'!I102</f>
        <v>37</v>
      </c>
      <c r="D103" s="319">
        <f>'DATA BASE'!J102</f>
        <v>25.2</v>
      </c>
      <c r="E103" s="316">
        <f>'DATA BASE'!K102</f>
        <v>40</v>
      </c>
      <c r="F103" s="317">
        <f>'DATA BASE'!L102</f>
        <v>33</v>
      </c>
      <c r="G103" s="324">
        <f>'DATA BASE'!M102</f>
        <v>26.799999999999997</v>
      </c>
      <c r="H103" s="378">
        <f t="shared" si="7"/>
        <v>1.5999999999999979</v>
      </c>
      <c r="I103" s="392" t="s">
        <v>117</v>
      </c>
      <c r="K103" s="466">
        <f>'DATA BASE'!$O$102</f>
        <v>0</v>
      </c>
    </row>
    <row r="104" spans="1:11" ht="37.5" customHeight="1" x14ac:dyDescent="0.25">
      <c r="A104" s="391" t="str">
        <f>'DATA BASE'!$A$105</f>
        <v>BM-76</v>
      </c>
      <c r="B104" s="309">
        <f>'DATA BASE'!H105</f>
        <v>0</v>
      </c>
      <c r="C104" s="300">
        <f>'DATA BASE'!I105</f>
        <v>0</v>
      </c>
      <c r="D104" s="319">
        <f>'DATA BASE'!J105</f>
        <v>0</v>
      </c>
      <c r="E104" s="316">
        <f>'DATA BASE'!K105</f>
        <v>0</v>
      </c>
      <c r="F104" s="317">
        <f>'DATA BASE'!L105</f>
        <v>0</v>
      </c>
      <c r="G104" s="324">
        <f>'DATA BASE'!M105</f>
        <v>0</v>
      </c>
      <c r="H104" s="378">
        <f t="shared" si="7"/>
        <v>0</v>
      </c>
      <c r="I104" s="392"/>
      <c r="K104" s="466"/>
    </row>
    <row r="105" spans="1:11" ht="37.5" customHeight="1" x14ac:dyDescent="0.25">
      <c r="A105" s="391" t="s">
        <v>261</v>
      </c>
      <c r="B105" s="309">
        <f>'DATA BASE'!H142</f>
        <v>0</v>
      </c>
      <c r="C105" s="300">
        <f>'DATA BASE'!I142</f>
        <v>0</v>
      </c>
      <c r="D105" s="319">
        <f>'DATA BASE'!J142</f>
        <v>0</v>
      </c>
      <c r="E105" s="316">
        <f>'DATA BASE'!K142</f>
        <v>0</v>
      </c>
      <c r="F105" s="317">
        <f>'DATA BASE'!L142</f>
        <v>27</v>
      </c>
      <c r="G105" s="324">
        <f>'DATA BASE'!M142</f>
        <v>0</v>
      </c>
      <c r="H105" s="378">
        <f t="shared" si="7"/>
        <v>0</v>
      </c>
      <c r="I105" s="392" t="s">
        <v>117</v>
      </c>
      <c r="K105" s="466">
        <f>'DATA BASE'!O142</f>
        <v>0</v>
      </c>
    </row>
    <row r="106" spans="1:11" ht="37.5" customHeight="1" thickBot="1" x14ac:dyDescent="0.3">
      <c r="A106" s="391" t="s">
        <v>241</v>
      </c>
      <c r="B106" s="309">
        <f>'DATA BASE'!H143</f>
        <v>0</v>
      </c>
      <c r="C106" s="300">
        <f>'DATA BASE'!I143</f>
        <v>0</v>
      </c>
      <c r="D106" s="319">
        <f>'DATA BASE'!J143</f>
        <v>0</v>
      </c>
      <c r="E106" s="316">
        <f>'DATA BASE'!K143</f>
        <v>80</v>
      </c>
      <c r="F106" s="317">
        <f>'DATA BASE'!L143</f>
        <v>90</v>
      </c>
      <c r="G106" s="324">
        <f>'DATA BASE'!M143</f>
        <v>7.9999999999999982</v>
      </c>
      <c r="H106" s="378">
        <f t="shared" si="7"/>
        <v>7.9999999999999982</v>
      </c>
      <c r="I106" s="392" t="s">
        <v>117</v>
      </c>
      <c r="K106" s="466">
        <f>'DATA BASE'!O143</f>
        <v>0</v>
      </c>
    </row>
    <row r="107" spans="1:11" ht="37.5" customHeight="1" thickTop="1" thickBot="1" x14ac:dyDescent="0.3">
      <c r="A107" s="643" t="s">
        <v>331</v>
      </c>
      <c r="B107" s="640">
        <f>SUM(B103:B106)</f>
        <v>40</v>
      </c>
      <c r="C107" s="641"/>
      <c r="D107" s="642">
        <f>SUM(D103:D106)</f>
        <v>25.2</v>
      </c>
      <c r="E107" s="640">
        <f>SUM(E103:E106)</f>
        <v>120</v>
      </c>
      <c r="F107" s="641"/>
      <c r="G107" s="642">
        <f>SUM(G103:G106)</f>
        <v>34.799999999999997</v>
      </c>
      <c r="H107" s="641">
        <f>SUM(H102:H106)</f>
        <v>9.5999999999999961</v>
      </c>
      <c r="I107" s="641"/>
      <c r="K107" s="471">
        <f>SUM(K103:K106)</f>
        <v>0</v>
      </c>
    </row>
    <row r="108" spans="1:11" ht="37.5" customHeight="1" thickTop="1" thickBot="1" x14ac:dyDescent="0.3">
      <c r="A108" s="391" t="s">
        <v>202</v>
      </c>
      <c r="B108" s="309">
        <f>'DATA BASE'!H80</f>
        <v>400</v>
      </c>
      <c r="C108" s="300">
        <f>'DATA BASE'!I80</f>
        <v>100</v>
      </c>
      <c r="D108" s="319">
        <f>'DATA BASE'!J80</f>
        <v>0</v>
      </c>
      <c r="E108" s="316">
        <f>'DATA BASE'!K80</f>
        <v>400</v>
      </c>
      <c r="F108" s="317">
        <f>'DATA BASE'!L80</f>
        <v>97.5</v>
      </c>
      <c r="G108" s="324">
        <f>'DATA BASE'!M80</f>
        <v>10.000000000000009</v>
      </c>
      <c r="H108" s="378">
        <f t="shared" si="7"/>
        <v>10.000000000000009</v>
      </c>
      <c r="I108" s="392" t="s">
        <v>118</v>
      </c>
      <c r="K108" s="466">
        <v>0.05</v>
      </c>
    </row>
    <row r="109" spans="1:11" ht="37.5" customHeight="1" thickTop="1" thickBot="1" x14ac:dyDescent="0.3">
      <c r="A109" s="643" t="s">
        <v>331</v>
      </c>
      <c r="B109" s="640">
        <f>SUM(B108)</f>
        <v>400</v>
      </c>
      <c r="C109" s="641"/>
      <c r="D109" s="642">
        <f>SUM(D108)</f>
        <v>0</v>
      </c>
      <c r="E109" s="640">
        <f>SUM(E108)</f>
        <v>400</v>
      </c>
      <c r="F109" s="641"/>
      <c r="G109" s="642">
        <f>SUM(G108)</f>
        <v>10.000000000000009</v>
      </c>
      <c r="H109" s="641">
        <f>SUM(H108)</f>
        <v>10.000000000000009</v>
      </c>
      <c r="I109" s="641"/>
      <c r="K109" s="471">
        <f>SUM(K108)</f>
        <v>0.05</v>
      </c>
    </row>
    <row r="110" spans="1:11" ht="37.5" customHeight="1" thickTop="1" thickBot="1" x14ac:dyDescent="0.3">
      <c r="A110" s="223" t="str">
        <f>'DATA BASE'!$A$146</f>
        <v>BMNE-1</v>
      </c>
      <c r="B110" s="309">
        <f>'DATA BASE'!H146</f>
        <v>0</v>
      </c>
      <c r="C110" s="300">
        <f>'DATA BASE'!I146</f>
        <v>0</v>
      </c>
      <c r="D110" s="319">
        <f>'DATA BASE'!J146</f>
        <v>0</v>
      </c>
      <c r="E110" s="316">
        <f>'DATA BASE'!K146</f>
        <v>0</v>
      </c>
      <c r="F110" s="317">
        <f>'DATA BASE'!L146</f>
        <v>0</v>
      </c>
      <c r="G110" s="324">
        <f>'DATA BASE'!M146</f>
        <v>0</v>
      </c>
      <c r="H110" s="378">
        <f t="shared" si="7"/>
        <v>0</v>
      </c>
      <c r="I110" s="392" t="s">
        <v>119</v>
      </c>
      <c r="K110" s="639"/>
    </row>
    <row r="111" spans="1:11" ht="37.5" customHeight="1" thickBot="1" x14ac:dyDescent="0.3">
      <c r="A111" s="223" t="s">
        <v>244</v>
      </c>
      <c r="B111" s="309">
        <f>'DATA BASE'!H147</f>
        <v>0</v>
      </c>
      <c r="C111" s="300">
        <f>'DATA BASE'!I147</f>
        <v>0</v>
      </c>
      <c r="D111" s="319">
        <f>'DATA BASE'!J147</f>
        <v>0</v>
      </c>
      <c r="E111" s="316">
        <f>'DATA BASE'!K147</f>
        <v>80</v>
      </c>
      <c r="F111" s="317">
        <f>'DATA BASE'!L147</f>
        <v>82.1</v>
      </c>
      <c r="G111" s="324">
        <f>'DATA BASE'!M147</f>
        <v>14.320000000000004</v>
      </c>
      <c r="H111" s="378">
        <f t="shared" si="7"/>
        <v>14.320000000000004</v>
      </c>
      <c r="I111" s="392" t="s">
        <v>119</v>
      </c>
      <c r="K111" s="466">
        <f>'DATA BASE'!$O$147</f>
        <v>0</v>
      </c>
    </row>
    <row r="112" spans="1:11" ht="37.5" customHeight="1" thickTop="1" thickBot="1" x14ac:dyDescent="0.3">
      <c r="A112" s="643" t="s">
        <v>331</v>
      </c>
      <c r="B112" s="640">
        <f>SUM(B111)</f>
        <v>0</v>
      </c>
      <c r="C112" s="641"/>
      <c r="D112" s="642">
        <f>SUM(D111)</f>
        <v>0</v>
      </c>
      <c r="E112" s="640">
        <f>SUM(E111)</f>
        <v>80</v>
      </c>
      <c r="F112" s="641"/>
      <c r="G112" s="642">
        <f>SUM(G111)</f>
        <v>14.320000000000004</v>
      </c>
      <c r="H112" s="641">
        <f>SUM(H111)</f>
        <v>14.320000000000004</v>
      </c>
      <c r="I112" s="641"/>
      <c r="K112" s="471">
        <f>SUM(K111)</f>
        <v>0</v>
      </c>
    </row>
    <row r="113" spans="1:11" ht="37.5" customHeight="1" thickTop="1" x14ac:dyDescent="0.25">
      <c r="A113" s="391" t="s">
        <v>40</v>
      </c>
      <c r="B113" s="309">
        <f>'DATA BASE'!H22</f>
        <v>80</v>
      </c>
      <c r="C113" s="300">
        <f>'DATA BASE'!I22</f>
        <v>41</v>
      </c>
      <c r="D113" s="319">
        <f>'DATA BASE'!J22</f>
        <v>47.2</v>
      </c>
      <c r="E113" s="316">
        <f>'DATA BASE'!K22</f>
        <v>80</v>
      </c>
      <c r="F113" s="317">
        <f>'DATA BASE'!L22</f>
        <v>36.799999999999997</v>
      </c>
      <c r="G113" s="324">
        <f>'DATA BASE'!M22</f>
        <v>50.56</v>
      </c>
      <c r="H113" s="378">
        <f t="shared" si="7"/>
        <v>3.3599999999999994</v>
      </c>
      <c r="I113" s="392" t="s">
        <v>120</v>
      </c>
      <c r="K113" s="466">
        <f>'DATA BASE'!O22</f>
        <v>0.16</v>
      </c>
    </row>
    <row r="114" spans="1:11" ht="37.5" customHeight="1" x14ac:dyDescent="0.25">
      <c r="A114" s="391" t="s">
        <v>41</v>
      </c>
      <c r="B114" s="309">
        <f>'DATA BASE'!H23</f>
        <v>90</v>
      </c>
      <c r="C114" s="300">
        <f>'DATA BASE'!I23</f>
        <v>83.5</v>
      </c>
      <c r="D114" s="319">
        <f>'DATA BASE'!J23</f>
        <v>14.850000000000003</v>
      </c>
      <c r="E114" s="316">
        <f>'DATA BASE'!K23</f>
        <v>90</v>
      </c>
      <c r="F114" s="317">
        <f>'DATA BASE'!L23</f>
        <v>84.2</v>
      </c>
      <c r="G114" s="324">
        <f>'DATA BASE'!M23</f>
        <v>14.219999999999992</v>
      </c>
      <c r="H114" s="378">
        <f t="shared" si="7"/>
        <v>-0.63000000000001144</v>
      </c>
      <c r="I114" s="392" t="s">
        <v>120</v>
      </c>
      <c r="K114" s="466">
        <f>'DATA BASE'!O23</f>
        <v>0.22</v>
      </c>
    </row>
    <row r="115" spans="1:11" ht="37.5" customHeight="1" x14ac:dyDescent="0.25">
      <c r="A115" s="391" t="s">
        <v>42</v>
      </c>
      <c r="B115" s="309">
        <f>'DATA BASE'!H24</f>
        <v>30</v>
      </c>
      <c r="C115" s="300">
        <f>'DATA BASE'!I24</f>
        <v>3.6</v>
      </c>
      <c r="D115" s="319">
        <f>'DATA BASE'!J24</f>
        <v>28.919999999999998</v>
      </c>
      <c r="E115" s="316">
        <f>'DATA BASE'!K24</f>
        <v>30</v>
      </c>
      <c r="F115" s="317">
        <f>'DATA BASE'!L24</f>
        <v>4</v>
      </c>
      <c r="G115" s="324">
        <f>'DATA BASE'!M24</f>
        <v>28.799999999999997</v>
      </c>
      <c r="H115" s="378">
        <f t="shared" si="7"/>
        <v>-0.12000000000000099</v>
      </c>
      <c r="I115" s="392" t="s">
        <v>120</v>
      </c>
      <c r="K115" s="466">
        <f>'DATA BASE'!O24</f>
        <v>0.03</v>
      </c>
    </row>
    <row r="116" spans="1:11" ht="37.5" customHeight="1" x14ac:dyDescent="0.25">
      <c r="A116" s="391" t="s">
        <v>206</v>
      </c>
      <c r="B116" s="309">
        <f>'DATA BASE'!H86</f>
        <v>30</v>
      </c>
      <c r="C116" s="300">
        <f>'DATA BASE'!I86</f>
        <v>64.8</v>
      </c>
      <c r="D116" s="319">
        <f>'DATA BASE'!J86</f>
        <v>10.559999999999999</v>
      </c>
      <c r="E116" s="316">
        <f>'DATA BASE'!K86</f>
        <v>30</v>
      </c>
      <c r="F116" s="317">
        <f>'DATA BASE'!L86</f>
        <v>64.8</v>
      </c>
      <c r="G116" s="324">
        <f>'DATA BASE'!M86</f>
        <v>10.559999999999999</v>
      </c>
      <c r="H116" s="378">
        <f t="shared" si="7"/>
        <v>0</v>
      </c>
      <c r="I116" s="392" t="s">
        <v>120</v>
      </c>
      <c r="K116" s="466">
        <f>'DATA BASE'!$O$86</f>
        <v>0.05</v>
      </c>
    </row>
    <row r="117" spans="1:11" ht="37.5" customHeight="1" thickBot="1" x14ac:dyDescent="0.3">
      <c r="A117" s="391" t="s">
        <v>222</v>
      </c>
      <c r="B117" s="309">
        <f>'DATA BASE'!H111</f>
        <v>30</v>
      </c>
      <c r="C117" s="300">
        <f>'DATA BASE'!I111</f>
        <v>10</v>
      </c>
      <c r="D117" s="319">
        <f>'DATA BASE'!J111</f>
        <v>27</v>
      </c>
      <c r="E117" s="316">
        <f>'DATA BASE'!K111</f>
        <v>30</v>
      </c>
      <c r="F117" s="317">
        <f>'DATA BASE'!L111</f>
        <v>33.799999999999997</v>
      </c>
      <c r="G117" s="324">
        <f>'DATA BASE'!M111</f>
        <v>19.86</v>
      </c>
      <c r="H117" s="378">
        <f t="shared" si="7"/>
        <v>-7.1400000000000006</v>
      </c>
      <c r="I117" s="392" t="s">
        <v>120</v>
      </c>
      <c r="K117" s="466">
        <f>'DATA BASE'!$O$111</f>
        <v>0.1</v>
      </c>
    </row>
    <row r="118" spans="1:11" ht="37.5" customHeight="1" thickTop="1" thickBot="1" x14ac:dyDescent="0.3">
      <c r="A118" s="643" t="s">
        <v>331</v>
      </c>
      <c r="B118" s="640">
        <f>SUM(B113:B117)</f>
        <v>260</v>
      </c>
      <c r="C118" s="641"/>
      <c r="D118" s="642">
        <f>SUM(D113:D117)</f>
        <v>128.53</v>
      </c>
      <c r="E118" s="640">
        <f>SUM(E113:E117)</f>
        <v>260</v>
      </c>
      <c r="F118" s="641"/>
      <c r="G118" s="642">
        <f>SUM(G113:G117)</f>
        <v>124</v>
      </c>
      <c r="H118" s="641">
        <f>SUM(H113:H117)</f>
        <v>-4.5300000000000136</v>
      </c>
      <c r="I118" s="641"/>
      <c r="K118" s="471">
        <f>SUM(K113:K117)</f>
        <v>0.56000000000000005</v>
      </c>
    </row>
    <row r="119" spans="1:11" ht="37.5" customHeight="1" thickTop="1" x14ac:dyDescent="0.25">
      <c r="A119" s="6" t="s">
        <v>43</v>
      </c>
      <c r="B119" s="309">
        <f>'DATA BASE'!H25</f>
        <v>45</v>
      </c>
      <c r="C119" s="300">
        <f>'DATA BASE'!I25</f>
        <v>67.400000000000006</v>
      </c>
      <c r="D119" s="319">
        <f>'DATA BASE'!J25</f>
        <v>14.669999999999998</v>
      </c>
      <c r="E119" s="316">
        <f>'DATA BASE'!K25</f>
        <v>50</v>
      </c>
      <c r="F119" s="317">
        <f>'DATA BASE'!L25</f>
        <v>20.3</v>
      </c>
      <c r="G119" s="324">
        <f>'DATA BASE'!M25</f>
        <v>39.849999999999994</v>
      </c>
      <c r="H119" s="378">
        <f>G119-D119</f>
        <v>25.179999999999996</v>
      </c>
      <c r="I119" s="392" t="s">
        <v>95</v>
      </c>
      <c r="K119" s="466">
        <f>'DATA BASE'!O25</f>
        <v>0.03</v>
      </c>
    </row>
    <row r="120" spans="1:11" ht="37.5" customHeight="1" x14ac:dyDescent="0.25">
      <c r="A120" s="6" t="s">
        <v>44</v>
      </c>
      <c r="B120" s="309">
        <f>'DATA BASE'!H26</f>
        <v>180</v>
      </c>
      <c r="C120" s="300">
        <f>'DATA BASE'!I26</f>
        <v>66</v>
      </c>
      <c r="D120" s="319">
        <f>'DATA BASE'!J26</f>
        <v>61.199999999999996</v>
      </c>
      <c r="E120" s="316">
        <f>'DATA BASE'!K26</f>
        <v>180</v>
      </c>
      <c r="F120" s="317">
        <f>'DATA BASE'!L26</f>
        <v>78.2</v>
      </c>
      <c r="G120" s="324">
        <f>'DATA BASE'!M26</f>
        <v>39.239999999999995</v>
      </c>
      <c r="H120" s="378">
        <f t="shared" ref="H120:H180" si="8">G120-D120</f>
        <v>-21.96</v>
      </c>
      <c r="I120" s="392" t="s">
        <v>95</v>
      </c>
      <c r="K120" s="466">
        <f>'DATA BASE'!O26</f>
        <v>0.03</v>
      </c>
    </row>
    <row r="121" spans="1:11" ht="37.5" customHeight="1" x14ac:dyDescent="0.25">
      <c r="A121" s="6" t="s">
        <v>45</v>
      </c>
      <c r="B121" s="309">
        <f>'DATA BASE'!H27</f>
        <v>130</v>
      </c>
      <c r="C121" s="300">
        <f>'DATA BASE'!I27</f>
        <v>91.3</v>
      </c>
      <c r="D121" s="319">
        <f>'DATA BASE'!J27</f>
        <v>11.310000000000009</v>
      </c>
      <c r="E121" s="316">
        <f>'DATA BASE'!K27</f>
        <v>130</v>
      </c>
      <c r="F121" s="317">
        <f>'DATA BASE'!L27</f>
        <v>91.3</v>
      </c>
      <c r="G121" s="324">
        <f>'DATA BASE'!M27</f>
        <v>11.310000000000009</v>
      </c>
      <c r="H121" s="378">
        <f t="shared" si="8"/>
        <v>0</v>
      </c>
      <c r="I121" s="392" t="s">
        <v>95</v>
      </c>
      <c r="K121" s="466">
        <f>'DATA BASE'!O27</f>
        <v>0.08</v>
      </c>
    </row>
    <row r="122" spans="1:11" ht="37.5" customHeight="1" x14ac:dyDescent="0.25">
      <c r="A122" s="6" t="s">
        <v>55</v>
      </c>
      <c r="B122" s="309">
        <f>'DATA BASE'!H37</f>
        <v>80</v>
      </c>
      <c r="C122" s="300">
        <f>'DATA BASE'!I37</f>
        <v>93</v>
      </c>
      <c r="D122" s="319">
        <f>'DATA BASE'!J37</f>
        <v>5.5999999999999961</v>
      </c>
      <c r="E122" s="316">
        <f>'DATA BASE'!K37</f>
        <v>80</v>
      </c>
      <c r="F122" s="317">
        <f>'DATA BASE'!L37</f>
        <v>74.3</v>
      </c>
      <c r="G122" s="324">
        <f>'DATA BASE'!M37</f>
        <v>20.560000000000002</v>
      </c>
      <c r="H122" s="378">
        <f t="shared" si="8"/>
        <v>14.960000000000006</v>
      </c>
      <c r="I122" s="392" t="s">
        <v>95</v>
      </c>
      <c r="K122" s="466">
        <f>'DATA BASE'!$O$37</f>
        <v>0.32</v>
      </c>
    </row>
    <row r="123" spans="1:11" ht="37.5" customHeight="1" x14ac:dyDescent="0.25">
      <c r="A123" s="21" t="s">
        <v>74</v>
      </c>
      <c r="B123" s="309">
        <f>'DATA BASE'!H56</f>
        <v>400</v>
      </c>
      <c r="C123" s="300">
        <f>'DATA BASE'!I56</f>
        <v>69.3</v>
      </c>
      <c r="D123" s="319">
        <f>'DATA BASE'!J56</f>
        <v>122.80000000000003</v>
      </c>
      <c r="E123" s="316">
        <f>'DATA BASE'!K56</f>
        <v>400</v>
      </c>
      <c r="F123" s="317">
        <f>'DATA BASE'!L56</f>
        <v>95.6</v>
      </c>
      <c r="G123" s="324">
        <f>'DATA BASE'!M56</f>
        <v>17.600000000000016</v>
      </c>
      <c r="H123" s="378">
        <f t="shared" si="8"/>
        <v>-105.20000000000002</v>
      </c>
      <c r="I123" s="392" t="s">
        <v>95</v>
      </c>
      <c r="K123" s="466">
        <f>'DATA BASE'!$O$56</f>
        <v>0.08</v>
      </c>
    </row>
    <row r="124" spans="1:11" ht="37.5" customHeight="1" thickBot="1" x14ac:dyDescent="0.3">
      <c r="A124" s="6" t="s">
        <v>88</v>
      </c>
      <c r="B124" s="309">
        <f>'DATA BASE'!H68</f>
        <v>100</v>
      </c>
      <c r="C124" s="300">
        <f>'DATA BASE'!I68</f>
        <v>4</v>
      </c>
      <c r="D124" s="319">
        <f>'DATA BASE'!J68</f>
        <v>96</v>
      </c>
      <c r="E124" s="316">
        <f>'DATA BASE'!K68</f>
        <v>100</v>
      </c>
      <c r="F124" s="317">
        <f>'DATA BASE'!L68</f>
        <v>29.7</v>
      </c>
      <c r="G124" s="324">
        <f>'DATA BASE'!M68</f>
        <v>70.300000000000011</v>
      </c>
      <c r="H124" s="378">
        <f t="shared" si="8"/>
        <v>-25.699999999999989</v>
      </c>
      <c r="I124" s="392" t="s">
        <v>95</v>
      </c>
      <c r="K124" s="466">
        <f>'DATA BASE'!$O$68</f>
        <v>0.41</v>
      </c>
    </row>
    <row r="125" spans="1:11" ht="37.5" customHeight="1" thickTop="1" thickBot="1" x14ac:dyDescent="0.3">
      <c r="A125" s="643" t="s">
        <v>331</v>
      </c>
      <c r="B125" s="640">
        <f>SUM(B119:B124)</f>
        <v>935</v>
      </c>
      <c r="C125" s="641"/>
      <c r="D125" s="642">
        <f>SUM(D119:D124)</f>
        <v>311.58000000000004</v>
      </c>
      <c r="E125" s="640">
        <f>SUM(E119:E124)</f>
        <v>940</v>
      </c>
      <c r="F125" s="641"/>
      <c r="G125" s="642">
        <f>SUM(G119:G124)</f>
        <v>198.86000000000004</v>
      </c>
      <c r="H125" s="641">
        <f>SUM(H119:H124)</f>
        <v>-112.72</v>
      </c>
      <c r="I125" s="641"/>
      <c r="K125" s="471">
        <f>SUM(K119:K124)</f>
        <v>0.95</v>
      </c>
    </row>
    <row r="126" spans="1:11" ht="37.5" customHeight="1" thickTop="1" x14ac:dyDescent="0.25">
      <c r="A126" s="373" t="s">
        <v>316</v>
      </c>
      <c r="B126" s="374" t="s">
        <v>318</v>
      </c>
      <c r="C126" s="374" t="s">
        <v>317</v>
      </c>
      <c r="D126" s="375" t="s">
        <v>319</v>
      </c>
      <c r="E126" s="374" t="s">
        <v>131</v>
      </c>
      <c r="F126" s="374" t="s">
        <v>132</v>
      </c>
      <c r="G126" s="376" t="s">
        <v>181</v>
      </c>
      <c r="H126" s="377" t="s">
        <v>320</v>
      </c>
      <c r="I126" s="377" t="s">
        <v>262</v>
      </c>
      <c r="K126" s="468"/>
    </row>
    <row r="127" spans="1:11" ht="37.5" customHeight="1" x14ac:dyDescent="0.25">
      <c r="A127" s="6" t="s">
        <v>207</v>
      </c>
      <c r="B127" s="309"/>
      <c r="C127" s="300"/>
      <c r="D127" s="319">
        <v>0</v>
      </c>
      <c r="E127" s="316">
        <v>0</v>
      </c>
      <c r="F127" s="317">
        <v>80</v>
      </c>
      <c r="G127" s="324">
        <v>0</v>
      </c>
      <c r="H127" s="378">
        <f t="shared" si="8"/>
        <v>0</v>
      </c>
      <c r="I127" s="392" t="s">
        <v>96</v>
      </c>
      <c r="K127" s="466">
        <f>'DATA BASE'!$O$87</f>
        <v>0</v>
      </c>
    </row>
    <row r="128" spans="1:11" ht="37.5" customHeight="1" x14ac:dyDescent="0.25">
      <c r="A128" s="6" t="s">
        <v>209</v>
      </c>
      <c r="B128" s="309">
        <v>0</v>
      </c>
      <c r="C128" s="300">
        <v>0</v>
      </c>
      <c r="D128" s="319">
        <v>0</v>
      </c>
      <c r="E128" s="316">
        <v>90</v>
      </c>
      <c r="F128" s="317">
        <v>82</v>
      </c>
      <c r="G128" s="324">
        <v>16.200000000000003</v>
      </c>
      <c r="H128" s="378">
        <f t="shared" si="8"/>
        <v>16.200000000000003</v>
      </c>
      <c r="I128" s="392" t="s">
        <v>96</v>
      </c>
      <c r="K128" s="466">
        <f>'DATA BASE'!$O$91</f>
        <v>0</v>
      </c>
    </row>
    <row r="129" spans="1:11" ht="37.5" customHeight="1" x14ac:dyDescent="0.25">
      <c r="A129" s="6" t="s">
        <v>249</v>
      </c>
      <c r="B129" s="309">
        <v>0</v>
      </c>
      <c r="C129" s="300">
        <v>87</v>
      </c>
      <c r="D129" s="319">
        <v>0</v>
      </c>
      <c r="E129" s="316">
        <v>0</v>
      </c>
      <c r="F129" s="317">
        <v>96</v>
      </c>
      <c r="G129" s="324">
        <v>0</v>
      </c>
      <c r="H129" s="378">
        <f t="shared" si="8"/>
        <v>0</v>
      </c>
      <c r="I129" s="392" t="s">
        <v>96</v>
      </c>
      <c r="K129" s="466">
        <f>'DATA BASE'!O94</f>
        <v>0.27</v>
      </c>
    </row>
    <row r="130" spans="1:11" ht="37.5" customHeight="1" x14ac:dyDescent="0.25">
      <c r="A130" s="6" t="s">
        <v>211</v>
      </c>
      <c r="B130" s="309">
        <v>130</v>
      </c>
      <c r="C130" s="300">
        <v>82</v>
      </c>
      <c r="D130" s="319">
        <v>23.400000000000006</v>
      </c>
      <c r="E130" s="316">
        <v>130</v>
      </c>
      <c r="F130" s="317">
        <v>82</v>
      </c>
      <c r="G130" s="324">
        <v>23.400000000000006</v>
      </c>
      <c r="H130" s="378">
        <f t="shared" si="8"/>
        <v>0</v>
      </c>
      <c r="I130" s="392" t="s">
        <v>96</v>
      </c>
      <c r="K130" s="466">
        <f>'DATA BASE'!O95</f>
        <v>0.43</v>
      </c>
    </row>
    <row r="131" spans="1:11" ht="37.5" customHeight="1" x14ac:dyDescent="0.25">
      <c r="A131" s="6" t="s">
        <v>251</v>
      </c>
      <c r="B131" s="309">
        <v>0</v>
      </c>
      <c r="C131" s="300">
        <v>0</v>
      </c>
      <c r="D131" s="319">
        <v>0</v>
      </c>
      <c r="E131" s="316">
        <v>0</v>
      </c>
      <c r="F131" s="317">
        <v>93.8</v>
      </c>
      <c r="G131" s="324">
        <v>0</v>
      </c>
      <c r="H131" s="378">
        <f t="shared" si="8"/>
        <v>0</v>
      </c>
      <c r="I131" s="392" t="s">
        <v>96</v>
      </c>
      <c r="K131" s="466">
        <f>'DATA BASE'!$O$99</f>
        <v>0</v>
      </c>
    </row>
    <row r="132" spans="1:11" ht="37.5" customHeight="1" x14ac:dyDescent="0.25">
      <c r="A132" s="6" t="s">
        <v>217</v>
      </c>
      <c r="B132" s="309">
        <v>80</v>
      </c>
      <c r="C132" s="300">
        <v>1.2</v>
      </c>
      <c r="D132" s="319">
        <v>79.039999999999992</v>
      </c>
      <c r="E132" s="316">
        <v>40</v>
      </c>
      <c r="F132" s="317">
        <v>8.1</v>
      </c>
      <c r="G132" s="324">
        <v>36.760000000000005</v>
      </c>
      <c r="H132" s="378">
        <f t="shared" si="8"/>
        <v>-42.279999999999987</v>
      </c>
      <c r="I132" s="392" t="s">
        <v>96</v>
      </c>
      <c r="K132" s="466">
        <f>'DATA BASE'!$O$104</f>
        <v>0.3</v>
      </c>
    </row>
    <row r="133" spans="1:11" ht="37.5" customHeight="1" x14ac:dyDescent="0.25">
      <c r="A133" s="6" t="s">
        <v>258</v>
      </c>
      <c r="B133" s="309">
        <v>0</v>
      </c>
      <c r="C133" s="300">
        <v>78.900000000000006</v>
      </c>
      <c r="D133" s="319">
        <v>0</v>
      </c>
      <c r="E133" s="316">
        <v>0</v>
      </c>
      <c r="F133" s="317">
        <v>85.3</v>
      </c>
      <c r="G133" s="324">
        <v>0</v>
      </c>
      <c r="H133" s="378">
        <f t="shared" si="8"/>
        <v>0</v>
      </c>
      <c r="I133" s="392" t="s">
        <v>96</v>
      </c>
      <c r="K133" s="466">
        <f>'DATA BASE'!$O$126</f>
        <v>0</v>
      </c>
    </row>
    <row r="134" spans="1:11" ht="31.5" x14ac:dyDescent="0.25">
      <c r="A134" s="6" t="s">
        <v>238</v>
      </c>
      <c r="B134" s="309">
        <v>100</v>
      </c>
      <c r="C134" s="300">
        <v>12</v>
      </c>
      <c r="D134" s="319">
        <v>88</v>
      </c>
      <c r="E134" s="316">
        <v>100</v>
      </c>
      <c r="F134" s="317">
        <v>0.4</v>
      </c>
      <c r="G134" s="324">
        <v>99.6</v>
      </c>
      <c r="H134" s="378">
        <f t="shared" si="8"/>
        <v>11.599999999999994</v>
      </c>
      <c r="I134" s="392" t="s">
        <v>96</v>
      </c>
      <c r="K134" s="466">
        <f>'DATA BASE'!$O$133</f>
        <v>1.35</v>
      </c>
    </row>
    <row r="135" spans="1:11" ht="31.5" x14ac:dyDescent="0.25">
      <c r="A135" s="6" t="str">
        <f>'DATA BASE'!$A$135</f>
        <v>BM-123</v>
      </c>
      <c r="B135" s="309">
        <f>'DATA BASE'!H135</f>
        <v>100</v>
      </c>
      <c r="C135" s="300">
        <f>'DATA BASE'!I135</f>
        <v>29.1</v>
      </c>
      <c r="D135" s="319">
        <f>'DATA BASE'!J135</f>
        <v>70.899999999999991</v>
      </c>
      <c r="E135" s="316">
        <f>'DATA BASE'!K135</f>
        <v>120</v>
      </c>
      <c r="F135" s="317">
        <f>'DATA BASE'!L135</f>
        <v>51.6</v>
      </c>
      <c r="G135" s="324">
        <f>'DATA BASE'!M135</f>
        <v>58.08</v>
      </c>
      <c r="H135" s="378">
        <f t="shared" si="8"/>
        <v>-12.819999999999993</v>
      </c>
      <c r="I135" s="392"/>
      <c r="K135" s="466"/>
    </row>
    <row r="136" spans="1:11" ht="32.25" thickBot="1" x14ac:dyDescent="0.3">
      <c r="A136" s="6" t="s">
        <v>260</v>
      </c>
      <c r="B136" s="309">
        <v>0</v>
      </c>
      <c r="C136" s="300">
        <v>0.4</v>
      </c>
      <c r="D136" s="319">
        <v>0</v>
      </c>
      <c r="E136" s="316">
        <v>0</v>
      </c>
      <c r="F136" s="317">
        <v>0.4</v>
      </c>
      <c r="G136" s="324">
        <v>0</v>
      </c>
      <c r="H136" s="378">
        <f t="shared" si="8"/>
        <v>0</v>
      </c>
      <c r="I136" s="392" t="s">
        <v>96</v>
      </c>
      <c r="K136" s="466">
        <f>'DATA BASE'!$O$137</f>
        <v>0</v>
      </c>
    </row>
    <row r="137" spans="1:11" ht="37.5" customHeight="1" thickTop="1" thickBot="1" x14ac:dyDescent="0.3">
      <c r="A137" s="643" t="s">
        <v>331</v>
      </c>
      <c r="B137" s="640">
        <f>SUM(B127:B136)</f>
        <v>410</v>
      </c>
      <c r="C137" s="641"/>
      <c r="D137" s="642">
        <f>SUM(D127:D136)</f>
        <v>261.33999999999997</v>
      </c>
      <c r="E137" s="640">
        <f>SUM(E127:E136)</f>
        <v>480</v>
      </c>
      <c r="F137" s="641"/>
      <c r="G137" s="642">
        <f>SUM(G127:G136)</f>
        <v>234.04000000000002</v>
      </c>
      <c r="H137" s="641">
        <f>SUM(H127:H136)</f>
        <v>-27.299999999999983</v>
      </c>
      <c r="I137" s="641"/>
      <c r="K137" s="471">
        <f>SUM(K127:K136)</f>
        <v>2.35</v>
      </c>
    </row>
    <row r="138" spans="1:11" ht="32.25" thickTop="1" x14ac:dyDescent="0.25">
      <c r="A138" s="6" t="s">
        <v>248</v>
      </c>
      <c r="B138" s="309">
        <f>'DATA BASE'!H90</f>
        <v>0</v>
      </c>
      <c r="C138" s="300">
        <f>'DATA BASE'!I90</f>
        <v>90</v>
      </c>
      <c r="D138" s="319">
        <f>'DATA BASE'!J90</f>
        <v>0</v>
      </c>
      <c r="E138" s="316">
        <f>'DATA BASE'!K90</f>
        <v>0</v>
      </c>
      <c r="F138" s="317">
        <f>'DATA BASE'!L90</f>
        <v>92</v>
      </c>
      <c r="G138" s="324">
        <f>'DATA BASE'!M90</f>
        <v>0</v>
      </c>
      <c r="H138" s="378">
        <f t="shared" si="8"/>
        <v>0</v>
      </c>
      <c r="I138" s="392" t="s">
        <v>121</v>
      </c>
      <c r="K138" s="466">
        <f>'DATA BASE'!$O$90</f>
        <v>0</v>
      </c>
    </row>
    <row r="139" spans="1:11" ht="31.5" x14ac:dyDescent="0.25">
      <c r="A139" s="6" t="str">
        <f>'DATA BASE'!$A$92</f>
        <v>BM-45</v>
      </c>
      <c r="B139" s="309">
        <f>'DATA BASE'!H92</f>
        <v>0</v>
      </c>
      <c r="C139" s="300">
        <f>'DATA BASE'!I92</f>
        <v>0</v>
      </c>
      <c r="D139" s="319">
        <f>'DATA BASE'!J92</f>
        <v>0</v>
      </c>
      <c r="E139" s="316">
        <f>'DATA BASE'!K92</f>
        <v>0</v>
      </c>
      <c r="F139" s="317">
        <f>'DATA BASE'!L92</f>
        <v>0</v>
      </c>
      <c r="G139" s="324">
        <f>'DATA BASE'!M92</f>
        <v>0</v>
      </c>
      <c r="H139" s="378">
        <f t="shared" si="8"/>
        <v>0</v>
      </c>
      <c r="I139" s="392"/>
      <c r="K139" s="466"/>
    </row>
    <row r="140" spans="1:11" ht="31.5" x14ac:dyDescent="0.25">
      <c r="A140" s="6" t="s">
        <v>213</v>
      </c>
      <c r="B140" s="309">
        <f>'DATA BASE'!H97</f>
        <v>350</v>
      </c>
      <c r="C140" s="300">
        <f>'DATA BASE'!I97</f>
        <v>95</v>
      </c>
      <c r="D140" s="319">
        <f>'DATA BASE'!J97</f>
        <v>17.500000000000014</v>
      </c>
      <c r="E140" s="316">
        <f>'DATA BASE'!K97</f>
        <v>335</v>
      </c>
      <c r="F140" s="317">
        <f>'DATA BASE'!L97</f>
        <v>92.7</v>
      </c>
      <c r="G140" s="324">
        <f>'DATA BASE'!M97</f>
        <v>24.454999999999984</v>
      </c>
      <c r="H140" s="378">
        <f t="shared" si="8"/>
        <v>6.9549999999999699</v>
      </c>
      <c r="I140" s="392" t="s">
        <v>121</v>
      </c>
      <c r="K140" s="466">
        <f>'DATA BASE'!$O$97</f>
        <v>0.23</v>
      </c>
    </row>
    <row r="141" spans="1:11" ht="31.5" x14ac:dyDescent="0.25">
      <c r="A141" s="6" t="s">
        <v>214</v>
      </c>
      <c r="B141" s="309">
        <f>'DATA BASE'!H101</f>
        <v>70</v>
      </c>
      <c r="C141" s="300">
        <f>'DATA BASE'!I101</f>
        <v>85.7</v>
      </c>
      <c r="D141" s="319">
        <f>'DATA BASE'!J101</f>
        <v>10.010000000000002</v>
      </c>
      <c r="E141" s="316">
        <f>'DATA BASE'!K101</f>
        <v>70</v>
      </c>
      <c r="F141" s="317">
        <f>'DATA BASE'!L101</f>
        <v>85.7</v>
      </c>
      <c r="G141" s="324">
        <f>'DATA BASE'!M101</f>
        <v>10.010000000000002</v>
      </c>
      <c r="H141" s="378">
        <f t="shared" si="8"/>
        <v>0</v>
      </c>
      <c r="I141" s="392" t="s">
        <v>121</v>
      </c>
      <c r="K141" s="466">
        <f>'DATA BASE'!$O$101</f>
        <v>0.05</v>
      </c>
    </row>
    <row r="142" spans="1:11" ht="31.5" x14ac:dyDescent="0.25">
      <c r="A142" s="6" t="s">
        <v>216</v>
      </c>
      <c r="B142" s="309">
        <f>'DATA BASE'!H103</f>
        <v>0</v>
      </c>
      <c r="C142" s="300">
        <f>'DATA BASE'!I103</f>
        <v>67.7</v>
      </c>
      <c r="D142" s="319">
        <f>'DATA BASE'!J103</f>
        <v>0</v>
      </c>
      <c r="E142" s="316">
        <f>'DATA BASE'!K103</f>
        <v>0</v>
      </c>
      <c r="F142" s="317">
        <f>'DATA BASE'!L103</f>
        <v>89.3</v>
      </c>
      <c r="G142" s="324">
        <f>'DATA BASE'!M103</f>
        <v>0</v>
      </c>
      <c r="H142" s="378">
        <f t="shared" si="8"/>
        <v>0</v>
      </c>
      <c r="I142" s="392" t="s">
        <v>121</v>
      </c>
      <c r="K142" s="466">
        <f>'DATA BASE'!$O$103</f>
        <v>0.03</v>
      </c>
    </row>
    <row r="143" spans="1:11" ht="32.25" thickBot="1" x14ac:dyDescent="0.3">
      <c r="A143" s="6" t="s">
        <v>218</v>
      </c>
      <c r="B143" s="309">
        <f>'DATA BASE'!H106</f>
        <v>100</v>
      </c>
      <c r="C143" s="300">
        <f>'DATA BASE'!I106</f>
        <v>88</v>
      </c>
      <c r="D143" s="319">
        <f>'DATA BASE'!J106</f>
        <v>12</v>
      </c>
      <c r="E143" s="316">
        <f>'DATA BASE'!K106</f>
        <v>100</v>
      </c>
      <c r="F143" s="317">
        <f>'DATA BASE'!L106</f>
        <v>75.400000000000006</v>
      </c>
      <c r="G143" s="324">
        <f>'DATA BASE'!M106</f>
        <v>24.6</v>
      </c>
      <c r="H143" s="378">
        <f t="shared" si="8"/>
        <v>12.600000000000001</v>
      </c>
      <c r="I143" s="392" t="s">
        <v>121</v>
      </c>
      <c r="K143" s="466">
        <f>'DATA BASE'!$O$106</f>
        <v>0.37</v>
      </c>
    </row>
    <row r="144" spans="1:11" ht="37.5" customHeight="1" thickTop="1" thickBot="1" x14ac:dyDescent="0.3">
      <c r="A144" s="643" t="s">
        <v>331</v>
      </c>
      <c r="B144" s="640">
        <f>SUM(B138:B143)</f>
        <v>520</v>
      </c>
      <c r="C144" s="641"/>
      <c r="D144" s="642">
        <f>SUM(D138:D143)</f>
        <v>39.510000000000019</v>
      </c>
      <c r="E144" s="640">
        <f>SUM(E138:E143)</f>
        <v>505</v>
      </c>
      <c r="F144" s="641"/>
      <c r="G144" s="642">
        <f>SUM(G138:G143)</f>
        <v>59.064999999999991</v>
      </c>
      <c r="H144" s="641">
        <f>SUM(H134:H143)</f>
        <v>-8.9650000000000105</v>
      </c>
      <c r="I144" s="641"/>
      <c r="K144" s="471">
        <f>SUM(K138:K143)</f>
        <v>0.68</v>
      </c>
    </row>
    <row r="145" spans="1:11" ht="32.25" thickTop="1" x14ac:dyDescent="0.25">
      <c r="A145" s="6" t="s">
        <v>253</v>
      </c>
      <c r="B145" s="309">
        <f>'DATA BASE'!H107</f>
        <v>0</v>
      </c>
      <c r="C145" s="300">
        <f>'DATA BASE'!I107</f>
        <v>95</v>
      </c>
      <c r="D145" s="319">
        <f>'DATA BASE'!J107</f>
        <v>0</v>
      </c>
      <c r="E145" s="316">
        <f>'DATA BASE'!K107</f>
        <v>0</v>
      </c>
      <c r="F145" s="317">
        <f>'DATA BASE'!L107</f>
        <v>96</v>
      </c>
      <c r="G145" s="324">
        <f>'DATA BASE'!M107</f>
        <v>0</v>
      </c>
      <c r="H145" s="378">
        <f t="shared" si="8"/>
        <v>0</v>
      </c>
      <c r="I145" s="392" t="s">
        <v>122</v>
      </c>
      <c r="K145" s="466">
        <f>'DATA BASE'!$O$107</f>
        <v>0</v>
      </c>
    </row>
    <row r="146" spans="1:11" ht="31.5" x14ac:dyDescent="0.25">
      <c r="A146" s="6" t="s">
        <v>220</v>
      </c>
      <c r="B146" s="309">
        <f>'DATA BASE'!H109</f>
        <v>80</v>
      </c>
      <c r="C146" s="300">
        <f>'DATA BASE'!I109</f>
        <v>22.1</v>
      </c>
      <c r="D146" s="319">
        <f>'DATA BASE'!J109</f>
        <v>62.32</v>
      </c>
      <c r="E146" s="316">
        <f>'DATA BASE'!K109</f>
        <v>80</v>
      </c>
      <c r="F146" s="317">
        <f>'DATA BASE'!L109</f>
        <v>42.6</v>
      </c>
      <c r="G146" s="324">
        <f>'DATA BASE'!M109</f>
        <v>45.92</v>
      </c>
      <c r="H146" s="378">
        <f t="shared" si="8"/>
        <v>-16.399999999999999</v>
      </c>
      <c r="I146" s="392" t="s">
        <v>122</v>
      </c>
      <c r="K146" s="466">
        <f>'DATA BASE'!O109</f>
        <v>0.03</v>
      </c>
    </row>
    <row r="147" spans="1:11" ht="31.5" x14ac:dyDescent="0.25">
      <c r="A147" s="6" t="s">
        <v>221</v>
      </c>
      <c r="B147" s="309">
        <f>'DATA BASE'!H110</f>
        <v>60</v>
      </c>
      <c r="C147" s="300">
        <f>'DATA BASE'!I110</f>
        <v>80</v>
      </c>
      <c r="D147" s="319">
        <f>'DATA BASE'!J110</f>
        <v>11.999999999999996</v>
      </c>
      <c r="E147" s="316">
        <f>'DATA BASE'!K110</f>
        <v>60</v>
      </c>
      <c r="F147" s="317">
        <f>'DATA BASE'!L110</f>
        <v>67.8</v>
      </c>
      <c r="G147" s="324">
        <f>'DATA BASE'!M110</f>
        <v>19.320000000000004</v>
      </c>
      <c r="H147" s="378">
        <f t="shared" si="8"/>
        <v>7.3200000000000074</v>
      </c>
      <c r="I147" s="392" t="s">
        <v>122</v>
      </c>
      <c r="K147" s="466">
        <f>'DATA BASE'!O110</f>
        <v>0.21</v>
      </c>
    </row>
    <row r="148" spans="1:11" ht="31.5" x14ac:dyDescent="0.25">
      <c r="A148" s="6" t="s">
        <v>223</v>
      </c>
      <c r="B148" s="309">
        <f>'DATA BASE'!H114</f>
        <v>80</v>
      </c>
      <c r="C148" s="300">
        <f>'DATA BASE'!I114</f>
        <v>73.599999999999994</v>
      </c>
      <c r="D148" s="319">
        <f>'DATA BASE'!J114</f>
        <v>21.12</v>
      </c>
      <c r="E148" s="316">
        <f>'DATA BASE'!K114</f>
        <v>80</v>
      </c>
      <c r="F148" s="317">
        <f>'DATA BASE'!L114</f>
        <v>79.599999999999994</v>
      </c>
      <c r="G148" s="324">
        <f>'DATA BASE'!M114</f>
        <v>16.320000000000007</v>
      </c>
      <c r="H148" s="378">
        <f t="shared" si="8"/>
        <v>-4.7999999999999936</v>
      </c>
      <c r="I148" s="392" t="s">
        <v>122</v>
      </c>
      <c r="K148" s="466">
        <f>'DATA BASE'!$O$114</f>
        <v>0.2</v>
      </c>
    </row>
    <row r="149" spans="1:11" ht="31.5" x14ac:dyDescent="0.25">
      <c r="A149" s="6" t="s">
        <v>225</v>
      </c>
      <c r="B149" s="309">
        <f>'DATA BASE'!H116</f>
        <v>70</v>
      </c>
      <c r="C149" s="300">
        <f>'DATA BASE'!I116</f>
        <v>12</v>
      </c>
      <c r="D149" s="319">
        <f>'DATA BASE'!J116</f>
        <v>61.6</v>
      </c>
      <c r="E149" s="316">
        <f>'DATA BASE'!K116</f>
        <v>75</v>
      </c>
      <c r="F149" s="317">
        <f>'DATA BASE'!L116</f>
        <v>12</v>
      </c>
      <c r="G149" s="324">
        <f>'DATA BASE'!M116</f>
        <v>66</v>
      </c>
      <c r="H149" s="378">
        <f t="shared" si="8"/>
        <v>4.3999999999999986</v>
      </c>
      <c r="I149" s="392" t="s">
        <v>122</v>
      </c>
      <c r="K149" s="466">
        <f>'DATA BASE'!O116</f>
        <v>0.02</v>
      </c>
    </row>
    <row r="150" spans="1:11" ht="31.5" x14ac:dyDescent="0.25">
      <c r="A150" s="6" t="s">
        <v>226</v>
      </c>
      <c r="B150" s="309">
        <f>'DATA BASE'!H117</f>
        <v>50</v>
      </c>
      <c r="C150" s="300">
        <f>'DATA BASE'!I117</f>
        <v>70</v>
      </c>
      <c r="D150" s="319">
        <f>'DATA BASE'!J117</f>
        <v>15.000000000000002</v>
      </c>
      <c r="E150" s="316">
        <f>'DATA BASE'!K117</f>
        <v>40</v>
      </c>
      <c r="F150" s="317">
        <f>'DATA BASE'!L117</f>
        <v>71.7</v>
      </c>
      <c r="G150" s="324">
        <f>'DATA BASE'!M117</f>
        <v>11.319999999999997</v>
      </c>
      <c r="H150" s="378">
        <f t="shared" si="8"/>
        <v>-3.680000000000005</v>
      </c>
      <c r="I150" s="392" t="s">
        <v>122</v>
      </c>
      <c r="K150" s="466">
        <f>'DATA BASE'!O117</f>
        <v>0.01</v>
      </c>
    </row>
    <row r="151" spans="1:11" ht="31.5" x14ac:dyDescent="0.25">
      <c r="A151" s="6" t="s">
        <v>229</v>
      </c>
      <c r="B151" s="309">
        <f>'DATA BASE'!H120</f>
        <v>100</v>
      </c>
      <c r="C151" s="300">
        <f>'DATA BASE'!I120</f>
        <v>58.5</v>
      </c>
      <c r="D151" s="319">
        <f>'DATA BASE'!J120</f>
        <v>41.5</v>
      </c>
      <c r="E151" s="316">
        <f>'DATA BASE'!K120</f>
        <v>100</v>
      </c>
      <c r="F151" s="317">
        <f>'DATA BASE'!L120</f>
        <v>58.5</v>
      </c>
      <c r="G151" s="324">
        <f>'DATA BASE'!M120</f>
        <v>41.5</v>
      </c>
      <c r="H151" s="378">
        <f t="shared" si="8"/>
        <v>0</v>
      </c>
      <c r="I151" s="392" t="s">
        <v>122</v>
      </c>
      <c r="K151" s="466">
        <f>'DATA BASE'!$O$120</f>
        <v>0.27</v>
      </c>
    </row>
    <row r="152" spans="1:11" ht="31.5" x14ac:dyDescent="0.25">
      <c r="A152" s="6" t="s">
        <v>231</v>
      </c>
      <c r="B152" s="309">
        <f>'DATA BASE'!H125</f>
        <v>50</v>
      </c>
      <c r="C152" s="300">
        <f>'DATA BASE'!I125</f>
        <v>10</v>
      </c>
      <c r="D152" s="319">
        <f>'DATA BASE'!J125</f>
        <v>45</v>
      </c>
      <c r="E152" s="316">
        <f>'DATA BASE'!K125</f>
        <v>50</v>
      </c>
      <c r="F152" s="317">
        <f>'DATA BASE'!L125</f>
        <v>22.9</v>
      </c>
      <c r="G152" s="324">
        <f>'DATA BASE'!M125</f>
        <v>38.550000000000004</v>
      </c>
      <c r="H152" s="378">
        <f t="shared" si="8"/>
        <v>-6.4499999999999957</v>
      </c>
      <c r="I152" s="392" t="s">
        <v>122</v>
      </c>
      <c r="K152" s="466">
        <f>'DATA BASE'!$O$125</f>
        <v>0.13</v>
      </c>
    </row>
    <row r="153" spans="1:11" ht="31.5" x14ac:dyDescent="0.25">
      <c r="A153" s="6" t="s">
        <v>235</v>
      </c>
      <c r="B153" s="309">
        <f>'DATA BASE'!H130</f>
        <v>400</v>
      </c>
      <c r="C153" s="300">
        <f>'DATA BASE'!I130</f>
        <v>96.8</v>
      </c>
      <c r="D153" s="319">
        <f>'DATA BASE'!J130</f>
        <v>12.800000000000011</v>
      </c>
      <c r="E153" s="316">
        <f>'DATA BASE'!K130</f>
        <v>400</v>
      </c>
      <c r="F153" s="317">
        <f>'DATA BASE'!L130</f>
        <v>96.3</v>
      </c>
      <c r="G153" s="324">
        <f>'DATA BASE'!M130</f>
        <v>14.800000000000013</v>
      </c>
      <c r="H153" s="378">
        <f t="shared" si="8"/>
        <v>2.0000000000000018</v>
      </c>
      <c r="I153" s="392" t="s">
        <v>122</v>
      </c>
      <c r="K153" s="466">
        <f>'DATA BASE'!O130</f>
        <v>0.52</v>
      </c>
    </row>
    <row r="154" spans="1:11" ht="31.5" x14ac:dyDescent="0.25">
      <c r="A154" s="6" t="s">
        <v>236</v>
      </c>
      <c r="B154" s="309">
        <f>'DATA BASE'!H131</f>
        <v>50</v>
      </c>
      <c r="C154" s="300">
        <f>'DATA BASE'!I131</f>
        <v>92.4</v>
      </c>
      <c r="D154" s="319">
        <f>'DATA BASE'!J131</f>
        <v>3.799999999999998</v>
      </c>
      <c r="E154" s="316">
        <f>'DATA BASE'!K131</f>
        <v>50</v>
      </c>
      <c r="F154" s="317">
        <f>'DATA BASE'!L131</f>
        <v>82.4</v>
      </c>
      <c r="G154" s="324">
        <f>'DATA BASE'!M131</f>
        <v>8.7999999999999972</v>
      </c>
      <c r="H154" s="378">
        <f t="shared" si="8"/>
        <v>4.9999999999999991</v>
      </c>
      <c r="I154" s="392" t="s">
        <v>122</v>
      </c>
      <c r="K154" s="466">
        <f>'DATA BASE'!O131</f>
        <v>0.2</v>
      </c>
    </row>
    <row r="155" spans="1:11" ht="31.5" x14ac:dyDescent="0.25">
      <c r="A155" s="6" t="s">
        <v>239</v>
      </c>
      <c r="B155" s="309">
        <f>'DATA BASE'!H134</f>
        <v>150</v>
      </c>
      <c r="C155" s="300">
        <f>'DATA BASE'!I134</f>
        <v>10</v>
      </c>
      <c r="D155" s="319">
        <f>'DATA BASE'!J134</f>
        <v>135</v>
      </c>
      <c r="E155" s="316">
        <f>'DATA BASE'!K134</f>
        <v>220</v>
      </c>
      <c r="F155" s="317">
        <f>'DATA BASE'!L134</f>
        <v>8.5</v>
      </c>
      <c r="G155" s="324">
        <f>'DATA BASE'!M134</f>
        <v>201.3</v>
      </c>
      <c r="H155" s="378">
        <f t="shared" si="8"/>
        <v>66.300000000000011</v>
      </c>
      <c r="I155" s="392" t="s">
        <v>122</v>
      </c>
      <c r="K155" s="466">
        <f>'DATA BASE'!O134</f>
        <v>0.8</v>
      </c>
    </row>
    <row r="156" spans="1:11" ht="31.5" x14ac:dyDescent="0.25">
      <c r="A156" s="6" t="s">
        <v>240</v>
      </c>
      <c r="B156" s="309">
        <f>'DATA BASE'!H136</f>
        <v>110</v>
      </c>
      <c r="C156" s="300">
        <f>'DATA BASE'!I136</f>
        <v>3.2</v>
      </c>
      <c r="D156" s="319">
        <f>'DATA BASE'!J136</f>
        <v>106.47999999999999</v>
      </c>
      <c r="E156" s="316">
        <f>'DATA BASE'!K136</f>
        <v>110</v>
      </c>
      <c r="F156" s="317">
        <f>'DATA BASE'!L136</f>
        <v>9.3000000000000007</v>
      </c>
      <c r="G156" s="324">
        <f>'DATA BASE'!M136</f>
        <v>99.77000000000001</v>
      </c>
      <c r="H156" s="378">
        <f t="shared" si="8"/>
        <v>-6.7099999999999795</v>
      </c>
      <c r="I156" s="392" t="s">
        <v>122</v>
      </c>
      <c r="K156" s="466">
        <f>'DATA BASE'!O136</f>
        <v>0.43</v>
      </c>
    </row>
    <row r="157" spans="1:11" ht="31.5" x14ac:dyDescent="0.25">
      <c r="A157" s="6" t="str">
        <f>'DATA BASE'!$A$138</f>
        <v>BM-126</v>
      </c>
      <c r="B157" s="309">
        <f>'DATA BASE'!H138</f>
        <v>0</v>
      </c>
      <c r="C157" s="300">
        <f>'DATA BASE'!I138</f>
        <v>0</v>
      </c>
      <c r="D157" s="319">
        <f>'DATA BASE'!J138</f>
        <v>0</v>
      </c>
      <c r="E157" s="316">
        <f>'DATA BASE'!K138</f>
        <v>0</v>
      </c>
      <c r="F157" s="317">
        <f>'DATA BASE'!L138</f>
        <v>0</v>
      </c>
      <c r="G157" s="324">
        <f>'DATA BASE'!M138</f>
        <v>0</v>
      </c>
      <c r="H157" s="378"/>
      <c r="I157" s="392"/>
      <c r="K157" s="466"/>
    </row>
    <row r="158" spans="1:11" ht="32.25" thickBot="1" x14ac:dyDescent="0.3">
      <c r="A158" s="6" t="str">
        <f>'DATA BASE'!$A$139</f>
        <v>BM-127</v>
      </c>
      <c r="B158" s="309">
        <f>'DATA BASE'!H139</f>
        <v>0</v>
      </c>
      <c r="C158" s="300">
        <f>'DATA BASE'!I139</f>
        <v>0</v>
      </c>
      <c r="D158" s="319">
        <f>'DATA BASE'!J139</f>
        <v>0</v>
      </c>
      <c r="E158" s="316">
        <f>'DATA BASE'!K139</f>
        <v>0</v>
      </c>
      <c r="F158" s="317">
        <f>'DATA BASE'!L139</f>
        <v>0</v>
      </c>
      <c r="G158" s="324">
        <f>'DATA BASE'!M139</f>
        <v>0</v>
      </c>
      <c r="H158" s="378"/>
      <c r="I158" s="392"/>
      <c r="K158" s="466"/>
    </row>
    <row r="159" spans="1:11" ht="37.5" customHeight="1" thickTop="1" thickBot="1" x14ac:dyDescent="0.3">
      <c r="A159" s="643" t="s">
        <v>331</v>
      </c>
      <c r="B159" s="640">
        <f>SUM(B145:B158)</f>
        <v>1200</v>
      </c>
      <c r="C159" s="641"/>
      <c r="D159" s="640">
        <f>SUM(D145:D158)</f>
        <v>516.62</v>
      </c>
      <c r="E159" s="640">
        <f>SUM(E145:E158)</f>
        <v>1265</v>
      </c>
      <c r="F159" s="641"/>
      <c r="G159" s="640">
        <f>SUM(G145:G158)</f>
        <v>563.6</v>
      </c>
      <c r="H159" s="640">
        <f>SUM(H145:H158)</f>
        <v>46.980000000000047</v>
      </c>
      <c r="I159" s="641"/>
      <c r="K159" s="471">
        <f>SUM(K145:K156)</f>
        <v>2.8200000000000003</v>
      </c>
    </row>
    <row r="160" spans="1:11" ht="37.5" customHeight="1" thickTop="1" x14ac:dyDescent="0.25">
      <c r="A160" s="373" t="s">
        <v>316</v>
      </c>
      <c r="B160" s="374" t="s">
        <v>318</v>
      </c>
      <c r="C160" s="374" t="s">
        <v>317</v>
      </c>
      <c r="D160" s="375" t="s">
        <v>319</v>
      </c>
      <c r="E160" s="374" t="s">
        <v>131</v>
      </c>
      <c r="F160" s="374" t="s">
        <v>132</v>
      </c>
      <c r="G160" s="376" t="s">
        <v>181</v>
      </c>
      <c r="H160" s="377" t="s">
        <v>320</v>
      </c>
      <c r="I160" s="377" t="s">
        <v>262</v>
      </c>
      <c r="K160" s="468"/>
    </row>
    <row r="161" spans="1:11" ht="31.5" x14ac:dyDescent="0.25">
      <c r="A161" s="6" t="s">
        <v>200</v>
      </c>
      <c r="B161" s="309">
        <f>'DATA BASE'!H76</f>
        <v>110</v>
      </c>
      <c r="C161" s="300">
        <f>'DATA BASE'!I76</f>
        <v>79</v>
      </c>
      <c r="D161" s="319">
        <f>'DATA BASE'!J76</f>
        <v>23.099999999999994</v>
      </c>
      <c r="E161" s="316">
        <f>'DATA BASE'!K76</f>
        <v>120</v>
      </c>
      <c r="F161" s="317">
        <f>'DATA BASE'!L76</f>
        <v>73.7</v>
      </c>
      <c r="G161" s="324">
        <f>'DATA BASE'!M76</f>
        <v>31.560000000000002</v>
      </c>
      <c r="H161" s="378">
        <f t="shared" si="8"/>
        <v>8.460000000000008</v>
      </c>
      <c r="I161" s="815" t="s">
        <v>123</v>
      </c>
      <c r="K161" s="466">
        <f>'DATA BASE'!O76</f>
        <v>0.03</v>
      </c>
    </row>
    <row r="162" spans="1:11" ht="31.5" x14ac:dyDescent="0.25">
      <c r="A162" s="6" t="s">
        <v>245</v>
      </c>
      <c r="B162" s="309">
        <f>'DATA BASE'!H77</f>
        <v>0</v>
      </c>
      <c r="C162" s="300">
        <f>'DATA BASE'!I77</f>
        <v>0</v>
      </c>
      <c r="D162" s="319">
        <f>'DATA BASE'!J77</f>
        <v>0</v>
      </c>
      <c r="E162" s="316">
        <f>'DATA BASE'!K77</f>
        <v>0</v>
      </c>
      <c r="F162" s="317">
        <f>'DATA BASE'!L77</f>
        <v>40.9</v>
      </c>
      <c r="G162" s="324">
        <f>'DATA BASE'!M77</f>
        <v>0</v>
      </c>
      <c r="H162" s="378">
        <f t="shared" si="8"/>
        <v>0</v>
      </c>
      <c r="I162" s="816"/>
      <c r="K162" s="466">
        <f>'DATA BASE'!O77</f>
        <v>0</v>
      </c>
    </row>
    <row r="163" spans="1:11" ht="31.5" x14ac:dyDescent="0.25">
      <c r="A163" s="6" t="s">
        <v>246</v>
      </c>
      <c r="B163" s="309">
        <f>'DATA BASE'!H78</f>
        <v>0</v>
      </c>
      <c r="C163" s="300">
        <f>'DATA BASE'!I78</f>
        <v>68.599999999999994</v>
      </c>
      <c r="D163" s="319">
        <f>'DATA BASE'!J78</f>
        <v>0</v>
      </c>
      <c r="E163" s="316">
        <f>'DATA BASE'!K78</f>
        <v>0</v>
      </c>
      <c r="F163" s="317">
        <f>'DATA BASE'!L78</f>
        <v>2.4</v>
      </c>
      <c r="G163" s="324">
        <f>'DATA BASE'!M78</f>
        <v>0</v>
      </c>
      <c r="H163" s="378">
        <f t="shared" si="8"/>
        <v>0</v>
      </c>
      <c r="I163" s="816"/>
      <c r="K163" s="466">
        <f>'DATA BASE'!O78</f>
        <v>0</v>
      </c>
    </row>
    <row r="164" spans="1:11" ht="31.5" x14ac:dyDescent="0.25">
      <c r="A164" s="6" t="s">
        <v>201</v>
      </c>
      <c r="B164" s="309">
        <f>'DATA BASE'!H79</f>
        <v>50</v>
      </c>
      <c r="C164" s="300">
        <f>'DATA BASE'!I79</f>
        <v>61.9</v>
      </c>
      <c r="D164" s="319">
        <f>'DATA BASE'!J79</f>
        <v>19.05</v>
      </c>
      <c r="E164" s="316">
        <f>'DATA BASE'!K79</f>
        <v>50</v>
      </c>
      <c r="F164" s="317">
        <f>'DATA BASE'!L79</f>
        <v>78.400000000000006</v>
      </c>
      <c r="G164" s="324">
        <f>'DATA BASE'!M79</f>
        <v>10.799999999999999</v>
      </c>
      <c r="H164" s="378">
        <f t="shared" si="8"/>
        <v>-8.2500000000000018</v>
      </c>
      <c r="I164" s="816"/>
      <c r="K164" s="466">
        <f>'DATA BASE'!O79</f>
        <v>0.09</v>
      </c>
    </row>
    <row r="165" spans="1:11" ht="31.5" x14ac:dyDescent="0.25">
      <c r="A165" s="6" t="str">
        <f>'DATA BASE'!$A$81</f>
        <v>BM-24</v>
      </c>
      <c r="B165" s="309">
        <f>'DATA BASE'!H81</f>
        <v>0</v>
      </c>
      <c r="C165" s="300">
        <f>'DATA BASE'!I81</f>
        <v>0</v>
      </c>
      <c r="D165" s="319">
        <f>'DATA BASE'!J81</f>
        <v>0</v>
      </c>
      <c r="E165" s="316">
        <f>'DATA BASE'!K81</f>
        <v>0</v>
      </c>
      <c r="F165" s="317">
        <f>'DATA BASE'!L81</f>
        <v>0</v>
      </c>
      <c r="G165" s="324">
        <f>'DATA BASE'!M81</f>
        <v>0</v>
      </c>
      <c r="H165" s="378">
        <f t="shared" si="8"/>
        <v>0</v>
      </c>
      <c r="I165" s="816"/>
      <c r="K165" s="466"/>
    </row>
    <row r="166" spans="1:11" ht="31.5" x14ac:dyDescent="0.25">
      <c r="A166" s="6" t="s">
        <v>203</v>
      </c>
      <c r="B166" s="309">
        <f>'DATA BASE'!H82</f>
        <v>60</v>
      </c>
      <c r="C166" s="300">
        <f>'DATA BASE'!I82</f>
        <v>45</v>
      </c>
      <c r="D166" s="319">
        <f>'DATA BASE'!J82</f>
        <v>33</v>
      </c>
      <c r="E166" s="316">
        <f>'DATA BASE'!K82</f>
        <v>60</v>
      </c>
      <c r="F166" s="317">
        <f>'DATA BASE'!L82</f>
        <v>67.900000000000006</v>
      </c>
      <c r="G166" s="324">
        <f>'DATA BASE'!M82</f>
        <v>19.259999999999998</v>
      </c>
      <c r="H166" s="378">
        <f t="shared" si="8"/>
        <v>-13.740000000000002</v>
      </c>
      <c r="I166" s="816"/>
      <c r="K166" s="466">
        <f>'DATA BASE'!$O$82</f>
        <v>0.03</v>
      </c>
    </row>
    <row r="167" spans="1:11" ht="31.5" x14ac:dyDescent="0.25">
      <c r="A167" s="6" t="s">
        <v>204</v>
      </c>
      <c r="B167" s="309" t="e">
        <f>'DATA BASE'!#REF!</f>
        <v>#REF!</v>
      </c>
      <c r="C167" s="300" t="e">
        <f>'DATA BASE'!#REF!</f>
        <v>#REF!</v>
      </c>
      <c r="D167" s="319" t="e">
        <f>'DATA BASE'!#REF!</f>
        <v>#REF!</v>
      </c>
      <c r="E167" s="316" t="e">
        <f>'DATA BASE'!#REF!</f>
        <v>#REF!</v>
      </c>
      <c r="F167" s="317" t="e">
        <f>'DATA BASE'!#REF!</f>
        <v>#REF!</v>
      </c>
      <c r="G167" s="324" t="e">
        <f>'DATA BASE'!#REF!</f>
        <v>#REF!</v>
      </c>
      <c r="H167" s="378" t="e">
        <f t="shared" si="8"/>
        <v>#REF!</v>
      </c>
      <c r="I167" s="816"/>
      <c r="K167" s="466" t="e">
        <f>'DATA BASE'!#REF!</f>
        <v>#REF!</v>
      </c>
    </row>
    <row r="168" spans="1:11" ht="32.25" thickBot="1" x14ac:dyDescent="0.3">
      <c r="A168" s="6" t="str">
        <f>'DATA BASE'!$A$84</f>
        <v>BM-28</v>
      </c>
      <c r="B168" s="309">
        <f>'DATA BASE'!H84</f>
        <v>0</v>
      </c>
      <c r="C168" s="300">
        <f>'DATA BASE'!I84</f>
        <v>0</v>
      </c>
      <c r="D168" s="319">
        <f>'DATA BASE'!J84</f>
        <v>0</v>
      </c>
      <c r="E168" s="316">
        <f>'DATA BASE'!K84</f>
        <v>20</v>
      </c>
      <c r="F168" s="317">
        <f>'DATA BASE'!L84</f>
        <v>79.099999999999994</v>
      </c>
      <c r="G168" s="324">
        <f>'DATA BASE'!M84</f>
        <v>4.1800000000000015</v>
      </c>
      <c r="H168" s="378">
        <f t="shared" si="8"/>
        <v>4.1800000000000015</v>
      </c>
      <c r="I168" s="817"/>
      <c r="K168" s="466">
        <f>'DATA BASE'!O85</f>
        <v>0</v>
      </c>
    </row>
    <row r="169" spans="1:11" ht="37.5" customHeight="1" thickTop="1" thickBot="1" x14ac:dyDescent="0.3">
      <c r="A169" s="643" t="s">
        <v>331</v>
      </c>
      <c r="B169" s="640" t="e">
        <f>SUM(B161:B168)</f>
        <v>#REF!</v>
      </c>
      <c r="C169" s="641"/>
      <c r="D169" s="642" t="e">
        <f>SUM(D161:D168)</f>
        <v>#REF!</v>
      </c>
      <c r="E169" s="640" t="e">
        <f>SUM(E161:E168)</f>
        <v>#REF!</v>
      </c>
      <c r="F169" s="641"/>
      <c r="G169" s="642" t="e">
        <f>SUM(G161:G168)</f>
        <v>#REF!</v>
      </c>
      <c r="H169" s="641" t="e">
        <f>SUM(H161:H168)</f>
        <v>#REF!</v>
      </c>
      <c r="I169" s="641"/>
      <c r="K169" s="471" t="e">
        <f>SUM(K161:K168)</f>
        <v>#REF!</v>
      </c>
    </row>
    <row r="170" spans="1:11" ht="32.25" thickTop="1" x14ac:dyDescent="0.25">
      <c r="A170" s="6" t="s">
        <v>33</v>
      </c>
      <c r="B170" s="309">
        <f>'DATA BASE'!H15</f>
        <v>120</v>
      </c>
      <c r="C170" s="300">
        <f>'DATA BASE'!I15</f>
        <v>70</v>
      </c>
      <c r="D170" s="319">
        <f>'DATA BASE'!J15</f>
        <v>36.000000000000007</v>
      </c>
      <c r="E170" s="316">
        <f>'DATA BASE'!K15</f>
        <v>95</v>
      </c>
      <c r="F170" s="317">
        <f>'DATA BASE'!L15</f>
        <v>54.1</v>
      </c>
      <c r="G170" s="324">
        <f>'DATA BASE'!M15</f>
        <v>43.604999999999997</v>
      </c>
      <c r="H170" s="378">
        <f t="shared" si="8"/>
        <v>7.6049999999999898</v>
      </c>
      <c r="I170" s="392" t="s">
        <v>124</v>
      </c>
      <c r="K170" s="466">
        <f>'DATA BASE'!O15</f>
        <v>0.28999999999999998</v>
      </c>
    </row>
    <row r="171" spans="1:11" ht="31.5" x14ac:dyDescent="0.25">
      <c r="A171" s="6" t="s">
        <v>34</v>
      </c>
      <c r="B171" s="309">
        <f>'DATA BASE'!H16</f>
        <v>0</v>
      </c>
      <c r="C171" s="300">
        <f>'DATA BASE'!I16</f>
        <v>87</v>
      </c>
      <c r="D171" s="319">
        <f>'DATA BASE'!J16</f>
        <v>0</v>
      </c>
      <c r="E171" s="316">
        <f>'DATA BASE'!K16</f>
        <v>0</v>
      </c>
      <c r="F171" s="317">
        <f>'DATA BASE'!L16</f>
        <v>68.900000000000006</v>
      </c>
      <c r="G171" s="324">
        <f>'DATA BASE'!M16</f>
        <v>0</v>
      </c>
      <c r="H171" s="378">
        <f t="shared" si="8"/>
        <v>0</v>
      </c>
      <c r="I171" s="392" t="s">
        <v>124</v>
      </c>
      <c r="K171" s="466">
        <f>'DATA BASE'!O16</f>
        <v>0</v>
      </c>
    </row>
    <row r="172" spans="1:11" ht="31.5" x14ac:dyDescent="0.25">
      <c r="A172" s="6" t="s">
        <v>37</v>
      </c>
      <c r="B172" s="309">
        <f>'DATA BASE'!H19</f>
        <v>0</v>
      </c>
      <c r="C172" s="300">
        <f>'DATA BASE'!I19</f>
        <v>90</v>
      </c>
      <c r="D172" s="319">
        <f>'DATA BASE'!J19</f>
        <v>0</v>
      </c>
      <c r="E172" s="316">
        <f>'DATA BASE'!K19</f>
        <v>0</v>
      </c>
      <c r="F172" s="317">
        <f>'DATA BASE'!L19</f>
        <v>0</v>
      </c>
      <c r="G172" s="324">
        <f>'DATA BASE'!M19</f>
        <v>0</v>
      </c>
      <c r="H172" s="378">
        <f t="shared" si="8"/>
        <v>0</v>
      </c>
      <c r="I172" s="392" t="s">
        <v>124</v>
      </c>
      <c r="K172" s="466">
        <f>'DATA BASE'!O19</f>
        <v>0</v>
      </c>
    </row>
    <row r="173" spans="1:11" ht="32.25" thickBot="1" x14ac:dyDescent="0.3">
      <c r="A173" s="6" t="s">
        <v>38</v>
      </c>
      <c r="B173" s="309">
        <f>'DATA BASE'!H20</f>
        <v>50</v>
      </c>
      <c r="C173" s="300">
        <f>'DATA BASE'!I20</f>
        <v>60</v>
      </c>
      <c r="D173" s="319">
        <f>'DATA BASE'!J20</f>
        <v>20</v>
      </c>
      <c r="E173" s="316">
        <f>'DATA BASE'!K20</f>
        <v>60</v>
      </c>
      <c r="F173" s="317">
        <f>'DATA BASE'!L20</f>
        <v>95</v>
      </c>
      <c r="G173" s="324">
        <f>'DATA BASE'!M20</f>
        <v>3.0000000000000027</v>
      </c>
      <c r="H173" s="378">
        <f t="shared" si="8"/>
        <v>-16.999999999999996</v>
      </c>
      <c r="I173" s="392" t="s">
        <v>124</v>
      </c>
      <c r="K173" s="466">
        <f>'DATA BASE'!O20</f>
        <v>0.12</v>
      </c>
    </row>
    <row r="174" spans="1:11" ht="37.5" customHeight="1" thickTop="1" thickBot="1" x14ac:dyDescent="0.3">
      <c r="A174" s="643" t="s">
        <v>331</v>
      </c>
      <c r="B174" s="640">
        <f>SUM(B170:B173)</f>
        <v>170</v>
      </c>
      <c r="C174" s="641"/>
      <c r="D174" s="642">
        <f>SUM(D170:D173)</f>
        <v>56.000000000000007</v>
      </c>
      <c r="E174" s="640">
        <f>SUM(E170:E173)</f>
        <v>155</v>
      </c>
      <c r="F174" s="641"/>
      <c r="G174" s="642">
        <f>SUM(G170:G173)</f>
        <v>46.604999999999997</v>
      </c>
      <c r="H174" s="641">
        <f>SUM(H170:H173)</f>
        <v>-9.3950000000000067</v>
      </c>
      <c r="I174" s="641"/>
      <c r="K174" s="471">
        <f>SUM(K170:K173)</f>
        <v>0.41</v>
      </c>
    </row>
    <row r="175" spans="1:11" ht="32.25" thickTop="1" x14ac:dyDescent="0.25">
      <c r="A175" s="6" t="s">
        <v>304</v>
      </c>
      <c r="B175" s="309">
        <f>'DATA BASE'!H148</f>
        <v>600</v>
      </c>
      <c r="C175" s="300">
        <f>'DATA BASE'!I148</f>
        <v>94</v>
      </c>
      <c r="D175" s="319">
        <f>'DATA BASE'!J148</f>
        <v>36.000000000000028</v>
      </c>
      <c r="E175" s="316">
        <f>'DATA BASE'!K148</f>
        <v>600</v>
      </c>
      <c r="F175" s="317">
        <f>'DATA BASE'!L148</f>
        <v>94</v>
      </c>
      <c r="G175" s="324">
        <f>'DATA BASE'!M148</f>
        <v>36.000000000000028</v>
      </c>
      <c r="H175" s="378">
        <f t="shared" si="8"/>
        <v>0</v>
      </c>
      <c r="I175" s="392" t="s">
        <v>125</v>
      </c>
      <c r="K175" s="466">
        <f>'DATA BASE'!O148</f>
        <v>0.35</v>
      </c>
    </row>
    <row r="176" spans="1:11" ht="31.5" x14ac:dyDescent="0.25">
      <c r="A176" s="6" t="s">
        <v>313</v>
      </c>
      <c r="B176" s="309">
        <f>'DATA BASE'!H149</f>
        <v>500</v>
      </c>
      <c r="C176" s="300">
        <f>'DATA BASE'!I149</f>
        <v>93</v>
      </c>
      <c r="D176" s="319">
        <f>'DATA BASE'!J149</f>
        <v>34.999999999999979</v>
      </c>
      <c r="E176" s="316">
        <f>'DATA BASE'!K149</f>
        <v>520</v>
      </c>
      <c r="F176" s="317">
        <f>'DATA BASE'!L149</f>
        <v>95</v>
      </c>
      <c r="G176" s="324">
        <f>'DATA BASE'!M149</f>
        <v>26.000000000000021</v>
      </c>
      <c r="H176" s="378">
        <f t="shared" si="8"/>
        <v>-8.9999999999999574</v>
      </c>
      <c r="I176" s="392" t="s">
        <v>125</v>
      </c>
      <c r="K176" s="466">
        <f>'DATA BASE'!O149</f>
        <v>0.18</v>
      </c>
    </row>
    <row r="177" spans="1:12" ht="31.5" x14ac:dyDescent="0.25">
      <c r="A177" s="6" t="s">
        <v>305</v>
      </c>
      <c r="B177" s="309">
        <f>'DATA BASE'!H150</f>
        <v>100</v>
      </c>
      <c r="C177" s="300">
        <f>'DATA BASE'!I150</f>
        <v>90</v>
      </c>
      <c r="D177" s="319">
        <f>'DATA BASE'!J150</f>
        <v>9.9999999999999982</v>
      </c>
      <c r="E177" s="316">
        <f>'DATA BASE'!K150</f>
        <v>130</v>
      </c>
      <c r="F177" s="317">
        <f>'DATA BASE'!L150</f>
        <v>72.3</v>
      </c>
      <c r="G177" s="324">
        <f>'DATA BASE'!M150</f>
        <v>36.010000000000005</v>
      </c>
      <c r="H177" s="378">
        <f t="shared" si="8"/>
        <v>26.010000000000005</v>
      </c>
      <c r="I177" s="392" t="s">
        <v>125</v>
      </c>
      <c r="K177" s="466">
        <f>'DATA BASE'!O150</f>
        <v>0.37</v>
      </c>
    </row>
    <row r="178" spans="1:12" ht="31.5" x14ac:dyDescent="0.25">
      <c r="A178" s="6" t="s">
        <v>306</v>
      </c>
      <c r="B178" s="309">
        <f>'DATA BASE'!H151</f>
        <v>300</v>
      </c>
      <c r="C178" s="300">
        <f>'DATA BASE'!I151</f>
        <v>92.7</v>
      </c>
      <c r="D178" s="319">
        <f>'DATA BASE'!J151</f>
        <v>21.899999999999984</v>
      </c>
      <c r="E178" s="316">
        <f>'DATA BASE'!K151</f>
        <v>350</v>
      </c>
      <c r="F178" s="317">
        <f>'DATA BASE'!L151</f>
        <v>89.5</v>
      </c>
      <c r="G178" s="324">
        <f>'DATA BASE'!M151</f>
        <v>36.749999999999993</v>
      </c>
      <c r="H178" s="378">
        <f t="shared" si="8"/>
        <v>14.850000000000009</v>
      </c>
      <c r="I178" s="392" t="s">
        <v>125</v>
      </c>
      <c r="K178" s="466">
        <f>'DATA BASE'!O151</f>
        <v>0.35</v>
      </c>
    </row>
    <row r="179" spans="1:12" ht="31.5" x14ac:dyDescent="0.25">
      <c r="A179" s="6" t="s">
        <v>308</v>
      </c>
      <c r="B179" s="309">
        <f>'DATA BASE'!H152</f>
        <v>0</v>
      </c>
      <c r="C179" s="300">
        <f>'DATA BASE'!I152</f>
        <v>88</v>
      </c>
      <c r="D179" s="319">
        <f>'DATA BASE'!J152</f>
        <v>0</v>
      </c>
      <c r="E179" s="316">
        <f>'DATA BASE'!K152</f>
        <v>0</v>
      </c>
      <c r="F179" s="317">
        <f>'DATA BASE'!L152</f>
        <v>98</v>
      </c>
      <c r="G179" s="324">
        <f>'DATA BASE'!M152</f>
        <v>0</v>
      </c>
      <c r="H179" s="378">
        <f t="shared" si="8"/>
        <v>0</v>
      </c>
      <c r="I179" s="392" t="s">
        <v>125</v>
      </c>
      <c r="K179" s="466">
        <f>'DATA BASE'!O152</f>
        <v>0</v>
      </c>
    </row>
    <row r="180" spans="1:12" ht="32.25" thickBot="1" x14ac:dyDescent="0.3">
      <c r="A180" s="223" t="s">
        <v>307</v>
      </c>
      <c r="B180" s="309">
        <f>'DATA BASE'!H153</f>
        <v>100</v>
      </c>
      <c r="C180" s="300">
        <f>'DATA BASE'!I153</f>
        <v>12</v>
      </c>
      <c r="D180" s="319">
        <f>'DATA BASE'!J153</f>
        <v>88</v>
      </c>
      <c r="E180" s="316">
        <f>'DATA BASE'!K153</f>
        <v>100</v>
      </c>
      <c r="F180" s="317">
        <f>'DATA BASE'!L153</f>
        <v>33.6</v>
      </c>
      <c r="G180" s="324">
        <f>'DATA BASE'!M153</f>
        <v>66.399999999999991</v>
      </c>
      <c r="H180" s="378">
        <f t="shared" si="8"/>
        <v>-21.600000000000009</v>
      </c>
      <c r="I180" s="392" t="s">
        <v>125</v>
      </c>
      <c r="K180" s="466">
        <f>'DATA BASE'!O153</f>
        <v>0.02</v>
      </c>
    </row>
    <row r="181" spans="1:12" ht="37.5" customHeight="1" thickTop="1" thickBot="1" x14ac:dyDescent="0.3">
      <c r="A181" s="643" t="s">
        <v>331</v>
      </c>
      <c r="B181" s="640">
        <f>SUM(B175:B180)</f>
        <v>1600</v>
      </c>
      <c r="C181" s="641"/>
      <c r="D181" s="642">
        <f>SUM(D175:D180)</f>
        <v>190.89999999999998</v>
      </c>
      <c r="E181" s="640">
        <f>SUM(E175:E180)</f>
        <v>1700</v>
      </c>
      <c r="F181" s="641"/>
      <c r="G181" s="642">
        <f>SUM(G175:G180)</f>
        <v>201.16000000000003</v>
      </c>
      <c r="H181" s="641">
        <f>SUM(H175:H180)</f>
        <v>10.260000000000048</v>
      </c>
      <c r="I181" s="641"/>
      <c r="K181" s="471">
        <f>SUM(K175:K180)</f>
        <v>1.27</v>
      </c>
    </row>
    <row r="182" spans="1:12" ht="33" thickTop="1" thickBot="1" x14ac:dyDescent="0.3">
      <c r="A182" s="6"/>
      <c r="B182" s="309"/>
      <c r="C182" s="300"/>
      <c r="D182" s="319" t="s">
        <v>280</v>
      </c>
      <c r="E182" s="316"/>
      <c r="F182" s="317"/>
      <c r="G182" s="324"/>
      <c r="H182" s="378"/>
      <c r="I182" s="392"/>
      <c r="K182" s="466"/>
    </row>
    <row r="183" spans="1:12" ht="26.25" thickTop="1" x14ac:dyDescent="0.25">
      <c r="A183" s="373"/>
      <c r="B183" s="374" t="s">
        <v>318</v>
      </c>
      <c r="C183" s="374" t="s">
        <v>317</v>
      </c>
      <c r="D183" s="375" t="s">
        <v>319</v>
      </c>
      <c r="E183" s="374" t="s">
        <v>131</v>
      </c>
      <c r="F183" s="374" t="s">
        <v>132</v>
      </c>
      <c r="G183" s="376" t="s">
        <v>181</v>
      </c>
      <c r="H183" s="377" t="s">
        <v>320</v>
      </c>
      <c r="I183" s="392"/>
      <c r="K183" s="376" t="s">
        <v>347</v>
      </c>
    </row>
    <row r="184" spans="1:12" ht="31.5" x14ac:dyDescent="0.25">
      <c r="A184" s="6" t="s">
        <v>332</v>
      </c>
      <c r="B184" s="393" t="e">
        <f>B181+B169+B159+B144+B137+B125+B118+B112+B109+B107+B101+B97+B87+B82+B77+B69+B67+B64+B60+B46+B44+B35+B28+B23+B16+B12+B7+B174</f>
        <v>#REF!</v>
      </c>
      <c r="C184" s="300"/>
      <c r="D184" s="319" t="e">
        <f>D181+D169+D159+D144+D137+D125+D118+D112+D109+D107+D101+D97+D87+D82+D77+D69+D67+D64+D60+D46+D44+D35+D28+D23+D16+D12+D7+D174</f>
        <v>#REF!</v>
      </c>
      <c r="E184" s="393" t="e">
        <f>E181+E169+E159+E144+E137+E125+E118+E112+E109+E107+E101+E97+E87+E82+E77+E69+E67+E64+E60+E46+E44+E35+E28+E23+E16+E12+E7+E174</f>
        <v>#REF!</v>
      </c>
      <c r="F184" s="317"/>
      <c r="G184" s="324" t="e">
        <f>G181+G169+G159+G144+G137+G125+G118+G112+G109+G107+G101+G97+G87+G82+G77+G69+G67+G64+G60+G46+G44+G35+G28+G23+G16+G12+G7+G174</f>
        <v>#REF!</v>
      </c>
      <c r="H184" s="378" t="e">
        <f>G184-D184</f>
        <v>#REF!</v>
      </c>
      <c r="I184" s="392"/>
      <c r="K184" s="466" t="e">
        <f>K181+K169+K159+K144+K137+K125+K118+K112+K109+K107+K101+K97+K87+K82+K77+K69+K67+K64+K60+K46+K44+K35+K28+K23+K16+K12+K7+K174</f>
        <v>#REF!</v>
      </c>
      <c r="L184" t="s">
        <v>379</v>
      </c>
    </row>
    <row r="185" spans="1:12" ht="28.5" x14ac:dyDescent="0.25">
      <c r="A185" s="6" t="s">
        <v>333</v>
      </c>
      <c r="B185" s="394" t="e">
        <f>B184*6.289</f>
        <v>#REF!</v>
      </c>
      <c r="C185" s="395"/>
      <c r="D185" s="394" t="e">
        <f t="shared" ref="D185:G185" si="9">D184*6.289</f>
        <v>#REF!</v>
      </c>
      <c r="E185" s="394" t="e">
        <f t="shared" si="9"/>
        <v>#REF!</v>
      </c>
      <c r="F185" s="394"/>
      <c r="G185" s="394" t="e">
        <f t="shared" si="9"/>
        <v>#REF!</v>
      </c>
      <c r="H185" s="399" t="e">
        <f>G185-D185</f>
        <v>#REF!</v>
      </c>
      <c r="I185" s="392"/>
      <c r="J185">
        <v>6.2889999999999997</v>
      </c>
      <c r="K185" s="469" t="e">
        <f>K184-K181</f>
        <v>#REF!</v>
      </c>
      <c r="L185" t="s">
        <v>380</v>
      </c>
    </row>
    <row r="186" spans="1:12" ht="28.5" x14ac:dyDescent="0.25">
      <c r="A186" s="6"/>
      <c r="B186" s="397"/>
      <c r="C186" s="395"/>
      <c r="D186" s="319"/>
      <c r="E186" s="393"/>
      <c r="F186" s="396"/>
      <c r="G186" s="324"/>
      <c r="H186" s="400"/>
      <c r="I186" s="392"/>
      <c r="K186" s="466"/>
    </row>
    <row r="187" spans="1:12" x14ac:dyDescent="0.25">
      <c r="B187" s="398"/>
      <c r="C187" s="326"/>
      <c r="D187" s="326"/>
      <c r="E187" s="326"/>
      <c r="F187" s="326"/>
      <c r="G187" s="326"/>
      <c r="H187" s="326"/>
    </row>
    <row r="188" spans="1:12" x14ac:dyDescent="0.25">
      <c r="B188" s="326"/>
      <c r="C188" s="326"/>
      <c r="D188" s="326"/>
      <c r="E188" s="326"/>
      <c r="F188" s="326"/>
      <c r="G188" s="326"/>
      <c r="H188" s="326"/>
    </row>
  </sheetData>
  <mergeCells count="2">
    <mergeCell ref="I161:I168"/>
    <mergeCell ref="I13:I15"/>
  </mergeCells>
  <dataValidations count="2">
    <dataValidation type="list" allowBlank="1" showInputMessage="1" showErrorMessage="1" error="Please Select a right value from the list" sqref="I17:I22 I13 I161 I170:I173 I83:I86 I78:I81 I108 I103:I106 I99:I100 I61:I63 I71:I76 I68 I65:I66 I48:I59 I175:I180 I45 I36:I43 I29:I34 I25:I27 I88:I96">
      <formula1>$E$3:$E$33</formula1>
    </dataValidation>
    <dataValidation type="list" allowBlank="1" showInputMessage="1" showErrorMessage="1" error="Please Select a right value from the list" sqref="A170:A173 A48:A59 A161:A168 A145:A158 A138:A143 A127:A136 A83:A86 A119:A124 A113:A117 A111 A108 A103:A106 A99:A100 A88:A96 A78:A81 A71:A76 A68 A65:A66 A25:A27 A175:A180 A45 A36:A43 A29:A34 A8:A11 A17:A22 A14:A15 A61:A63">
      <formula1>$B$3:$B$152</formula1>
    </dataValidation>
  </dataValidations>
  <pageMargins left="0" right="0" top="0" bottom="0" header="0.3" footer="0.3"/>
  <pageSetup paperSize="9" scale="60" orientation="portrait" r:id="rId1"/>
  <rowBreaks count="4" manualBreakCount="4">
    <brk id="35" max="8" man="1"/>
    <brk id="69" max="8" man="1"/>
    <brk id="107" max="8" man="1"/>
    <brk id="137" max="8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Please Select a right value from the list">
          <x14:formula1>
            <xm:f>' Data Lists'!$E$3:$E$31</xm:f>
          </x14:formula1>
          <xm:sqref>I8:I11</xm:sqref>
        </x14:dataValidation>
        <x14:dataValidation type="list" allowBlank="1" showInputMessage="1" showErrorMessage="1" error="Please Select a right value from the list">
          <x14:formula1>
            <xm:f>' Data Lists'!$B$3:$B$147</xm:f>
          </x14:formula1>
          <xm:sqref>A2:A6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view="pageBreakPreview" zoomScale="118" zoomScaleNormal="100" zoomScaleSheetLayoutView="118" workbookViewId="0">
      <selection activeCell="J21" sqref="J21"/>
    </sheetView>
  </sheetViews>
  <sheetFormatPr defaultRowHeight="28.5" x14ac:dyDescent="0.45"/>
  <cols>
    <col min="1" max="1" width="12.5703125" customWidth="1"/>
    <col min="2" max="2" width="12.42578125" customWidth="1"/>
    <col min="3" max="3" width="12.7109375" customWidth="1"/>
    <col min="4" max="4" width="12" customWidth="1"/>
    <col min="5" max="5" width="13.140625" customWidth="1"/>
    <col min="6" max="6" width="10.85546875" customWidth="1"/>
    <col min="7" max="7" width="12.7109375" customWidth="1"/>
    <col min="8" max="8" width="11.7109375" customWidth="1"/>
    <col min="9" max="9" width="11.7109375" style="477" customWidth="1"/>
    <col min="10" max="10" width="17.42578125" customWidth="1"/>
  </cols>
  <sheetData>
    <row r="1" spans="1:10" ht="29.25" thickBot="1" x14ac:dyDescent="0.5"/>
    <row r="2" spans="1:10" ht="32.25" thickTop="1" x14ac:dyDescent="0.25">
      <c r="A2" s="435" t="s">
        <v>344</v>
      </c>
      <c r="B2" s="436" t="s">
        <v>318</v>
      </c>
      <c r="C2" s="436" t="s">
        <v>317</v>
      </c>
      <c r="D2" s="437" t="s">
        <v>319</v>
      </c>
      <c r="E2" s="436" t="s">
        <v>131</v>
      </c>
      <c r="F2" s="436" t="s">
        <v>132</v>
      </c>
      <c r="G2" s="438" t="s">
        <v>181</v>
      </c>
      <c r="H2" s="439" t="s">
        <v>320</v>
      </c>
      <c r="I2" s="439" t="s">
        <v>134</v>
      </c>
      <c r="J2" s="439" t="s">
        <v>262</v>
      </c>
    </row>
    <row r="3" spans="1:10" ht="31.5" x14ac:dyDescent="0.25">
      <c r="A3" s="443" t="s">
        <v>106</v>
      </c>
      <c r="B3" s="309">
        <f>'PLT. WELL BLANCE'!B16</f>
        <v>0</v>
      </c>
      <c r="C3" s="300"/>
      <c r="D3" s="319">
        <f>'PLT. WELL BLANCE'!D16</f>
        <v>0</v>
      </c>
      <c r="E3" s="316">
        <f>'PLT. WELL BLANCE'!E16</f>
        <v>290</v>
      </c>
      <c r="F3" s="300"/>
      <c r="G3" s="324">
        <f>'PLT. WELL BLANCE'!G16</f>
        <v>129.59</v>
      </c>
      <c r="H3" s="388">
        <f t="shared" ref="H3:H36" si="0">G3-D3</f>
        <v>129.59</v>
      </c>
      <c r="I3" s="478">
        <f>'PLT. WELL BLANCE'!$K$16</f>
        <v>0</v>
      </c>
      <c r="J3" s="328" t="str">
        <f>VLOOKUP(A3,' Data Lists'!$T$3:$U$31,2,)</f>
        <v>PP2</v>
      </c>
    </row>
    <row r="4" spans="1:10" ht="31.5" x14ac:dyDescent="0.25">
      <c r="A4" s="443" t="s">
        <v>107</v>
      </c>
      <c r="B4" s="309">
        <f>'PLT. WELL BLANCE'!B23</f>
        <v>490</v>
      </c>
      <c r="C4" s="300">
        <f t="shared" ref="C4:C33" si="1">(1-D4/B4)*100</f>
        <v>74.599999999999994</v>
      </c>
      <c r="D4" s="319">
        <f>'PLT. WELL BLANCE'!D23</f>
        <v>124.46000000000001</v>
      </c>
      <c r="E4" s="316">
        <f>'PLT. WELL BLANCE'!E23</f>
        <v>410</v>
      </c>
      <c r="F4" s="300">
        <f t="shared" ref="F4:F36" si="2">(1-G4/E4)*100</f>
        <v>73.358536585365869</v>
      </c>
      <c r="G4" s="324">
        <f>'PLT. WELL BLANCE'!G23</f>
        <v>109.22999999999999</v>
      </c>
      <c r="H4" s="388">
        <f t="shared" si="0"/>
        <v>-15.230000000000018</v>
      </c>
      <c r="I4" s="478">
        <f>'PLT. WELL BLANCE'!$K$23</f>
        <v>0.62</v>
      </c>
      <c r="J4" s="328" t="str">
        <f>VLOOKUP(A4,' Data Lists'!$T$3:$U$31,2,)</f>
        <v>PP2</v>
      </c>
    </row>
    <row r="5" spans="1:10" ht="31.5" x14ac:dyDescent="0.25">
      <c r="A5" s="443" t="s">
        <v>103</v>
      </c>
      <c r="B5" s="440">
        <f>'PLT. WELL BLANCE'!B28</f>
        <v>140</v>
      </c>
      <c r="C5" s="300">
        <f t="shared" si="1"/>
        <v>40.800000000000004</v>
      </c>
      <c r="D5" s="319">
        <f>'PLT. WELL BLANCE'!D28</f>
        <v>82.88</v>
      </c>
      <c r="E5" s="441">
        <f>'PLT. WELL BLANCE'!E28</f>
        <v>130</v>
      </c>
      <c r="F5" s="300">
        <f t="shared" si="2"/>
        <v>70.569230769230757</v>
      </c>
      <c r="G5" s="324">
        <f>'PLT. WELL BLANCE'!G28</f>
        <v>38.260000000000005</v>
      </c>
      <c r="H5" s="388">
        <f t="shared" si="0"/>
        <v>-44.61999999999999</v>
      </c>
      <c r="I5" s="478">
        <f>'PLT. WELL BLANCE'!$K$28</f>
        <v>0.62</v>
      </c>
      <c r="J5" s="328" t="str">
        <f>VLOOKUP(A5,' Data Lists'!$T$3:$U$31,2,)</f>
        <v>PP2</v>
      </c>
    </row>
    <row r="6" spans="1:10" ht="31.5" x14ac:dyDescent="0.25">
      <c r="A6" s="443" t="s">
        <v>105</v>
      </c>
      <c r="B6" s="442">
        <f>'PLT. WELL BLANCE'!B35</f>
        <v>440</v>
      </c>
      <c r="C6" s="300">
        <f t="shared" si="1"/>
        <v>48.218181818181826</v>
      </c>
      <c r="D6" s="319">
        <f>'PLT. WELL BLANCE'!D35</f>
        <v>227.83999999999997</v>
      </c>
      <c r="E6" s="393">
        <f>'PLT. WELL BLANCE'!E35</f>
        <v>420</v>
      </c>
      <c r="F6" s="300">
        <f t="shared" si="2"/>
        <v>54.930952380952377</v>
      </c>
      <c r="G6" s="324">
        <f>'PLT. WELL BLANCE'!G35</f>
        <v>189.29000000000002</v>
      </c>
      <c r="H6" s="388">
        <f t="shared" si="0"/>
        <v>-38.549999999999955</v>
      </c>
      <c r="I6" s="478">
        <f>'PLT. WELL BLANCE'!$K$35</f>
        <v>1.4239999999999999</v>
      </c>
      <c r="J6" s="328" t="str">
        <f>VLOOKUP(A6,' Data Lists'!$T$3:$U$31,2,)</f>
        <v>PP2</v>
      </c>
    </row>
    <row r="7" spans="1:10" ht="31.5" x14ac:dyDescent="0.25">
      <c r="A7" s="443" t="s">
        <v>104</v>
      </c>
      <c r="B7" s="442">
        <f>'PLT. WELL BLANCE'!B44</f>
        <v>560</v>
      </c>
      <c r="C7" s="300">
        <f t="shared" si="1"/>
        <v>54.321428571428562</v>
      </c>
      <c r="D7" s="319">
        <f>'PLT. WELL BLANCE'!D44</f>
        <v>255.8</v>
      </c>
      <c r="E7" s="393">
        <f>'PLT. WELL BLANCE'!E44</f>
        <v>550</v>
      </c>
      <c r="F7" s="300">
        <f t="shared" si="2"/>
        <v>58.447272727272725</v>
      </c>
      <c r="G7" s="324">
        <f>'PLT. WELL BLANCE'!G44</f>
        <v>228.54</v>
      </c>
      <c r="H7" s="388">
        <f t="shared" si="0"/>
        <v>-27.260000000000019</v>
      </c>
      <c r="I7" s="478">
        <f>'PLT. WELL BLANCE'!$K$44</f>
        <v>1.33</v>
      </c>
      <c r="J7" s="328" t="str">
        <f>VLOOKUP(A7,' Data Lists'!$T$3:$U$31,2,)</f>
        <v>PP2</v>
      </c>
    </row>
    <row r="8" spans="1:10" ht="31.5" x14ac:dyDescent="0.25">
      <c r="A8" s="443" t="s">
        <v>108</v>
      </c>
      <c r="B8" s="442">
        <f>'PLT. WELL BLANCE'!B46</f>
        <v>250</v>
      </c>
      <c r="C8" s="300">
        <f>(1-D8/B8)*100</f>
        <v>84</v>
      </c>
      <c r="D8" s="319">
        <f>'PLT. WELL BLANCE'!D46</f>
        <v>40.000000000000007</v>
      </c>
      <c r="E8" s="393">
        <f>'PLT. WELL BLANCE'!E46</f>
        <v>210</v>
      </c>
      <c r="F8" s="300">
        <f>(1-G8/E8)*100</f>
        <v>79.599999999999994</v>
      </c>
      <c r="G8" s="324">
        <f>'PLT. WELL BLANCE'!G46</f>
        <v>42.840000000000018</v>
      </c>
      <c r="H8" s="388">
        <f t="shared" ref="H8:H17" si="3">G8-D8</f>
        <v>2.8400000000000105</v>
      </c>
      <c r="I8" s="478">
        <f>'PLT. WELL BLANCE'!$K$46</f>
        <v>0.14000000000000001</v>
      </c>
      <c r="J8" s="328" t="str">
        <f>VLOOKUP(A8,' Data Lists'!$T$3:$U$31,2,)</f>
        <v>PP2/PP3</v>
      </c>
    </row>
    <row r="9" spans="1:10" ht="31.5" x14ac:dyDescent="0.25">
      <c r="A9" s="443" t="s">
        <v>111</v>
      </c>
      <c r="B9" s="442">
        <f>'PLT. WELL BLANCE'!B67</f>
        <v>0</v>
      </c>
      <c r="C9" s="300"/>
      <c r="D9" s="319">
        <f>'PLT. WELL BLANCE'!D67</f>
        <v>0</v>
      </c>
      <c r="E9" s="393">
        <f>'PLT. WELL BLANCE'!E67</f>
        <v>200</v>
      </c>
      <c r="F9" s="300"/>
      <c r="G9" s="324">
        <f>'PLT. WELL BLANCE'!G67</f>
        <v>5.600000000000005</v>
      </c>
      <c r="H9" s="388">
        <f t="shared" si="3"/>
        <v>5.600000000000005</v>
      </c>
      <c r="I9" s="478">
        <f>'PLT. WELL BLANCE'!$K$67</f>
        <v>0</v>
      </c>
      <c r="J9" s="328" t="str">
        <f>VLOOKUP(A9,' Data Lists'!$T$3:$U$31,2,)</f>
        <v>PP2</v>
      </c>
    </row>
    <row r="10" spans="1:10" ht="31.5" x14ac:dyDescent="0.25">
      <c r="A10" s="443" t="s">
        <v>112</v>
      </c>
      <c r="B10" s="442">
        <f>'PLT. WELL BLANCE'!B69</f>
        <v>0</v>
      </c>
      <c r="C10" s="300"/>
      <c r="D10" s="319">
        <f>'PLT. WELL BLANCE'!D69</f>
        <v>0</v>
      </c>
      <c r="E10" s="393">
        <f>'PLT. WELL BLANCE'!E69</f>
        <v>35</v>
      </c>
      <c r="F10" s="300">
        <f t="shared" ref="F10:F15" si="4">(1-G10/E10)*100</f>
        <v>67.8</v>
      </c>
      <c r="G10" s="324">
        <f>'PLT. WELL BLANCE'!G69</f>
        <v>11.270000000000003</v>
      </c>
      <c r="H10" s="388">
        <f t="shared" si="3"/>
        <v>11.270000000000003</v>
      </c>
      <c r="I10" s="478">
        <f>'PLT. WELL BLANCE'!$K$69</f>
        <v>0</v>
      </c>
      <c r="J10" s="328" t="str">
        <f>VLOOKUP(A10,' Data Lists'!$T$3:$U$31,2,)</f>
        <v>PP2</v>
      </c>
    </row>
    <row r="11" spans="1:10" ht="31.5" x14ac:dyDescent="0.25">
      <c r="A11" s="443" t="s">
        <v>113</v>
      </c>
      <c r="B11" s="442">
        <f>'PLT. WELL BLANCE'!B77</f>
        <v>300</v>
      </c>
      <c r="C11" s="300">
        <f>(1-D11/B11)*100</f>
        <v>12.666666666666671</v>
      </c>
      <c r="D11" s="319">
        <f>'PLT. WELL BLANCE'!D77</f>
        <v>262</v>
      </c>
      <c r="E11" s="393">
        <f>'PLT. WELL BLANCE'!E77</f>
        <v>310</v>
      </c>
      <c r="F11" s="300">
        <f t="shared" si="4"/>
        <v>12.125806451612908</v>
      </c>
      <c r="G11" s="324">
        <f>'PLT. WELL BLANCE'!G77</f>
        <v>272.40999999999997</v>
      </c>
      <c r="H11" s="388">
        <f t="shared" si="3"/>
        <v>10.409999999999968</v>
      </c>
      <c r="I11" s="478">
        <f>'PLT. WELL BLANCE'!$K$77</f>
        <v>0.22</v>
      </c>
      <c r="J11" s="328" t="str">
        <f>VLOOKUP(A11,' Data Lists'!$T$3:$U$31,2,)</f>
        <v>PP2</v>
      </c>
    </row>
    <row r="12" spans="1:10" ht="31.5" x14ac:dyDescent="0.25">
      <c r="A12" s="443" t="s">
        <v>115</v>
      </c>
      <c r="B12" s="442">
        <f>'PLT. WELL BLANCE'!B87</f>
        <v>140</v>
      </c>
      <c r="C12" s="300">
        <f>(1-D12/B12)*100</f>
        <v>39.035714285714285</v>
      </c>
      <c r="D12" s="319">
        <f>'PLT. WELL BLANCE'!D87</f>
        <v>85.35</v>
      </c>
      <c r="E12" s="393">
        <f>'PLT. WELL BLANCE'!E87</f>
        <v>150</v>
      </c>
      <c r="F12" s="300">
        <f t="shared" si="4"/>
        <v>52.413333333333334</v>
      </c>
      <c r="G12" s="324">
        <f>'PLT. WELL BLANCE'!G87</f>
        <v>71.38</v>
      </c>
      <c r="H12" s="388">
        <f t="shared" si="3"/>
        <v>-13.969999999999999</v>
      </c>
      <c r="I12" s="478">
        <f>'PLT. WELL BLANCE'!$K$87</f>
        <v>0.97</v>
      </c>
      <c r="J12" s="328" t="str">
        <f>VLOOKUP(A12,' Data Lists'!$T$3:$U$31,2,)</f>
        <v>PP2</v>
      </c>
    </row>
    <row r="13" spans="1:10" ht="31.5" x14ac:dyDescent="0.25">
      <c r="A13" s="443" t="s">
        <v>116</v>
      </c>
      <c r="B13" s="442">
        <f>'PLT. WELL BLANCE'!B97</f>
        <v>515</v>
      </c>
      <c r="C13" s="300">
        <f>(1-D13/B13)*100</f>
        <v>69.605825242718439</v>
      </c>
      <c r="D13" s="319">
        <f>'PLT. WELL BLANCE'!D97</f>
        <v>156.53000000000003</v>
      </c>
      <c r="E13" s="393">
        <f>'PLT. WELL BLANCE'!E97</f>
        <v>655</v>
      </c>
      <c r="F13" s="300">
        <f t="shared" si="4"/>
        <v>63.729770992366412</v>
      </c>
      <c r="G13" s="324">
        <f>'PLT. WELL BLANCE'!G97</f>
        <v>237.57</v>
      </c>
      <c r="H13" s="388">
        <f t="shared" si="3"/>
        <v>81.039999999999964</v>
      </c>
      <c r="I13" s="478">
        <f>'PLT. WELL BLANCE'!$K$97</f>
        <v>1.4300000000000002</v>
      </c>
      <c r="J13" s="328" t="str">
        <f>VLOOKUP(A13,' Data Lists'!$T$3:$U$31,2,)</f>
        <v>PP2</v>
      </c>
    </row>
    <row r="14" spans="1:10" ht="31.5" x14ac:dyDescent="0.25">
      <c r="A14" s="443" t="s">
        <v>303</v>
      </c>
      <c r="B14" s="442">
        <f>'PLT. WELL BLANCE'!B101</f>
        <v>50</v>
      </c>
      <c r="C14" s="300">
        <f>(1-D14/B14)*100</f>
        <v>75</v>
      </c>
      <c r="D14" s="319">
        <f>'PLT. WELL BLANCE'!D101</f>
        <v>12.5</v>
      </c>
      <c r="E14" s="393">
        <f>'PLT. WELL BLANCE'!E101</f>
        <v>50</v>
      </c>
      <c r="F14" s="300">
        <f t="shared" si="4"/>
        <v>33.099999999999994</v>
      </c>
      <c r="G14" s="324">
        <f>'PLT. WELL BLANCE'!G101</f>
        <v>33.450000000000003</v>
      </c>
      <c r="H14" s="388">
        <f t="shared" si="3"/>
        <v>20.950000000000003</v>
      </c>
      <c r="I14" s="478">
        <f>'PLT. WELL BLANCE'!$K$101</f>
        <v>0.04</v>
      </c>
      <c r="J14" s="328" t="str">
        <f>VLOOKUP(A14,' Data Lists'!$T$3:$U$31,2,)</f>
        <v>PP2</v>
      </c>
    </row>
    <row r="15" spans="1:10" ht="31.5" x14ac:dyDescent="0.25">
      <c r="A15" s="443" t="s">
        <v>118</v>
      </c>
      <c r="B15" s="442">
        <f>'PLT. WELL BLANCE'!B109</f>
        <v>400</v>
      </c>
      <c r="C15" s="300">
        <f>(1-D15/B15)*100</f>
        <v>100</v>
      </c>
      <c r="D15" s="319">
        <f>'PLT. WELL BLANCE'!D109</f>
        <v>0</v>
      </c>
      <c r="E15" s="393">
        <f>'PLT. WELL BLANCE'!E109</f>
        <v>400</v>
      </c>
      <c r="F15" s="300">
        <f t="shared" si="4"/>
        <v>97.5</v>
      </c>
      <c r="G15" s="324">
        <f>'PLT. WELL BLANCE'!G109</f>
        <v>10.000000000000009</v>
      </c>
      <c r="H15" s="388">
        <f t="shared" si="3"/>
        <v>10.000000000000009</v>
      </c>
      <c r="I15" s="478">
        <f>'PLT. WELL BLANCE'!$K$109</f>
        <v>0.05</v>
      </c>
      <c r="J15" s="328" t="str">
        <f>VLOOKUP(A15,' Data Lists'!$T$3:$U$31,2,)</f>
        <v>PP2</v>
      </c>
    </row>
    <row r="16" spans="1:10" ht="31.5" x14ac:dyDescent="0.25">
      <c r="A16" s="443" t="s">
        <v>119</v>
      </c>
      <c r="B16" s="309">
        <f>'PLT. WELL BLANCE'!B111</f>
        <v>0</v>
      </c>
      <c r="C16" s="300"/>
      <c r="D16" s="319">
        <f>'PLT. WELL BLANCE'!D111</f>
        <v>0</v>
      </c>
      <c r="E16" s="316">
        <f>'PLT. WELL BLANCE'!E111</f>
        <v>80</v>
      </c>
      <c r="F16" s="300"/>
      <c r="G16" s="324">
        <f>'PLT. WELL BLANCE'!G111</f>
        <v>14.320000000000004</v>
      </c>
      <c r="H16" s="388">
        <f t="shared" si="3"/>
        <v>14.320000000000004</v>
      </c>
      <c r="I16" s="478">
        <f>'PLT. WELL BLANCE'!$K$112</f>
        <v>0</v>
      </c>
      <c r="J16" s="328" t="str">
        <f>VLOOKUP(A16,' Data Lists'!$T$3:$U$31,2,)</f>
        <v>PP2</v>
      </c>
    </row>
    <row r="17" spans="1:10" ht="32.25" thickBot="1" x14ac:dyDescent="0.3">
      <c r="A17" s="446" t="s">
        <v>120</v>
      </c>
      <c r="B17" s="447">
        <f>'PLT. WELL BLANCE'!B118</f>
        <v>260</v>
      </c>
      <c r="C17" s="330">
        <f>(1-D17/B17)*100</f>
        <v>50.565384615384623</v>
      </c>
      <c r="D17" s="380">
        <f>'PLT. WELL BLANCE'!D118</f>
        <v>128.53</v>
      </c>
      <c r="E17" s="448">
        <f>'PLT. WELL BLANCE'!E118</f>
        <v>260</v>
      </c>
      <c r="F17" s="330">
        <f>(1-G17/E17)*100</f>
        <v>52.307692307692299</v>
      </c>
      <c r="G17" s="383">
        <f>'PLT. WELL BLANCE'!G118</f>
        <v>124</v>
      </c>
      <c r="H17" s="449">
        <f t="shared" si="3"/>
        <v>-4.5300000000000011</v>
      </c>
      <c r="I17" s="479">
        <f>'PLT. WELL BLANCE'!$K$118</f>
        <v>0.56000000000000005</v>
      </c>
      <c r="J17" s="332" t="str">
        <f>VLOOKUP(A17,' Data Lists'!$T$3:$U$31,2,)</f>
        <v>PP2</v>
      </c>
    </row>
    <row r="18" spans="1:10" ht="71.25" customHeight="1" thickTop="1" x14ac:dyDescent="0.25">
      <c r="A18" s="820" t="s">
        <v>331</v>
      </c>
      <c r="B18" s="454">
        <f>SUM(B3:B17)</f>
        <v>3545</v>
      </c>
      <c r="C18" s="455">
        <f>(1-D18/B18)*100</f>
        <v>61.187870239774334</v>
      </c>
      <c r="D18" s="456">
        <f>SUM(D3:D17)</f>
        <v>1375.8899999999999</v>
      </c>
      <c r="E18" s="457">
        <f>SUM(E3:E17)</f>
        <v>4150</v>
      </c>
      <c r="F18" s="455">
        <f>(1-G18/E18)*100</f>
        <v>63.427710843373497</v>
      </c>
      <c r="G18" s="456">
        <f>SUM(G3:G17)</f>
        <v>1517.7499999999998</v>
      </c>
      <c r="H18" s="450"/>
      <c r="I18" s="474">
        <f>SUM(I3:I17)</f>
        <v>7.4039999999999999</v>
      </c>
      <c r="J18" s="451"/>
    </row>
    <row r="19" spans="1:10" ht="71.25" customHeight="1" thickBot="1" x14ac:dyDescent="0.3">
      <c r="A19" s="821"/>
      <c r="B19" s="458">
        <f>B18*6.289</f>
        <v>22294.504999999997</v>
      </c>
      <c r="C19" s="459">
        <f>(1-D19/B19)*100</f>
        <v>61.187870239774334</v>
      </c>
      <c r="D19" s="461">
        <f>D18*6.289</f>
        <v>8652.9722099999981</v>
      </c>
      <c r="E19" s="460">
        <f>E18*6.289</f>
        <v>26099.35</v>
      </c>
      <c r="F19" s="459">
        <f>(1-G19/E19)*100</f>
        <v>63.427710843373497</v>
      </c>
      <c r="G19" s="461">
        <f>G18*6.289</f>
        <v>9545.1297499999982</v>
      </c>
      <c r="H19" s="452"/>
      <c r="I19" s="475"/>
      <c r="J19" s="453" t="s">
        <v>346</v>
      </c>
    </row>
    <row r="20" spans="1:10" ht="32.25" thickTop="1" x14ac:dyDescent="0.25">
      <c r="A20" s="444" t="s">
        <v>97</v>
      </c>
      <c r="B20" s="308">
        <f>'PLT. WELL BLANCE'!B7</f>
        <v>445</v>
      </c>
      <c r="C20" s="299">
        <f>(1-D20/B20)*100</f>
        <v>56.08988764044944</v>
      </c>
      <c r="D20" s="318">
        <f>'PLT. WELL BLANCE'!D7</f>
        <v>195.4</v>
      </c>
      <c r="E20" s="314">
        <f>'PLT. WELL BLANCE'!E7</f>
        <v>455</v>
      </c>
      <c r="F20" s="299">
        <f>(1-G20/E20)*100</f>
        <v>46.832967032967041</v>
      </c>
      <c r="G20" s="323">
        <f>'PLT. WELL BLANCE'!G7</f>
        <v>241.90999999999997</v>
      </c>
      <c r="H20" s="445">
        <f>G20-D20</f>
        <v>46.509999999999962</v>
      </c>
      <c r="I20" s="480">
        <f>'PLT. WELL BLANCE'!$K$7</f>
        <v>0.13</v>
      </c>
      <c r="J20" s="344" t="str">
        <f>VLOOKUP(A20,' Data Lists'!$T$3:$U$31,2,)</f>
        <v>PP2/PP3</v>
      </c>
    </row>
    <row r="21" spans="1:10" ht="31.5" x14ac:dyDescent="0.25">
      <c r="A21" s="443" t="s">
        <v>102</v>
      </c>
      <c r="B21" s="309">
        <f>'PLT. WELL BLANCE'!B12</f>
        <v>830</v>
      </c>
      <c r="C21" s="300">
        <f>(1-D21/B21)*100</f>
        <v>47.925301204819284</v>
      </c>
      <c r="D21" s="319">
        <f>'PLT. WELL BLANCE'!D12</f>
        <v>432.21999999999997</v>
      </c>
      <c r="E21" s="316">
        <f>'PLT. WELL BLANCE'!E12</f>
        <v>810</v>
      </c>
      <c r="F21" s="300">
        <f>(1-G21/E21)*100</f>
        <v>85.980864197530863</v>
      </c>
      <c r="G21" s="324">
        <f>'PLT. WELL BLANCE'!G12</f>
        <v>113.55500000000004</v>
      </c>
      <c r="H21" s="388">
        <f>G21-D21</f>
        <v>-318.66499999999996</v>
      </c>
      <c r="I21" s="478">
        <f>'PLT. WELL BLANCE'!$K$12</f>
        <v>0.6</v>
      </c>
      <c r="J21" s="328" t="str">
        <f>VLOOKUP(A21,' Data Lists'!$T$3:$U$31,2,)</f>
        <v>PP3</v>
      </c>
    </row>
    <row r="22" spans="1:10" ht="31.5" x14ac:dyDescent="0.25">
      <c r="A22" s="443" t="s">
        <v>109</v>
      </c>
      <c r="B22" s="442">
        <f>'PLT. WELL BLANCE'!B60</f>
        <v>1175</v>
      </c>
      <c r="C22" s="300">
        <f t="shared" si="1"/>
        <v>62.09191489361703</v>
      </c>
      <c r="D22" s="319">
        <f>'PLT. WELL BLANCE'!D60</f>
        <v>445.41999999999996</v>
      </c>
      <c r="E22" s="393">
        <f>'PLT. WELL BLANCE'!E60</f>
        <v>1480</v>
      </c>
      <c r="F22" s="300">
        <f t="shared" si="2"/>
        <v>66.608783783783792</v>
      </c>
      <c r="G22" s="324">
        <f>'PLT. WELL BLANCE'!G60</f>
        <v>494.19</v>
      </c>
      <c r="H22" s="388">
        <f t="shared" si="0"/>
        <v>48.770000000000039</v>
      </c>
      <c r="I22" s="478">
        <f>'PLT. WELL BLANCE'!$K$60</f>
        <v>1.6419999999999999</v>
      </c>
      <c r="J22" s="328" t="str">
        <f>VLOOKUP(A22,' Data Lists'!$T$3:$U$31,2,)</f>
        <v>PP3</v>
      </c>
    </row>
    <row r="23" spans="1:10" ht="31.5" x14ac:dyDescent="0.25">
      <c r="A23" s="443" t="s">
        <v>110</v>
      </c>
      <c r="B23" s="442">
        <f>'PLT. WELL BLANCE'!B64</f>
        <v>380</v>
      </c>
      <c r="C23" s="300">
        <f t="shared" si="1"/>
        <v>54.389473684210522</v>
      </c>
      <c r="D23" s="319">
        <f>'PLT. WELL BLANCE'!D64</f>
        <v>173.32</v>
      </c>
      <c r="E23" s="393">
        <f>'PLT. WELL BLANCE'!E64</f>
        <v>315</v>
      </c>
      <c r="F23" s="300">
        <f t="shared" si="2"/>
        <v>36.673015873015871</v>
      </c>
      <c r="G23" s="324">
        <f>'PLT. WELL BLANCE'!G64</f>
        <v>199.48000000000002</v>
      </c>
      <c r="H23" s="388">
        <f t="shared" si="0"/>
        <v>26.160000000000025</v>
      </c>
      <c r="I23" s="478">
        <f>'PLT. WELL BLANCE'!$K$64</f>
        <v>0.37</v>
      </c>
      <c r="J23" s="328" t="str">
        <f>VLOOKUP(A23,' Data Lists'!$T$3:$U$31,2,)</f>
        <v>PP3</v>
      </c>
    </row>
    <row r="24" spans="1:10" ht="31.5" x14ac:dyDescent="0.25">
      <c r="A24" s="443" t="s">
        <v>124</v>
      </c>
      <c r="B24" s="442">
        <f>'PLT. WELL BLANCE'!B174</f>
        <v>170</v>
      </c>
      <c r="C24" s="300">
        <f t="shared" si="1"/>
        <v>67.058823529411754</v>
      </c>
      <c r="D24" s="319">
        <f>'PLT. WELL BLANCE'!D174</f>
        <v>56.000000000000007</v>
      </c>
      <c r="E24" s="393">
        <f>'PLT. WELL BLANCE'!E174</f>
        <v>155</v>
      </c>
      <c r="F24" s="300">
        <f t="shared" si="2"/>
        <v>69.932258064516134</v>
      </c>
      <c r="G24" s="324">
        <f>'PLT. WELL BLANCE'!G174</f>
        <v>46.604999999999997</v>
      </c>
      <c r="H24" s="388">
        <f t="shared" si="0"/>
        <v>-9.3950000000000102</v>
      </c>
      <c r="I24" s="478">
        <f>'PLT. WELL BLANCE'!$K$174</f>
        <v>0.41</v>
      </c>
      <c r="J24" s="328" t="str">
        <f>VLOOKUP(A24,' Data Lists'!$T$3:$U$31,2,)</f>
        <v>PP3</v>
      </c>
    </row>
    <row r="25" spans="1:10" ht="32.25" thickBot="1" x14ac:dyDescent="0.3">
      <c r="A25" s="443" t="s">
        <v>95</v>
      </c>
      <c r="B25" s="442">
        <f>'PLT. WELL BLANCE'!B125</f>
        <v>935</v>
      </c>
      <c r="C25" s="300">
        <f>(1-D25/B25)*100</f>
        <v>66.675935828877016</v>
      </c>
      <c r="D25" s="319">
        <f>'PLT. WELL BLANCE'!D125</f>
        <v>311.58000000000004</v>
      </c>
      <c r="E25" s="393">
        <f>'PLT. WELL BLANCE'!E125</f>
        <v>940</v>
      </c>
      <c r="F25" s="300">
        <f>(1-G25/E25)*100</f>
        <v>78.844680851063814</v>
      </c>
      <c r="G25" s="324">
        <f>'PLT. WELL BLANCE'!G125</f>
        <v>198.86000000000004</v>
      </c>
      <c r="H25" s="388">
        <f>G25-D25</f>
        <v>-112.72</v>
      </c>
      <c r="I25" s="478">
        <f>'PLT. WELL BLANCE'!$K$125</f>
        <v>0.95</v>
      </c>
      <c r="J25" s="328" t="str">
        <f>VLOOKUP(A25,' Data Lists'!$T$3:$U$31,2,)</f>
        <v>PP3</v>
      </c>
    </row>
    <row r="26" spans="1:10" ht="63.75" customHeight="1" thickTop="1" x14ac:dyDescent="0.25">
      <c r="A26" s="822" t="s">
        <v>331</v>
      </c>
      <c r="B26" s="454">
        <f>SUM(B20:B25)</f>
        <v>3935</v>
      </c>
      <c r="C26" s="455">
        <f>(1-D26/B26)*100</f>
        <v>58.985006353240152</v>
      </c>
      <c r="D26" s="462">
        <f>SUM(D20:D25)</f>
        <v>1613.94</v>
      </c>
      <c r="E26" s="457">
        <f>SUM(E20:E25)</f>
        <v>4155</v>
      </c>
      <c r="F26" s="455">
        <f>(1-G26/E26)*100</f>
        <v>68.842358604091444</v>
      </c>
      <c r="G26" s="456">
        <f>SUM(G20:G25)</f>
        <v>1294.6000000000001</v>
      </c>
      <c r="H26" s="450"/>
      <c r="I26" s="476">
        <f>SUM(I20:I25)</f>
        <v>4.1020000000000003</v>
      </c>
      <c r="J26" s="464" t="s">
        <v>345</v>
      </c>
    </row>
    <row r="27" spans="1:10" ht="60" customHeight="1" thickBot="1" x14ac:dyDescent="0.3">
      <c r="A27" s="823"/>
      <c r="B27" s="458">
        <f>B26*6.289</f>
        <v>24747.215</v>
      </c>
      <c r="C27" s="459">
        <f>(1-D27/B27)*100</f>
        <v>58.985006353240152</v>
      </c>
      <c r="D27" s="463">
        <f>D26*6.289</f>
        <v>10150.068659999999</v>
      </c>
      <c r="E27" s="460">
        <f>E26*6.289</f>
        <v>26130.794999999998</v>
      </c>
      <c r="F27" s="459">
        <f>(1-G27/E27)*100</f>
        <v>68.842358604091444</v>
      </c>
      <c r="G27" s="461">
        <f>G26*6.289</f>
        <v>8141.7394000000004</v>
      </c>
      <c r="H27" s="452"/>
      <c r="I27" s="452"/>
      <c r="J27" s="465" t="s">
        <v>346</v>
      </c>
    </row>
    <row r="28" spans="1:10" ht="32.25" thickTop="1" x14ac:dyDescent="0.25">
      <c r="A28" s="443" t="s">
        <v>114</v>
      </c>
      <c r="B28" s="442">
        <f>'PLT. WELL BLANCE'!B82</f>
        <v>290</v>
      </c>
      <c r="C28" s="300">
        <f t="shared" si="1"/>
        <v>45.310344827586199</v>
      </c>
      <c r="D28" s="319">
        <f>'PLT. WELL BLANCE'!D82</f>
        <v>158.60000000000002</v>
      </c>
      <c r="E28" s="393">
        <f>'PLT. WELL BLANCE'!E82</f>
        <v>300</v>
      </c>
      <c r="F28" s="300">
        <f t="shared" si="2"/>
        <v>48.940000000000005</v>
      </c>
      <c r="G28" s="324">
        <f>'PLT. WELL BLANCE'!G82</f>
        <v>153.17999999999998</v>
      </c>
      <c r="H28" s="388">
        <f t="shared" si="0"/>
        <v>-5.4200000000000443</v>
      </c>
      <c r="I28" s="478">
        <f>'PLT. WELL BLANCE'!$K$82</f>
        <v>1.05</v>
      </c>
      <c r="J28" s="328" t="str">
        <f>VLOOKUP(A28,' Data Lists'!$T$3:$U$31,2,)</f>
        <v>D10</v>
      </c>
    </row>
    <row r="29" spans="1:10" ht="31.5" x14ac:dyDescent="0.25">
      <c r="A29" s="443" t="s">
        <v>117</v>
      </c>
      <c r="B29" s="442">
        <f>'PLT. WELL BLANCE'!B107</f>
        <v>40</v>
      </c>
      <c r="C29" s="300">
        <f t="shared" si="1"/>
        <v>37</v>
      </c>
      <c r="D29" s="319">
        <f>'PLT. WELL BLANCE'!D107</f>
        <v>25.2</v>
      </c>
      <c r="E29" s="393">
        <f>'PLT. WELL BLANCE'!E107</f>
        <v>120</v>
      </c>
      <c r="F29" s="300">
        <f t="shared" si="2"/>
        <v>71</v>
      </c>
      <c r="G29" s="324">
        <f>'PLT. WELL BLANCE'!G107</f>
        <v>34.799999999999997</v>
      </c>
      <c r="H29" s="388">
        <f t="shared" si="0"/>
        <v>9.5999999999999979</v>
      </c>
      <c r="I29" s="478">
        <f>'PLT. WELL BLANCE'!$K$107</f>
        <v>0</v>
      </c>
      <c r="J29" s="328" t="str">
        <f>VLOOKUP(A29,' Data Lists'!$T$3:$U$31,2,)</f>
        <v>D10</v>
      </c>
    </row>
    <row r="30" spans="1:10" ht="31.5" x14ac:dyDescent="0.25">
      <c r="A30" s="443" t="s">
        <v>96</v>
      </c>
      <c r="B30" s="442">
        <f>'PLT. WELL BLANCE'!B137</f>
        <v>410</v>
      </c>
      <c r="C30" s="300">
        <f t="shared" si="1"/>
        <v>36.25853658536586</v>
      </c>
      <c r="D30" s="319">
        <f>'PLT. WELL BLANCE'!D137</f>
        <v>261.33999999999997</v>
      </c>
      <c r="E30" s="393">
        <f>'PLT. WELL BLANCE'!E137</f>
        <v>480</v>
      </c>
      <c r="F30" s="300">
        <f t="shared" si="2"/>
        <v>51.24166666666666</v>
      </c>
      <c r="G30" s="324">
        <f>'PLT. WELL BLANCE'!G137</f>
        <v>234.04000000000002</v>
      </c>
      <c r="H30" s="388">
        <f t="shared" si="0"/>
        <v>-27.299999999999955</v>
      </c>
      <c r="I30" s="478">
        <f>'PLT. WELL BLANCE'!$K$137</f>
        <v>2.35</v>
      </c>
      <c r="J30" s="328" t="str">
        <f>VLOOKUP(A30,' Data Lists'!$T$3:$U$31,2,)</f>
        <v>D10</v>
      </c>
    </row>
    <row r="31" spans="1:10" ht="31.5" x14ac:dyDescent="0.25">
      <c r="A31" s="443" t="s">
        <v>121</v>
      </c>
      <c r="B31" s="442">
        <f>'PLT. WELL BLANCE'!B144</f>
        <v>520</v>
      </c>
      <c r="C31" s="300">
        <f t="shared" si="1"/>
        <v>92.401923076923083</v>
      </c>
      <c r="D31" s="319">
        <f>'PLT. WELL BLANCE'!D144</f>
        <v>39.510000000000019</v>
      </c>
      <c r="E31" s="393">
        <f>'PLT. WELL BLANCE'!E144</f>
        <v>505</v>
      </c>
      <c r="F31" s="300">
        <f t="shared" si="2"/>
        <v>88.303960396039599</v>
      </c>
      <c r="G31" s="324">
        <f>'PLT. WELL BLANCE'!G144</f>
        <v>59.064999999999991</v>
      </c>
      <c r="H31" s="388">
        <f t="shared" si="0"/>
        <v>19.554999999999971</v>
      </c>
      <c r="I31" s="478">
        <f>'PLT. WELL BLANCE'!$K$144</f>
        <v>0.68</v>
      </c>
      <c r="J31" s="328" t="str">
        <f>VLOOKUP(A31,' Data Lists'!$T$3:$U$31,2,)</f>
        <v>D10</v>
      </c>
    </row>
    <row r="32" spans="1:10" ht="31.5" x14ac:dyDescent="0.25">
      <c r="A32" s="443" t="s">
        <v>122</v>
      </c>
      <c r="B32" s="442">
        <f>'PLT. WELL BLANCE'!B159</f>
        <v>1200</v>
      </c>
      <c r="C32" s="300">
        <f t="shared" si="1"/>
        <v>56.948333333333338</v>
      </c>
      <c r="D32" s="319">
        <f>'PLT. WELL BLANCE'!D159</f>
        <v>516.62</v>
      </c>
      <c r="E32" s="393">
        <f>'PLT. WELL BLANCE'!E159</f>
        <v>1265</v>
      </c>
      <c r="F32" s="300">
        <f t="shared" si="2"/>
        <v>55.446640316205531</v>
      </c>
      <c r="G32" s="324">
        <f>'PLT. WELL BLANCE'!G159</f>
        <v>563.6</v>
      </c>
      <c r="H32" s="388">
        <f t="shared" si="0"/>
        <v>46.980000000000018</v>
      </c>
      <c r="I32" s="478">
        <f>'PLT. WELL BLANCE'!$K$159</f>
        <v>2.8200000000000003</v>
      </c>
      <c r="J32" s="328" t="str">
        <f>VLOOKUP(A32,' Data Lists'!$T$3:$U$31,2,)</f>
        <v>D10</v>
      </c>
    </row>
    <row r="33" spans="1:10" ht="28.5" customHeight="1" thickBot="1" x14ac:dyDescent="0.3">
      <c r="A33" s="443" t="s">
        <v>123</v>
      </c>
      <c r="B33" s="442" t="e">
        <f>'PLT. WELL BLANCE'!B169</f>
        <v>#REF!</v>
      </c>
      <c r="C33" s="300" t="e">
        <f t="shared" si="1"/>
        <v>#REF!</v>
      </c>
      <c r="D33" s="319" t="e">
        <f>'PLT. WELL BLANCE'!D169</f>
        <v>#REF!</v>
      </c>
      <c r="E33" s="393" t="e">
        <f>'PLT. WELL BLANCE'!E169</f>
        <v>#REF!</v>
      </c>
      <c r="F33" s="300" t="e">
        <f t="shared" si="2"/>
        <v>#REF!</v>
      </c>
      <c r="G33" s="324" t="e">
        <f>'PLT. WELL BLANCE'!G169</f>
        <v>#REF!</v>
      </c>
      <c r="H33" s="388" t="e">
        <f t="shared" si="0"/>
        <v>#REF!</v>
      </c>
      <c r="I33" s="478" t="e">
        <f>'PLT. WELL BLANCE'!$K$169</f>
        <v>#REF!</v>
      </c>
      <c r="J33" s="328" t="str">
        <f>VLOOKUP(A33,' Data Lists'!$T$3:$U$31,2,)</f>
        <v>D10</v>
      </c>
    </row>
    <row r="34" spans="1:10" ht="79.5" customHeight="1" thickTop="1" x14ac:dyDescent="0.25">
      <c r="A34" s="822" t="s">
        <v>331</v>
      </c>
      <c r="B34" s="454" t="e">
        <f>SUM(B28:B33)</f>
        <v>#REF!</v>
      </c>
      <c r="C34" s="455" t="e">
        <f>(1-D34/B34)*100</f>
        <v>#REF!</v>
      </c>
      <c r="D34" s="462" t="e">
        <f>SUM(D28:D33)</f>
        <v>#REF!</v>
      </c>
      <c r="E34" s="457" t="e">
        <f>SUM(E28:E33)</f>
        <v>#REF!</v>
      </c>
      <c r="F34" s="455" t="e">
        <f>(1-G34/E34)*100</f>
        <v>#REF!</v>
      </c>
      <c r="G34" s="456" t="e">
        <f>SUM(G28:G33)</f>
        <v>#REF!</v>
      </c>
      <c r="H34" s="450"/>
      <c r="I34" s="457" t="e">
        <f>SUM(I28:I33)</f>
        <v>#REF!</v>
      </c>
      <c r="J34" s="464" t="s">
        <v>345</v>
      </c>
    </row>
    <row r="35" spans="1:10" ht="45.75" customHeight="1" thickBot="1" x14ac:dyDescent="0.3">
      <c r="A35" s="823"/>
      <c r="B35" s="458" t="e">
        <f>B34*6.289</f>
        <v>#REF!</v>
      </c>
      <c r="C35" s="459" t="e">
        <f>(1-D35/B35)*100</f>
        <v>#REF!</v>
      </c>
      <c r="D35" s="463" t="e">
        <f>D34*6.289</f>
        <v>#REF!</v>
      </c>
      <c r="E35" s="460" t="e">
        <f>E34*6.289</f>
        <v>#REF!</v>
      </c>
      <c r="F35" s="459" t="e">
        <f>(1-G35/E35)*100</f>
        <v>#REF!</v>
      </c>
      <c r="G35" s="461" t="e">
        <f>G34*6.289</f>
        <v>#REF!</v>
      </c>
      <c r="H35" s="452"/>
      <c r="I35" s="452"/>
      <c r="J35" s="465" t="s">
        <v>346</v>
      </c>
    </row>
    <row r="36" spans="1:10" ht="32.25" thickTop="1" x14ac:dyDescent="0.25">
      <c r="A36" s="443" t="s">
        <v>125</v>
      </c>
      <c r="B36" s="442">
        <f>'PLT. WELL BLANCE'!B181</f>
        <v>1600</v>
      </c>
      <c r="C36" s="395">
        <f>'PLT. WELL BLANCE'!C181</f>
        <v>0</v>
      </c>
      <c r="D36" s="319">
        <f>'PLT. WELL BLANCE'!D181</f>
        <v>190.89999999999998</v>
      </c>
      <c r="E36" s="393">
        <f>'PLT. WELL BLANCE'!E181</f>
        <v>1700</v>
      </c>
      <c r="F36" s="300">
        <f t="shared" si="2"/>
        <v>88.167058823529416</v>
      </c>
      <c r="G36" s="324">
        <f>'PLT. WELL BLANCE'!G181</f>
        <v>201.16000000000003</v>
      </c>
      <c r="H36" s="388">
        <f t="shared" si="0"/>
        <v>10.260000000000048</v>
      </c>
      <c r="I36" s="478">
        <f>'PLT. WELL BLANCE'!$K$181</f>
        <v>1.27</v>
      </c>
      <c r="J36" s="328" t="str">
        <f>VLOOKUP(A36,' Data Lists'!$T$3:$U$31,2,)</f>
        <v>R/G</v>
      </c>
    </row>
    <row r="37" spans="1:10" ht="31.5" x14ac:dyDescent="0.25">
      <c r="A37" s="3"/>
      <c r="B37" s="309"/>
      <c r="C37" s="300"/>
      <c r="D37" s="319"/>
      <c r="E37" s="316"/>
      <c r="F37" s="300"/>
      <c r="G37" s="324"/>
      <c r="H37" s="378"/>
      <c r="I37" s="478"/>
      <c r="J37" s="328"/>
    </row>
    <row r="38" spans="1:10" ht="32.25" thickBot="1" x14ac:dyDescent="0.3">
      <c r="A38" s="6"/>
      <c r="B38" s="309"/>
      <c r="C38" s="300"/>
      <c r="D38" s="319"/>
      <c r="E38" s="316"/>
      <c r="F38" s="300"/>
      <c r="G38" s="324"/>
      <c r="H38" s="378"/>
      <c r="I38" s="478"/>
      <c r="J38" s="328"/>
    </row>
    <row r="39" spans="1:10" ht="43.5" thickTop="1" x14ac:dyDescent="0.35">
      <c r="A39" s="767" t="s">
        <v>321</v>
      </c>
      <c r="B39" s="768"/>
      <c r="C39" s="813" t="e">
        <f>B36+B33+B32+B31+B30+B29+B28+B25+B23+B22+B21+B20+B17+B16+B15+B14+B13+B12+B11+B10+B8+B7+B6+B5+B4+B3+B24</f>
        <v>#REF!</v>
      </c>
      <c r="D39" s="814"/>
      <c r="E39" s="540" t="s">
        <v>328</v>
      </c>
      <c r="F39" s="775" t="e">
        <f>C39*6.289</f>
        <v>#REF!</v>
      </c>
      <c r="G39" s="776"/>
      <c r="H39" s="759" t="s">
        <v>276</v>
      </c>
      <c r="I39" s="760"/>
      <c r="J39" s="328"/>
    </row>
    <row r="40" spans="1:10" ht="42.75" x14ac:dyDescent="0.35">
      <c r="A40" s="771" t="s">
        <v>325</v>
      </c>
      <c r="B40" s="772"/>
      <c r="C40" s="773" t="e">
        <f>D36+D33+D32+D31+D30+D29+D28+D25+D23+D22+D21+D20+D17+D16+D15+D14+D13+D12+D11+D10+D9+D8+D7+D6+D5+D4+D3+D24</f>
        <v>#REF!</v>
      </c>
      <c r="D40" s="774"/>
      <c r="E40" s="541" t="s">
        <v>328</v>
      </c>
      <c r="F40" s="727" t="e">
        <f>C40*6.283</f>
        <v>#REF!</v>
      </c>
      <c r="G40" s="728"/>
      <c r="H40" s="761" t="s">
        <v>276</v>
      </c>
      <c r="I40" s="762"/>
      <c r="J40" s="328"/>
    </row>
    <row r="41" spans="1:10" ht="42.75" x14ac:dyDescent="0.35">
      <c r="A41" s="753" t="s">
        <v>322</v>
      </c>
      <c r="B41" s="754"/>
      <c r="C41" s="745" t="e">
        <f>E36+E33+E32+E31+E30+E29+E28+E25+E23+E22+E21+E20+E17+E16+E15+E14+E13+E12+E11+E10+E9+E8+E7+E6+E5+E4+E3+E24</f>
        <v>#REF!</v>
      </c>
      <c r="D41" s="746"/>
      <c r="E41" s="541" t="s">
        <v>328</v>
      </c>
      <c r="F41" s="777" t="e">
        <f t="shared" ref="F41:F46" si="5">C41*6.289</f>
        <v>#REF!</v>
      </c>
      <c r="G41" s="778"/>
      <c r="H41" s="761" t="s">
        <v>276</v>
      </c>
      <c r="I41" s="762"/>
      <c r="J41" s="328"/>
    </row>
    <row r="42" spans="1:10" ht="42.75" x14ac:dyDescent="0.35">
      <c r="A42" s="753" t="s">
        <v>323</v>
      </c>
      <c r="B42" s="754"/>
      <c r="C42" s="745" t="e">
        <f>G36+G33+G32+G31+G30+G29+G28+G25+G23+G22+G21+G20+G17+G16+G15+G14+G13+G12+G11+G10+G9+G8+G7+G6+G5+G4+G3+G24</f>
        <v>#REF!</v>
      </c>
      <c r="D42" s="746"/>
      <c r="E42" s="541" t="s">
        <v>328</v>
      </c>
      <c r="F42" s="818" t="e">
        <f t="shared" si="5"/>
        <v>#REF!</v>
      </c>
      <c r="G42" s="819"/>
      <c r="H42" s="761" t="s">
        <v>276</v>
      </c>
      <c r="I42" s="762"/>
      <c r="J42" s="328"/>
    </row>
    <row r="43" spans="1:10" ht="42.75" x14ac:dyDescent="0.35">
      <c r="A43" s="753" t="s">
        <v>329</v>
      </c>
      <c r="B43" s="754"/>
      <c r="C43" s="745">
        <f>G32</f>
        <v>563.6</v>
      </c>
      <c r="D43" s="746"/>
      <c r="E43" s="541" t="s">
        <v>328</v>
      </c>
      <c r="F43" s="777">
        <f t="shared" si="5"/>
        <v>3544.4803999999999</v>
      </c>
      <c r="G43" s="778"/>
      <c r="H43" s="761" t="s">
        <v>276</v>
      </c>
      <c r="I43" s="762"/>
      <c r="J43" s="328"/>
    </row>
    <row r="44" spans="1:10" ht="42.75" x14ac:dyDescent="0.35">
      <c r="A44" s="753" t="s">
        <v>324</v>
      </c>
      <c r="B44" s="754"/>
      <c r="C44" s="745" t="e">
        <f>C42-C43</f>
        <v>#REF!</v>
      </c>
      <c r="D44" s="746"/>
      <c r="E44" s="541" t="s">
        <v>328</v>
      </c>
      <c r="F44" s="727" t="e">
        <f t="shared" si="5"/>
        <v>#REF!</v>
      </c>
      <c r="G44" s="728"/>
      <c r="H44" s="761" t="s">
        <v>276</v>
      </c>
      <c r="I44" s="762"/>
      <c r="J44" s="328"/>
    </row>
    <row r="45" spans="1:10" ht="42.75" x14ac:dyDescent="0.35">
      <c r="A45" s="749" t="s">
        <v>327</v>
      </c>
      <c r="B45" s="750"/>
      <c r="C45" s="751" t="e">
        <f>C41-C42</f>
        <v>#REF!</v>
      </c>
      <c r="D45" s="752"/>
      <c r="E45" s="542" t="s">
        <v>328</v>
      </c>
      <c r="F45" s="806" t="e">
        <f t="shared" si="5"/>
        <v>#REF!</v>
      </c>
      <c r="G45" s="807"/>
      <c r="H45" s="798" t="s">
        <v>276</v>
      </c>
      <c r="I45" s="799"/>
      <c r="J45" s="328"/>
    </row>
    <row r="46" spans="1:10" ht="43.5" thickBot="1" x14ac:dyDescent="0.4">
      <c r="A46" s="741" t="s">
        <v>326</v>
      </c>
      <c r="B46" s="742"/>
      <c r="C46" s="747" t="e">
        <f>C40-C42</f>
        <v>#REF!</v>
      </c>
      <c r="D46" s="748"/>
      <c r="E46" s="543" t="s">
        <v>328</v>
      </c>
      <c r="F46" s="808" t="e">
        <f t="shared" si="5"/>
        <v>#REF!</v>
      </c>
      <c r="G46" s="809"/>
      <c r="H46" s="800" t="s">
        <v>276</v>
      </c>
      <c r="I46" s="801"/>
      <c r="J46" s="328"/>
    </row>
    <row r="47" spans="1:10" ht="32.25" thickTop="1" x14ac:dyDescent="0.25">
      <c r="A47" s="6"/>
      <c r="B47" s="309"/>
      <c r="C47" s="300"/>
      <c r="D47" s="319"/>
      <c r="E47" s="316"/>
      <c r="F47" s="317"/>
      <c r="G47" s="324"/>
      <c r="H47" s="378"/>
      <c r="I47" s="478"/>
      <c r="J47" s="328"/>
    </row>
    <row r="48" spans="1:10" ht="31.5" x14ac:dyDescent="0.25">
      <c r="A48" s="6"/>
      <c r="B48" s="309"/>
      <c r="C48" s="300"/>
      <c r="D48" s="319"/>
      <c r="E48" s="316"/>
      <c r="F48" s="317"/>
      <c r="G48" s="324"/>
      <c r="H48" s="378"/>
      <c r="I48" s="478"/>
      <c r="J48" s="328"/>
    </row>
    <row r="49" spans="1:10" ht="31.5" x14ac:dyDescent="0.25">
      <c r="A49" s="6"/>
      <c r="B49" s="309"/>
      <c r="C49" s="300"/>
      <c r="D49" s="319"/>
      <c r="E49" s="316"/>
      <c r="F49" s="317"/>
      <c r="G49" s="324"/>
      <c r="H49" s="378"/>
      <c r="I49" s="478"/>
      <c r="J49" s="328"/>
    </row>
    <row r="50" spans="1:10" ht="31.5" x14ac:dyDescent="0.25">
      <c r="A50" s="6"/>
      <c r="B50" s="309"/>
      <c r="C50" s="300"/>
      <c r="D50" s="319"/>
      <c r="E50" s="316"/>
      <c r="F50" s="317"/>
      <c r="G50" s="324"/>
      <c r="H50" s="378"/>
      <c r="I50" s="478"/>
      <c r="J50" s="328"/>
    </row>
    <row r="51" spans="1:10" ht="31.5" x14ac:dyDescent="0.25">
      <c r="A51" s="6"/>
      <c r="B51" s="309"/>
      <c r="C51" s="300"/>
      <c r="D51" s="319"/>
      <c r="E51" s="316"/>
      <c r="F51" s="317"/>
      <c r="G51" s="324"/>
      <c r="H51" s="378"/>
      <c r="I51" s="478"/>
      <c r="J51" s="328"/>
    </row>
    <row r="52" spans="1:10" ht="31.5" x14ac:dyDescent="0.25">
      <c r="A52" s="6"/>
      <c r="B52" s="309"/>
      <c r="C52" s="300"/>
      <c r="D52" s="319"/>
      <c r="E52" s="316"/>
      <c r="F52" s="317"/>
      <c r="G52" s="324"/>
      <c r="H52" s="378"/>
      <c r="I52" s="478"/>
      <c r="J52" s="328"/>
    </row>
    <row r="53" spans="1:10" ht="31.5" x14ac:dyDescent="0.25">
      <c r="A53" s="6"/>
      <c r="B53" s="309"/>
      <c r="C53" s="300"/>
      <c r="D53" s="319"/>
      <c r="E53" s="316"/>
      <c r="F53" s="317"/>
      <c r="G53" s="324"/>
      <c r="H53" s="378"/>
      <c r="I53" s="478"/>
      <c r="J53" s="328"/>
    </row>
    <row r="54" spans="1:10" ht="31.5" x14ac:dyDescent="0.25">
      <c r="A54" s="6"/>
      <c r="B54" s="309"/>
      <c r="C54" s="300"/>
      <c r="D54" s="319"/>
      <c r="E54" s="316"/>
      <c r="F54" s="317"/>
      <c r="G54" s="324"/>
      <c r="H54" s="378"/>
      <c r="I54" s="478"/>
      <c r="J54" s="328"/>
    </row>
    <row r="55" spans="1:10" ht="31.5" x14ac:dyDescent="0.25">
      <c r="A55" s="6"/>
      <c r="B55" s="309"/>
      <c r="C55" s="300"/>
      <c r="D55" s="319"/>
      <c r="E55" s="316"/>
      <c r="F55" s="317"/>
      <c r="G55" s="324"/>
      <c r="H55" s="378"/>
      <c r="I55" s="478"/>
      <c r="J55" s="328"/>
    </row>
    <row r="56" spans="1:10" ht="31.5" x14ac:dyDescent="0.25">
      <c r="A56" s="6"/>
      <c r="B56" s="309"/>
      <c r="C56" s="300"/>
      <c r="D56" s="319"/>
      <c r="E56" s="316"/>
      <c r="F56" s="317"/>
      <c r="G56" s="324"/>
      <c r="H56" s="378"/>
      <c r="I56" s="478"/>
      <c r="J56" s="328"/>
    </row>
    <row r="57" spans="1:10" ht="31.5" x14ac:dyDescent="0.25">
      <c r="A57" s="6"/>
      <c r="B57" s="309"/>
      <c r="C57" s="300"/>
      <c r="D57" s="319"/>
      <c r="E57" s="316"/>
      <c r="F57" s="317"/>
      <c r="G57" s="324"/>
      <c r="H57" s="378"/>
      <c r="I57" s="478"/>
      <c r="J57" s="328"/>
    </row>
    <row r="58" spans="1:10" ht="31.5" x14ac:dyDescent="0.25">
      <c r="A58" s="6"/>
      <c r="B58" s="309"/>
      <c r="C58" s="300"/>
      <c r="D58" s="319"/>
      <c r="E58" s="316"/>
      <c r="F58" s="317"/>
      <c r="G58" s="324"/>
      <c r="H58" s="378"/>
      <c r="I58" s="478"/>
      <c r="J58" s="328"/>
    </row>
    <row r="59" spans="1:10" ht="31.5" x14ac:dyDescent="0.25">
      <c r="A59" s="6"/>
      <c r="B59" s="309"/>
      <c r="C59" s="300"/>
      <c r="D59" s="319"/>
      <c r="E59" s="316"/>
      <c r="F59" s="317"/>
      <c r="G59" s="324"/>
      <c r="H59" s="378"/>
      <c r="I59" s="478"/>
      <c r="J59" s="328"/>
    </row>
    <row r="60" spans="1:10" ht="31.5" x14ac:dyDescent="0.25">
      <c r="A60" s="6"/>
      <c r="B60" s="309"/>
      <c r="C60" s="300"/>
      <c r="D60" s="319"/>
      <c r="E60" s="316"/>
      <c r="F60" s="317"/>
      <c r="G60" s="324"/>
      <c r="H60" s="378"/>
      <c r="I60" s="478"/>
      <c r="J60" s="328"/>
    </row>
    <row r="61" spans="1:10" ht="31.5" x14ac:dyDescent="0.25">
      <c r="A61" s="6"/>
      <c r="B61" s="309"/>
      <c r="C61" s="300"/>
      <c r="D61" s="319"/>
      <c r="E61" s="316"/>
      <c r="F61" s="317"/>
      <c r="G61" s="324"/>
      <c r="H61" s="378"/>
      <c r="I61" s="478"/>
      <c r="J61" s="328"/>
    </row>
    <row r="62" spans="1:10" ht="32.25" thickBot="1" x14ac:dyDescent="0.3">
      <c r="A62" s="6"/>
      <c r="B62" s="309"/>
      <c r="C62" s="300"/>
      <c r="D62" s="319"/>
      <c r="E62" s="316"/>
      <c r="F62" s="317"/>
      <c r="G62" s="324"/>
      <c r="H62" s="378"/>
      <c r="I62" s="479"/>
      <c r="J62" s="328"/>
    </row>
    <row r="63" spans="1:10" ht="32.25" thickTop="1" x14ac:dyDescent="0.25">
      <c r="A63" s="6"/>
      <c r="B63" s="309"/>
      <c r="C63" s="300"/>
      <c r="D63" s="319"/>
      <c r="E63" s="316"/>
      <c r="F63" s="317"/>
      <c r="G63" s="324"/>
      <c r="H63" s="378"/>
      <c r="I63" s="474"/>
      <c r="J63" s="328"/>
    </row>
    <row r="64" spans="1:10" ht="32.25" thickBot="1" x14ac:dyDescent="0.3">
      <c r="A64" s="6"/>
      <c r="B64" s="309"/>
      <c r="C64" s="300"/>
      <c r="D64" s="319"/>
      <c r="E64" s="316"/>
      <c r="F64" s="317"/>
      <c r="G64" s="324"/>
      <c r="H64" s="378"/>
      <c r="I64" s="475"/>
      <c r="J64" s="328"/>
    </row>
    <row r="65" spans="1:10" ht="32.25" thickTop="1" x14ac:dyDescent="0.25">
      <c r="A65" s="6"/>
      <c r="B65" s="309"/>
      <c r="C65" s="300"/>
      <c r="D65" s="319"/>
      <c r="E65" s="316"/>
      <c r="F65" s="317"/>
      <c r="G65" s="324"/>
      <c r="H65" s="378"/>
      <c r="I65" s="480"/>
      <c r="J65" s="328"/>
    </row>
    <row r="66" spans="1:10" ht="31.5" x14ac:dyDescent="0.25">
      <c r="A66" s="6"/>
      <c r="B66" s="309"/>
      <c r="C66" s="300"/>
      <c r="D66" s="319"/>
      <c r="E66" s="316"/>
      <c r="F66" s="317"/>
      <c r="G66" s="324"/>
      <c r="H66" s="378"/>
      <c r="I66" s="478"/>
      <c r="J66" s="328"/>
    </row>
    <row r="67" spans="1:10" ht="31.5" x14ac:dyDescent="0.25">
      <c r="A67" s="6"/>
      <c r="B67" s="309"/>
      <c r="C67" s="300"/>
      <c r="D67" s="319"/>
      <c r="E67" s="316"/>
      <c r="F67" s="317"/>
      <c r="G67" s="324"/>
      <c r="H67" s="378"/>
      <c r="I67" s="478"/>
      <c r="J67" s="328"/>
    </row>
    <row r="68" spans="1:10" ht="31.5" x14ac:dyDescent="0.25">
      <c r="A68" s="6"/>
      <c r="B68" s="309"/>
      <c r="C68" s="300"/>
      <c r="D68" s="319"/>
      <c r="E68" s="316"/>
      <c r="F68" s="317"/>
      <c r="G68" s="324"/>
      <c r="H68" s="378"/>
      <c r="I68" s="478"/>
      <c r="J68" s="328"/>
    </row>
    <row r="69" spans="1:10" ht="31.5" x14ac:dyDescent="0.25">
      <c r="A69" s="6"/>
      <c r="B69" s="309"/>
      <c r="C69" s="300"/>
      <c r="D69" s="319"/>
      <c r="E69" s="316"/>
      <c r="F69" s="317"/>
      <c r="G69" s="324"/>
      <c r="H69" s="378"/>
      <c r="I69" s="478"/>
      <c r="J69" s="328"/>
    </row>
    <row r="70" spans="1:10" ht="31.5" x14ac:dyDescent="0.25">
      <c r="A70" s="6"/>
      <c r="B70" s="309"/>
      <c r="C70" s="300"/>
      <c r="D70" s="319"/>
      <c r="E70" s="316"/>
      <c r="F70" s="317"/>
      <c r="G70" s="324"/>
      <c r="H70" s="378"/>
      <c r="I70" s="478"/>
      <c r="J70" s="328"/>
    </row>
    <row r="71" spans="1:10" ht="31.5" x14ac:dyDescent="0.25">
      <c r="A71" s="6"/>
      <c r="B71" s="309"/>
      <c r="C71" s="300"/>
      <c r="D71" s="319"/>
      <c r="E71" s="316"/>
      <c r="F71" s="317"/>
      <c r="G71" s="324"/>
      <c r="H71" s="378"/>
      <c r="I71" s="478"/>
      <c r="J71" s="328"/>
    </row>
    <row r="72" spans="1:10" ht="31.5" x14ac:dyDescent="0.25">
      <c r="A72" s="6"/>
      <c r="B72" s="309"/>
      <c r="C72" s="300"/>
      <c r="D72" s="319"/>
      <c r="E72" s="316"/>
      <c r="F72" s="317"/>
      <c r="G72" s="324"/>
      <c r="H72" s="378"/>
      <c r="I72" s="478"/>
      <c r="J72" s="328"/>
    </row>
    <row r="73" spans="1:10" ht="31.5" x14ac:dyDescent="0.25">
      <c r="A73" s="6"/>
      <c r="B73" s="309"/>
      <c r="C73" s="300"/>
      <c r="D73" s="319"/>
      <c r="E73" s="316"/>
      <c r="F73" s="317"/>
      <c r="G73" s="324"/>
      <c r="H73" s="378"/>
      <c r="I73" s="478"/>
      <c r="J73" s="328"/>
    </row>
    <row r="74" spans="1:10" ht="31.5" x14ac:dyDescent="0.25">
      <c r="A74" s="6"/>
      <c r="B74" s="309"/>
      <c r="C74" s="300"/>
      <c r="D74" s="319"/>
      <c r="E74" s="316"/>
      <c r="F74" s="317"/>
      <c r="G74" s="324"/>
      <c r="H74" s="378"/>
      <c r="I74" s="478"/>
      <c r="J74" s="328"/>
    </row>
    <row r="75" spans="1:10" ht="31.5" x14ac:dyDescent="0.25">
      <c r="A75" s="6"/>
      <c r="B75" s="309"/>
      <c r="C75" s="300"/>
      <c r="D75" s="319"/>
      <c r="E75" s="316"/>
      <c r="F75" s="317"/>
      <c r="G75" s="324"/>
      <c r="H75" s="378"/>
      <c r="I75" s="478"/>
      <c r="J75" s="328"/>
    </row>
    <row r="76" spans="1:10" ht="31.5" x14ac:dyDescent="0.25">
      <c r="A76" s="6"/>
      <c r="B76" s="309"/>
      <c r="C76" s="300"/>
      <c r="D76" s="319"/>
      <c r="E76" s="316"/>
      <c r="F76" s="317"/>
      <c r="G76" s="324"/>
      <c r="H76" s="378"/>
      <c r="I76" s="478"/>
      <c r="J76" s="328"/>
    </row>
    <row r="77" spans="1:10" ht="31.5" x14ac:dyDescent="0.25">
      <c r="A77" s="6"/>
      <c r="B77" s="309"/>
      <c r="C77" s="300"/>
      <c r="D77" s="319"/>
      <c r="E77" s="316"/>
      <c r="F77" s="317"/>
      <c r="G77" s="324"/>
      <c r="H77" s="378"/>
      <c r="I77" s="478"/>
      <c r="J77" s="328"/>
    </row>
    <row r="78" spans="1:10" ht="31.5" x14ac:dyDescent="0.25">
      <c r="A78" s="6"/>
      <c r="B78" s="309"/>
      <c r="C78" s="300"/>
      <c r="D78" s="319"/>
      <c r="E78" s="316"/>
      <c r="F78" s="317"/>
      <c r="G78" s="324"/>
      <c r="H78" s="378"/>
      <c r="I78" s="478"/>
      <c r="J78" s="328"/>
    </row>
    <row r="79" spans="1:10" ht="31.5" x14ac:dyDescent="0.25">
      <c r="A79" s="6"/>
      <c r="B79" s="309"/>
      <c r="C79" s="300"/>
      <c r="D79" s="319"/>
      <c r="E79" s="316"/>
      <c r="F79" s="317"/>
      <c r="G79" s="324"/>
      <c r="H79" s="378"/>
      <c r="I79" s="478"/>
      <c r="J79" s="328"/>
    </row>
    <row r="80" spans="1:10" ht="31.5" x14ac:dyDescent="0.25">
      <c r="A80" s="6"/>
      <c r="B80" s="309"/>
      <c r="C80" s="300"/>
      <c r="D80" s="319"/>
      <c r="E80" s="316"/>
      <c r="F80" s="317"/>
      <c r="G80" s="324"/>
      <c r="H80" s="378"/>
      <c r="I80" s="478"/>
      <c r="J80" s="328"/>
    </row>
  </sheetData>
  <mergeCells count="35">
    <mergeCell ref="A18:A19"/>
    <mergeCell ref="A26:A27"/>
    <mergeCell ref="A34:A35"/>
    <mergeCell ref="A39:B39"/>
    <mergeCell ref="C39:D39"/>
    <mergeCell ref="F39:G39"/>
    <mergeCell ref="H39:I39"/>
    <mergeCell ref="A40:B40"/>
    <mergeCell ref="C40:D40"/>
    <mergeCell ref="F40:G40"/>
    <mergeCell ref="H40:I40"/>
    <mergeCell ref="A41:B41"/>
    <mergeCell ref="C41:D41"/>
    <mergeCell ref="F41:G41"/>
    <mergeCell ref="H41:I41"/>
    <mergeCell ref="A42:B42"/>
    <mergeCell ref="C42:D42"/>
    <mergeCell ref="F42:G42"/>
    <mergeCell ref="H42:I42"/>
    <mergeCell ref="A43:B43"/>
    <mergeCell ref="C43:D43"/>
    <mergeCell ref="F43:G43"/>
    <mergeCell ref="H43:I43"/>
    <mergeCell ref="A44:B44"/>
    <mergeCell ref="C44:D44"/>
    <mergeCell ref="F44:G44"/>
    <mergeCell ref="H44:I44"/>
    <mergeCell ref="A45:B45"/>
    <mergeCell ref="C45:D45"/>
    <mergeCell ref="F45:G45"/>
    <mergeCell ref="H45:I45"/>
    <mergeCell ref="A46:B46"/>
    <mergeCell ref="C46:D46"/>
    <mergeCell ref="F46:G46"/>
    <mergeCell ref="H46:I46"/>
  </mergeCells>
  <dataValidations count="3">
    <dataValidation type="list" allowBlank="1" showInputMessage="1" showErrorMessage="1" error="Please Select a right value from the list" sqref="A20:A24">
      <formula1>$E$3:$E$31</formula1>
    </dataValidation>
    <dataValidation type="list" allowBlank="1" showInputMessage="1" showErrorMessage="1" error="Please Select a right value from the list" sqref="A3:A16">
      <formula1>$E$3:$E$31</formula1>
    </dataValidation>
    <dataValidation type="list" allowBlank="1" showInputMessage="1" showErrorMessage="1" error="Please Select a right value from the list" sqref="A33">
      <formula1>$E$3:$E$31</formula1>
    </dataValidation>
  </dataValidations>
  <pageMargins left="0.7" right="0.7" top="0.75" bottom="0.75" header="0.3" footer="0.3"/>
  <pageSetup paperSize="9" scale="58" orientation="portrait" r:id="rId1"/>
  <rowBreaks count="1" manualBreakCount="1">
    <brk id="36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Please Select a right value from the list">
          <x14:formula1>
            <xm:f>' Data Lists'!$T$3:$T$31</xm:f>
          </x14:formula1>
          <xm:sqref>A47:A69</xm:sqref>
        </x14:dataValidation>
        <x14:dataValidation type="list" allowBlank="1" showInputMessage="1" showErrorMessage="1" error="Please Select a right value from the list">
          <x14:formula1>
            <xm:f>' Data Lists'!$E$3:$E$31</xm:f>
          </x14:formula1>
          <xm:sqref>A28:A29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49"/>
  <sheetViews>
    <sheetView topLeftCell="A46" zoomScale="91" zoomScaleNormal="91" workbookViewId="0">
      <selection activeCell="B82" sqref="B82"/>
    </sheetView>
  </sheetViews>
  <sheetFormatPr defaultRowHeight="15" x14ac:dyDescent="0.25"/>
  <cols>
    <col min="2" max="2" width="17.42578125" style="1" customWidth="1"/>
    <col min="3" max="3" width="21.42578125" bestFit="1" customWidth="1"/>
    <col min="4" max="4" width="18.140625" customWidth="1"/>
    <col min="5" max="5" width="13.7109375" bestFit="1" customWidth="1"/>
    <col min="6" max="6" width="14.85546875" bestFit="1" customWidth="1"/>
    <col min="7" max="7" width="16.28515625" customWidth="1"/>
    <col min="8" max="8" width="17" bestFit="1" customWidth="1"/>
    <col min="9" max="9" width="13.28515625" bestFit="1" customWidth="1"/>
    <col min="10" max="10" width="13.28515625" customWidth="1"/>
    <col min="11" max="11" width="14.5703125" bestFit="1" customWidth="1"/>
    <col min="12" max="12" width="13.28515625" bestFit="1" customWidth="1"/>
    <col min="13" max="13" width="21.7109375" customWidth="1"/>
    <col min="14" max="14" width="18.7109375" customWidth="1"/>
    <col min="15" max="15" width="17" customWidth="1"/>
    <col min="16" max="16" width="20" bestFit="1" customWidth="1"/>
    <col min="17" max="17" width="14.42578125" customWidth="1"/>
    <col min="18" max="18" width="13.85546875" customWidth="1"/>
    <col min="20" max="20" width="10.28515625" bestFit="1" customWidth="1"/>
    <col min="21" max="21" width="10.28515625" style="1" bestFit="1" customWidth="1"/>
    <col min="22" max="22" width="10.28515625" style="1" customWidth="1"/>
    <col min="23" max="23" width="8.85546875" style="1"/>
    <col min="27" max="27" width="17.5703125" customWidth="1"/>
  </cols>
  <sheetData>
    <row r="2" spans="1:27" ht="30" x14ac:dyDescent="0.25">
      <c r="A2" s="5"/>
      <c r="B2" s="5" t="s">
        <v>1</v>
      </c>
      <c r="C2" s="4" t="s">
        <v>6</v>
      </c>
      <c r="D2" s="4" t="s">
        <v>100</v>
      </c>
      <c r="E2" s="4" t="s">
        <v>99</v>
      </c>
      <c r="F2" s="4" t="s">
        <v>9</v>
      </c>
      <c r="G2" s="4" t="s">
        <v>12</v>
      </c>
      <c r="H2" s="4" t="s">
        <v>13</v>
      </c>
      <c r="I2" s="4" t="s">
        <v>14</v>
      </c>
      <c r="J2" s="26" t="s">
        <v>17</v>
      </c>
      <c r="K2" s="22" t="s">
        <v>367</v>
      </c>
      <c r="L2" s="4" t="s">
        <v>15</v>
      </c>
      <c r="M2" s="4" t="s">
        <v>164</v>
      </c>
      <c r="N2" s="4" t="s">
        <v>19</v>
      </c>
      <c r="O2" s="25" t="s">
        <v>166</v>
      </c>
      <c r="P2" s="25" t="s">
        <v>171</v>
      </c>
      <c r="Q2" s="22" t="s">
        <v>20</v>
      </c>
      <c r="R2" s="22" t="s">
        <v>23</v>
      </c>
      <c r="T2" s="26" t="s">
        <v>99</v>
      </c>
      <c r="U2" s="26" t="s">
        <v>100</v>
      </c>
      <c r="V2" s="409"/>
      <c r="Z2" s="26" t="s">
        <v>99</v>
      </c>
      <c r="AA2" s="26" t="s">
        <v>343</v>
      </c>
    </row>
    <row r="3" spans="1:27" x14ac:dyDescent="0.25">
      <c r="A3" s="6"/>
      <c r="B3" s="27" t="s">
        <v>27</v>
      </c>
      <c r="C3" s="3" t="s">
        <v>7</v>
      </c>
      <c r="D3" s="3" t="s">
        <v>94</v>
      </c>
      <c r="E3" s="3" t="s">
        <v>97</v>
      </c>
      <c r="F3" s="3" t="s">
        <v>10</v>
      </c>
      <c r="G3" s="3" t="s">
        <v>162</v>
      </c>
      <c r="H3" s="3" t="s">
        <v>283</v>
      </c>
      <c r="I3" s="3">
        <v>1.25</v>
      </c>
      <c r="J3" s="31">
        <v>2.875</v>
      </c>
      <c r="K3" s="3" t="s">
        <v>370</v>
      </c>
      <c r="L3" s="3">
        <v>192</v>
      </c>
      <c r="M3" s="3" t="s">
        <v>178</v>
      </c>
      <c r="N3" s="3" t="s">
        <v>16</v>
      </c>
      <c r="O3" s="3" t="s">
        <v>167</v>
      </c>
      <c r="P3" s="3" t="s">
        <v>172</v>
      </c>
      <c r="Q3" s="3" t="s">
        <v>21</v>
      </c>
      <c r="R3" s="15" t="s">
        <v>174</v>
      </c>
      <c r="T3" s="3" t="s">
        <v>97</v>
      </c>
      <c r="U3" s="247" t="s">
        <v>301</v>
      </c>
      <c r="V3" s="410"/>
      <c r="X3" s="27"/>
      <c r="Z3" s="3" t="s">
        <v>97</v>
      </c>
      <c r="AA3" s="247" t="s">
        <v>340</v>
      </c>
    </row>
    <row r="4" spans="1:27" ht="15.75" x14ac:dyDescent="0.25">
      <c r="A4" s="6"/>
      <c r="B4" s="27" t="s">
        <v>28</v>
      </c>
      <c r="C4" s="14" t="s">
        <v>4</v>
      </c>
      <c r="D4" s="3" t="s">
        <v>93</v>
      </c>
      <c r="E4" s="3" t="s">
        <v>102</v>
      </c>
      <c r="F4" s="3" t="s">
        <v>11</v>
      </c>
      <c r="G4" s="3"/>
      <c r="H4" s="3" t="s">
        <v>161</v>
      </c>
      <c r="I4" s="3">
        <v>1.5</v>
      </c>
      <c r="J4" s="31">
        <v>3.5</v>
      </c>
      <c r="K4" s="565" t="s">
        <v>369</v>
      </c>
      <c r="L4" s="3">
        <v>169</v>
      </c>
      <c r="M4" s="3" t="s">
        <v>179</v>
      </c>
      <c r="N4" s="3" t="s">
        <v>163</v>
      </c>
      <c r="O4" s="3" t="s">
        <v>24</v>
      </c>
      <c r="P4" s="3" t="s">
        <v>25</v>
      </c>
      <c r="Q4" s="3" t="s">
        <v>22</v>
      </c>
      <c r="R4" s="3" t="s">
        <v>175</v>
      </c>
      <c r="T4" s="3" t="s">
        <v>102</v>
      </c>
      <c r="U4" s="248" t="s">
        <v>94</v>
      </c>
      <c r="V4" s="411"/>
      <c r="X4" s="21"/>
      <c r="Z4" s="3" t="s">
        <v>102</v>
      </c>
      <c r="AA4" s="247" t="s">
        <v>340</v>
      </c>
    </row>
    <row r="5" spans="1:27" ht="15.75" x14ac:dyDescent="0.25">
      <c r="A5" s="6"/>
      <c r="B5" s="27" t="s">
        <v>395</v>
      </c>
      <c r="C5" s="14" t="s">
        <v>7</v>
      </c>
      <c r="D5" s="3" t="s">
        <v>93</v>
      </c>
      <c r="E5" s="3" t="s">
        <v>106</v>
      </c>
      <c r="F5" s="30"/>
      <c r="G5" s="3"/>
      <c r="H5" s="3"/>
      <c r="I5" s="3"/>
      <c r="J5" s="632"/>
      <c r="K5" s="565" t="s">
        <v>368</v>
      </c>
      <c r="L5" s="3"/>
      <c r="M5" s="30"/>
      <c r="N5" s="3"/>
      <c r="O5" s="3"/>
      <c r="P5" s="3"/>
      <c r="Q5" s="30"/>
      <c r="R5" s="3"/>
      <c r="T5" s="3"/>
      <c r="U5" s="248"/>
      <c r="V5" s="411"/>
      <c r="W5" s="621"/>
      <c r="X5" s="21"/>
      <c r="Z5" s="3"/>
      <c r="AA5" s="247"/>
    </row>
    <row r="6" spans="1:27" ht="15.75" x14ac:dyDescent="0.25">
      <c r="A6" s="6"/>
      <c r="B6" s="27" t="s">
        <v>29</v>
      </c>
      <c r="C6" s="14" t="s">
        <v>5</v>
      </c>
      <c r="D6" s="3" t="s">
        <v>101</v>
      </c>
      <c r="E6" s="3" t="s">
        <v>106</v>
      </c>
      <c r="G6" s="3"/>
      <c r="H6" s="3" t="s">
        <v>281</v>
      </c>
      <c r="I6" s="3">
        <v>1.75</v>
      </c>
      <c r="J6" s="30"/>
      <c r="K6" s="565" t="s">
        <v>384</v>
      </c>
      <c r="L6" s="3">
        <v>168</v>
      </c>
      <c r="N6" s="3" t="s">
        <v>165</v>
      </c>
      <c r="O6" s="3" t="s">
        <v>169</v>
      </c>
      <c r="P6" s="3" t="s">
        <v>2</v>
      </c>
      <c r="R6" s="3" t="s">
        <v>176</v>
      </c>
      <c r="T6" s="3" t="s">
        <v>106</v>
      </c>
      <c r="U6" s="249" t="s">
        <v>93</v>
      </c>
      <c r="V6" s="412"/>
      <c r="X6" s="21"/>
      <c r="Z6" s="3" t="s">
        <v>106</v>
      </c>
      <c r="AA6" s="249" t="s">
        <v>341</v>
      </c>
    </row>
    <row r="7" spans="1:27" ht="15.75" x14ac:dyDescent="0.25">
      <c r="B7" s="27" t="s">
        <v>30</v>
      </c>
      <c r="C7" s="14" t="s">
        <v>8</v>
      </c>
      <c r="D7" s="3" t="s">
        <v>104</v>
      </c>
      <c r="E7" s="3" t="s">
        <v>107</v>
      </c>
      <c r="G7" s="3"/>
      <c r="H7" s="3" t="s">
        <v>294</v>
      </c>
      <c r="I7" s="3">
        <v>2</v>
      </c>
      <c r="J7" s="30"/>
      <c r="K7" s="565" t="s">
        <v>385</v>
      </c>
      <c r="L7" s="3">
        <v>145</v>
      </c>
      <c r="N7" s="3"/>
      <c r="O7" s="3" t="s">
        <v>168</v>
      </c>
      <c r="P7" s="30"/>
      <c r="R7" s="3" t="s">
        <v>101</v>
      </c>
      <c r="T7" s="3" t="s">
        <v>107</v>
      </c>
      <c r="U7" s="249" t="s">
        <v>93</v>
      </c>
      <c r="V7" s="412"/>
      <c r="X7" s="21"/>
      <c r="Z7" s="3" t="s">
        <v>107</v>
      </c>
      <c r="AA7" s="247" t="s">
        <v>340</v>
      </c>
    </row>
    <row r="8" spans="1:27" ht="15.75" x14ac:dyDescent="0.25">
      <c r="B8" s="27" t="s">
        <v>31</v>
      </c>
      <c r="D8" s="3" t="s">
        <v>272</v>
      </c>
      <c r="E8" s="3" t="s">
        <v>103</v>
      </c>
      <c r="G8" s="3"/>
      <c r="H8" s="3" t="s">
        <v>284</v>
      </c>
      <c r="I8" s="3">
        <v>2.25</v>
      </c>
      <c r="J8" s="30"/>
      <c r="K8" s="565" t="s">
        <v>371</v>
      </c>
      <c r="L8" s="3">
        <v>99</v>
      </c>
      <c r="N8" s="3"/>
      <c r="O8" s="30"/>
      <c r="R8" s="3" t="s">
        <v>95</v>
      </c>
      <c r="T8" s="3" t="s">
        <v>103</v>
      </c>
      <c r="U8" s="249" t="s">
        <v>93</v>
      </c>
      <c r="V8" s="412"/>
      <c r="X8" s="27"/>
      <c r="Z8" s="3" t="s">
        <v>103</v>
      </c>
      <c r="AA8" s="247" t="s">
        <v>340</v>
      </c>
    </row>
    <row r="9" spans="1:27" ht="15.75" x14ac:dyDescent="0.25">
      <c r="B9" s="27" t="s">
        <v>32</v>
      </c>
      <c r="D9" s="3"/>
      <c r="E9" s="3" t="s">
        <v>105</v>
      </c>
      <c r="G9" s="3"/>
      <c r="H9" s="3" t="s">
        <v>186</v>
      </c>
      <c r="I9" s="3">
        <v>2.5</v>
      </c>
      <c r="J9" s="30"/>
      <c r="K9" s="565" t="s">
        <v>372</v>
      </c>
      <c r="L9" s="3">
        <v>124</v>
      </c>
      <c r="R9" s="3" t="s">
        <v>96</v>
      </c>
      <c r="T9" s="3" t="s">
        <v>105</v>
      </c>
      <c r="U9" s="249" t="s">
        <v>93</v>
      </c>
      <c r="V9" s="412"/>
      <c r="X9" s="21"/>
      <c r="Z9" s="3" t="s">
        <v>105</v>
      </c>
      <c r="AA9" s="247" t="s">
        <v>340</v>
      </c>
    </row>
    <row r="10" spans="1:27" x14ac:dyDescent="0.25">
      <c r="B10" s="27" t="s">
        <v>33</v>
      </c>
      <c r="D10" s="3"/>
      <c r="E10" s="3" t="s">
        <v>104</v>
      </c>
      <c r="G10" s="3"/>
      <c r="H10" s="3" t="s">
        <v>185</v>
      </c>
      <c r="I10" s="3">
        <v>2.75</v>
      </c>
      <c r="J10" s="30"/>
      <c r="R10" s="3" t="s">
        <v>121</v>
      </c>
      <c r="T10" s="3" t="s">
        <v>104</v>
      </c>
      <c r="U10" s="249" t="s">
        <v>93</v>
      </c>
      <c r="V10" s="412"/>
      <c r="X10" s="21"/>
      <c r="Z10" s="3" t="s">
        <v>104</v>
      </c>
      <c r="AA10" s="249" t="s">
        <v>341</v>
      </c>
    </row>
    <row r="11" spans="1:27" x14ac:dyDescent="0.25">
      <c r="B11" s="27" t="s">
        <v>34</v>
      </c>
      <c r="E11" s="3" t="s">
        <v>108</v>
      </c>
      <c r="H11" s="3" t="s">
        <v>192</v>
      </c>
      <c r="R11" s="3" t="s">
        <v>177</v>
      </c>
      <c r="T11" s="3" t="s">
        <v>108</v>
      </c>
      <c r="U11" s="247" t="s">
        <v>301</v>
      </c>
      <c r="V11" s="410"/>
      <c r="X11" s="6"/>
      <c r="Z11" s="3" t="s">
        <v>108</v>
      </c>
      <c r="AA11" s="249" t="s">
        <v>341</v>
      </c>
    </row>
    <row r="12" spans="1:27" x14ac:dyDescent="0.25">
      <c r="B12" s="27" t="s">
        <v>35</v>
      </c>
      <c r="E12" s="3" t="s">
        <v>109</v>
      </c>
      <c r="H12" s="3" t="s">
        <v>193</v>
      </c>
      <c r="R12" s="3" t="s">
        <v>123</v>
      </c>
      <c r="T12" s="3" t="s">
        <v>109</v>
      </c>
      <c r="U12" s="248" t="s">
        <v>94</v>
      </c>
      <c r="V12" s="411"/>
      <c r="X12" s="6"/>
      <c r="Z12" s="3" t="s">
        <v>109</v>
      </c>
      <c r="AA12" s="247" t="s">
        <v>340</v>
      </c>
    </row>
    <row r="13" spans="1:27" x14ac:dyDescent="0.25">
      <c r="B13" s="27" t="s">
        <v>36</v>
      </c>
      <c r="E13" s="3" t="s">
        <v>110</v>
      </c>
      <c r="H13" s="3" t="s">
        <v>187</v>
      </c>
      <c r="R13" s="3" t="s">
        <v>125</v>
      </c>
      <c r="T13" s="3" t="s">
        <v>110</v>
      </c>
      <c r="U13" s="248" t="s">
        <v>94</v>
      </c>
      <c r="V13" s="411"/>
      <c r="X13" s="6"/>
      <c r="Z13" s="3" t="s">
        <v>110</v>
      </c>
      <c r="AA13" s="249" t="s">
        <v>341</v>
      </c>
    </row>
    <row r="14" spans="1:27" x14ac:dyDescent="0.25">
      <c r="B14" s="27" t="s">
        <v>37</v>
      </c>
      <c r="E14" s="3" t="s">
        <v>111</v>
      </c>
      <c r="H14" s="3" t="s">
        <v>309</v>
      </c>
      <c r="R14" s="3"/>
      <c r="T14" s="3" t="s">
        <v>111</v>
      </c>
      <c r="U14" s="249" t="s">
        <v>93</v>
      </c>
      <c r="V14" s="412"/>
      <c r="X14" s="6"/>
      <c r="Z14" s="3" t="s">
        <v>111</v>
      </c>
      <c r="AA14" s="249" t="s">
        <v>341</v>
      </c>
    </row>
    <row r="15" spans="1:27" x14ac:dyDescent="0.25">
      <c r="B15" s="27" t="s">
        <v>38</v>
      </c>
      <c r="E15" s="3" t="s">
        <v>112</v>
      </c>
      <c r="H15" s="3" t="s">
        <v>194</v>
      </c>
      <c r="R15" s="15" t="s">
        <v>280</v>
      </c>
      <c r="T15" s="3" t="s">
        <v>112</v>
      </c>
      <c r="U15" s="249" t="s">
        <v>93</v>
      </c>
      <c r="V15" s="412"/>
      <c r="X15" s="6"/>
      <c r="Z15" s="3" t="s">
        <v>112</v>
      </c>
      <c r="AA15" s="247" t="s">
        <v>340</v>
      </c>
    </row>
    <row r="16" spans="1:27" x14ac:dyDescent="0.25">
      <c r="B16" s="27" t="s">
        <v>39</v>
      </c>
      <c r="E16" s="3" t="s">
        <v>113</v>
      </c>
      <c r="H16" s="3" t="s">
        <v>195</v>
      </c>
      <c r="T16" s="3" t="s">
        <v>113</v>
      </c>
      <c r="U16" s="249" t="s">
        <v>93</v>
      </c>
      <c r="V16" s="412"/>
      <c r="X16" s="6"/>
      <c r="Z16" s="3" t="s">
        <v>113</v>
      </c>
      <c r="AA16" s="247" t="s">
        <v>340</v>
      </c>
    </row>
    <row r="17" spans="2:27" x14ac:dyDescent="0.25">
      <c r="B17" s="27" t="s">
        <v>40</v>
      </c>
      <c r="E17" s="3" t="s">
        <v>114</v>
      </c>
      <c r="H17" s="3" t="s">
        <v>188</v>
      </c>
      <c r="T17" s="3" t="s">
        <v>114</v>
      </c>
      <c r="U17" s="250" t="s">
        <v>302</v>
      </c>
      <c r="V17" s="413"/>
      <c r="X17" s="6"/>
      <c r="Z17" s="3" t="s">
        <v>114</v>
      </c>
      <c r="AA17" s="247" t="s">
        <v>340</v>
      </c>
    </row>
    <row r="18" spans="2:27" x14ac:dyDescent="0.25">
      <c r="B18" s="27" t="s">
        <v>41</v>
      </c>
      <c r="E18" s="3" t="s">
        <v>115</v>
      </c>
      <c r="H18" s="3" t="s">
        <v>147</v>
      </c>
      <c r="T18" s="3" t="s">
        <v>115</v>
      </c>
      <c r="U18" s="249" t="s">
        <v>93</v>
      </c>
      <c r="V18" s="412"/>
      <c r="X18" s="6"/>
      <c r="Z18" s="3" t="s">
        <v>115</v>
      </c>
      <c r="AA18" s="249" t="s">
        <v>341</v>
      </c>
    </row>
    <row r="19" spans="2:27" x14ac:dyDescent="0.25">
      <c r="B19" s="27" t="s">
        <v>42</v>
      </c>
      <c r="E19" s="3" t="s">
        <v>116</v>
      </c>
      <c r="H19" s="3" t="s">
        <v>190</v>
      </c>
      <c r="T19" s="3" t="s">
        <v>116</v>
      </c>
      <c r="U19" s="249" t="s">
        <v>93</v>
      </c>
      <c r="V19" s="412"/>
      <c r="X19" s="6"/>
      <c r="Z19" s="3" t="s">
        <v>116</v>
      </c>
      <c r="AA19" s="247" t="s">
        <v>340</v>
      </c>
    </row>
    <row r="20" spans="2:27" x14ac:dyDescent="0.25">
      <c r="B20" s="27" t="s">
        <v>43</v>
      </c>
      <c r="E20" s="3" t="s">
        <v>303</v>
      </c>
      <c r="H20" s="3" t="s">
        <v>156</v>
      </c>
      <c r="T20" s="3" t="s">
        <v>303</v>
      </c>
      <c r="U20" s="249" t="s">
        <v>93</v>
      </c>
      <c r="V20" s="412"/>
      <c r="X20" s="6"/>
      <c r="Z20" s="3" t="s">
        <v>303</v>
      </c>
      <c r="AA20" s="249" t="s">
        <v>341</v>
      </c>
    </row>
    <row r="21" spans="2:27" x14ac:dyDescent="0.25">
      <c r="B21" s="27" t="s">
        <v>44</v>
      </c>
      <c r="E21" s="3" t="s">
        <v>117</v>
      </c>
      <c r="H21" s="3" t="s">
        <v>300</v>
      </c>
      <c r="T21" s="3" t="s">
        <v>117</v>
      </c>
      <c r="U21" s="250" t="s">
        <v>302</v>
      </c>
      <c r="V21" s="413"/>
      <c r="X21" s="6"/>
      <c r="Z21" s="3" t="s">
        <v>117</v>
      </c>
      <c r="AA21" s="247" t="s">
        <v>340</v>
      </c>
    </row>
    <row r="22" spans="2:27" x14ac:dyDescent="0.25">
      <c r="B22" s="27" t="s">
        <v>45</v>
      </c>
      <c r="E22" s="3" t="s">
        <v>118</v>
      </c>
      <c r="H22" s="3" t="s">
        <v>291</v>
      </c>
      <c r="T22" s="3" t="s">
        <v>118</v>
      </c>
      <c r="U22" s="249" t="s">
        <v>93</v>
      </c>
      <c r="V22" s="412"/>
      <c r="X22" s="6"/>
      <c r="Z22" s="3" t="s">
        <v>118</v>
      </c>
      <c r="AA22" s="249" t="s">
        <v>341</v>
      </c>
    </row>
    <row r="23" spans="2:27" x14ac:dyDescent="0.25">
      <c r="B23" s="27" t="s">
        <v>46</v>
      </c>
      <c r="E23" s="3" t="s">
        <v>119</v>
      </c>
      <c r="H23" s="3" t="s">
        <v>287</v>
      </c>
      <c r="T23" s="3" t="s">
        <v>119</v>
      </c>
      <c r="U23" s="249" t="s">
        <v>93</v>
      </c>
      <c r="V23" s="412"/>
      <c r="X23" s="6"/>
      <c r="Z23" s="3" t="s">
        <v>119</v>
      </c>
      <c r="AA23" s="247" t="s">
        <v>340</v>
      </c>
    </row>
    <row r="24" spans="2:27" x14ac:dyDescent="0.25">
      <c r="B24" s="21" t="s">
        <v>334</v>
      </c>
      <c r="E24" s="3" t="s">
        <v>120</v>
      </c>
      <c r="H24" s="3" t="s">
        <v>298</v>
      </c>
      <c r="T24" s="3" t="s">
        <v>120</v>
      </c>
      <c r="U24" s="249" t="s">
        <v>93</v>
      </c>
      <c r="V24" s="412"/>
      <c r="X24" s="6"/>
      <c r="Z24" s="3" t="s">
        <v>120</v>
      </c>
      <c r="AA24" s="247" t="s">
        <v>340</v>
      </c>
    </row>
    <row r="25" spans="2:27" x14ac:dyDescent="0.25">
      <c r="B25" s="27" t="s">
        <v>48</v>
      </c>
      <c r="E25" s="3" t="s">
        <v>95</v>
      </c>
      <c r="H25" s="3" t="s">
        <v>160</v>
      </c>
      <c r="T25" s="3" t="s">
        <v>95</v>
      </c>
      <c r="U25" s="248" t="s">
        <v>94</v>
      </c>
      <c r="V25" s="411"/>
      <c r="X25" s="6"/>
      <c r="Z25" s="3" t="s">
        <v>95</v>
      </c>
      <c r="AA25" s="247" t="s">
        <v>340</v>
      </c>
    </row>
    <row r="26" spans="2:27" x14ac:dyDescent="0.25">
      <c r="B26" s="27" t="s">
        <v>49</v>
      </c>
      <c r="E26" s="3" t="s">
        <v>96</v>
      </c>
      <c r="H26" s="3" t="s">
        <v>148</v>
      </c>
      <c r="T26" s="3" t="s">
        <v>96</v>
      </c>
      <c r="U26" s="250" t="s">
        <v>302</v>
      </c>
      <c r="V26" s="413"/>
      <c r="X26" s="6"/>
      <c r="Z26" s="3" t="s">
        <v>96</v>
      </c>
      <c r="AA26" s="247" t="s">
        <v>340</v>
      </c>
    </row>
    <row r="27" spans="2:27" x14ac:dyDescent="0.25">
      <c r="B27" s="27" t="s">
        <v>50</v>
      </c>
      <c r="E27" s="3" t="s">
        <v>121</v>
      </c>
      <c r="H27" s="3" t="s">
        <v>348</v>
      </c>
      <c r="T27" s="3" t="s">
        <v>121</v>
      </c>
      <c r="U27" s="250" t="s">
        <v>302</v>
      </c>
      <c r="V27" s="413"/>
      <c r="X27" s="6"/>
      <c r="Z27" s="3" t="s">
        <v>121</v>
      </c>
      <c r="AA27" s="247" t="s">
        <v>340</v>
      </c>
    </row>
    <row r="28" spans="2:27" x14ac:dyDescent="0.25">
      <c r="B28" s="27" t="s">
        <v>52</v>
      </c>
      <c r="E28" s="3" t="s">
        <v>122</v>
      </c>
      <c r="H28" s="3" t="s">
        <v>312</v>
      </c>
      <c r="T28" s="3" t="s">
        <v>122</v>
      </c>
      <c r="U28" s="250" t="s">
        <v>302</v>
      </c>
      <c r="V28" s="413"/>
      <c r="X28" s="6"/>
      <c r="Z28" s="3" t="s">
        <v>122</v>
      </c>
      <c r="AA28" s="247" t="s">
        <v>340</v>
      </c>
    </row>
    <row r="29" spans="2:27" x14ac:dyDescent="0.25">
      <c r="B29" s="27" t="s">
        <v>51</v>
      </c>
      <c r="E29" s="3" t="s">
        <v>123</v>
      </c>
      <c r="H29" s="3" t="s">
        <v>152</v>
      </c>
      <c r="T29" s="3" t="s">
        <v>123</v>
      </c>
      <c r="U29" s="250" t="s">
        <v>302</v>
      </c>
      <c r="V29" s="413"/>
      <c r="X29" s="6"/>
      <c r="Z29" s="3" t="s">
        <v>123</v>
      </c>
      <c r="AA29" s="249" t="s">
        <v>341</v>
      </c>
    </row>
    <row r="30" spans="2:27" x14ac:dyDescent="0.25">
      <c r="B30" s="27" t="s">
        <v>53</v>
      </c>
      <c r="E30" s="3" t="s">
        <v>124</v>
      </c>
      <c r="H30" s="3" t="s">
        <v>155</v>
      </c>
      <c r="T30" s="3" t="s">
        <v>124</v>
      </c>
      <c r="U30" s="248" t="s">
        <v>94</v>
      </c>
      <c r="V30" s="411"/>
      <c r="X30" s="6"/>
      <c r="Z30" s="3" t="s">
        <v>124</v>
      </c>
      <c r="AA30" s="247" t="s">
        <v>340</v>
      </c>
    </row>
    <row r="31" spans="2:27" x14ac:dyDescent="0.25">
      <c r="B31" s="27" t="s">
        <v>54</v>
      </c>
      <c r="E31" s="6" t="s">
        <v>125</v>
      </c>
      <c r="H31" s="3" t="s">
        <v>285</v>
      </c>
      <c r="T31" s="6" t="s">
        <v>125</v>
      </c>
      <c r="U31" s="251" t="s">
        <v>125</v>
      </c>
      <c r="V31" s="414"/>
      <c r="X31" s="6"/>
      <c r="Z31" s="6" t="s">
        <v>125</v>
      </c>
      <c r="AA31" s="247" t="s">
        <v>340</v>
      </c>
    </row>
    <row r="32" spans="2:27" x14ac:dyDescent="0.25">
      <c r="B32" s="27" t="s">
        <v>55</v>
      </c>
      <c r="H32" s="3" t="s">
        <v>153</v>
      </c>
      <c r="X32" s="6"/>
    </row>
    <row r="33" spans="2:24" x14ac:dyDescent="0.25">
      <c r="B33" s="21" t="s">
        <v>56</v>
      </c>
      <c r="H33" s="3" t="s">
        <v>149</v>
      </c>
      <c r="X33" s="6"/>
    </row>
    <row r="34" spans="2:24" x14ac:dyDescent="0.25">
      <c r="B34" s="27" t="s">
        <v>57</v>
      </c>
      <c r="H34" s="3" t="s">
        <v>151</v>
      </c>
      <c r="X34" s="6"/>
    </row>
    <row r="35" spans="2:24" x14ac:dyDescent="0.25">
      <c r="B35" s="27" t="s">
        <v>58</v>
      </c>
      <c r="H35" s="3" t="s">
        <v>150</v>
      </c>
      <c r="X35" s="6"/>
    </row>
    <row r="36" spans="2:24" x14ac:dyDescent="0.25">
      <c r="B36" s="27" t="s">
        <v>59</v>
      </c>
      <c r="H36" s="3" t="s">
        <v>293</v>
      </c>
      <c r="X36" s="6"/>
    </row>
    <row r="37" spans="2:24" x14ac:dyDescent="0.25">
      <c r="B37" s="27" t="s">
        <v>60</v>
      </c>
      <c r="H37" s="3" t="s">
        <v>154</v>
      </c>
      <c r="X37" s="6"/>
    </row>
    <row r="38" spans="2:24" x14ac:dyDescent="0.25">
      <c r="B38" s="27" t="s">
        <v>61</v>
      </c>
      <c r="H38" s="3" t="s">
        <v>146</v>
      </c>
      <c r="X38" s="6"/>
    </row>
    <row r="39" spans="2:24" x14ac:dyDescent="0.25">
      <c r="B39" s="27" t="s">
        <v>62</v>
      </c>
      <c r="H39" s="3" t="s">
        <v>159</v>
      </c>
      <c r="X39" s="6"/>
    </row>
    <row r="40" spans="2:24" x14ac:dyDescent="0.25">
      <c r="B40" s="27" t="s">
        <v>63</v>
      </c>
      <c r="H40" s="3" t="s">
        <v>310</v>
      </c>
      <c r="X40" s="6"/>
    </row>
    <row r="41" spans="2:24" x14ac:dyDescent="0.25">
      <c r="B41" s="27" t="s">
        <v>403</v>
      </c>
      <c r="H41" s="3"/>
      <c r="U41" s="621"/>
      <c r="V41" s="621"/>
      <c r="W41" s="621"/>
      <c r="X41" s="6"/>
    </row>
    <row r="42" spans="2:24" x14ac:dyDescent="0.25">
      <c r="B42" s="27" t="s">
        <v>64</v>
      </c>
      <c r="H42" s="3" t="s">
        <v>297</v>
      </c>
      <c r="X42" s="6"/>
    </row>
    <row r="43" spans="2:24" x14ac:dyDescent="0.25">
      <c r="B43" s="27" t="s">
        <v>65</v>
      </c>
      <c r="H43" s="3" t="s">
        <v>288</v>
      </c>
      <c r="X43" s="6"/>
    </row>
    <row r="44" spans="2:24" x14ac:dyDescent="0.25">
      <c r="B44" s="27" t="s">
        <v>66</v>
      </c>
      <c r="H44" s="3" t="s">
        <v>158</v>
      </c>
      <c r="X44" s="6"/>
    </row>
    <row r="45" spans="2:24" x14ac:dyDescent="0.25">
      <c r="B45" s="27" t="s">
        <v>67</v>
      </c>
      <c r="H45" s="3" t="s">
        <v>299</v>
      </c>
      <c r="X45" s="6"/>
    </row>
    <row r="46" spans="2:24" x14ac:dyDescent="0.25">
      <c r="B46" s="27" t="s">
        <v>68</v>
      </c>
      <c r="H46" s="3" t="s">
        <v>183</v>
      </c>
      <c r="X46" s="6"/>
    </row>
    <row r="47" spans="2:24" x14ac:dyDescent="0.25">
      <c r="B47" s="21" t="s">
        <v>69</v>
      </c>
      <c r="H47" s="3" t="s">
        <v>184</v>
      </c>
      <c r="X47" s="6"/>
    </row>
    <row r="48" spans="2:24" x14ac:dyDescent="0.25">
      <c r="B48" s="27" t="s">
        <v>70</v>
      </c>
      <c r="H48" s="3" t="s">
        <v>157</v>
      </c>
      <c r="X48" s="6"/>
    </row>
    <row r="49" spans="2:24" x14ac:dyDescent="0.25">
      <c r="B49" s="27" t="s">
        <v>71</v>
      </c>
      <c r="H49" s="3" t="s">
        <v>292</v>
      </c>
      <c r="X49" s="6"/>
    </row>
    <row r="50" spans="2:24" x14ac:dyDescent="0.25">
      <c r="B50" s="27" t="s">
        <v>72</v>
      </c>
      <c r="H50" s="3" t="s">
        <v>198</v>
      </c>
      <c r="X50" s="6"/>
    </row>
    <row r="51" spans="2:24" x14ac:dyDescent="0.25">
      <c r="B51" s="27" t="s">
        <v>74</v>
      </c>
      <c r="H51" s="3" t="s">
        <v>290</v>
      </c>
      <c r="X51" s="6"/>
    </row>
    <row r="52" spans="2:24" x14ac:dyDescent="0.25">
      <c r="B52" s="27" t="s">
        <v>76</v>
      </c>
      <c r="H52" s="3" t="s">
        <v>197</v>
      </c>
      <c r="X52" s="6"/>
    </row>
    <row r="53" spans="2:24" x14ac:dyDescent="0.25">
      <c r="B53" s="27" t="s">
        <v>78</v>
      </c>
      <c r="H53" s="3" t="s">
        <v>296</v>
      </c>
      <c r="X53" s="6"/>
    </row>
    <row r="54" spans="2:24" x14ac:dyDescent="0.25">
      <c r="B54" s="27" t="s">
        <v>79</v>
      </c>
      <c r="H54" s="3" t="s">
        <v>182</v>
      </c>
    </row>
    <row r="55" spans="2:24" x14ac:dyDescent="0.25">
      <c r="B55" s="27" t="s">
        <v>80</v>
      </c>
      <c r="H55" s="3" t="s">
        <v>191</v>
      </c>
    </row>
    <row r="56" spans="2:24" x14ac:dyDescent="0.25">
      <c r="B56" s="27" t="s">
        <v>81</v>
      </c>
      <c r="H56" s="3" t="s">
        <v>289</v>
      </c>
    </row>
    <row r="57" spans="2:24" x14ac:dyDescent="0.25">
      <c r="B57" s="27" t="s">
        <v>82</v>
      </c>
      <c r="H57" s="3" t="s">
        <v>295</v>
      </c>
      <c r="S57" s="1"/>
      <c r="T57" s="1"/>
      <c r="U57"/>
      <c r="V57"/>
      <c r="W57"/>
    </row>
    <row r="58" spans="2:24" x14ac:dyDescent="0.25">
      <c r="B58" s="27" t="s">
        <v>83</v>
      </c>
      <c r="S58" s="1"/>
      <c r="T58" s="1"/>
      <c r="U58"/>
      <c r="V58"/>
      <c r="W58"/>
    </row>
    <row r="59" spans="2:24" x14ac:dyDescent="0.25">
      <c r="B59" s="27" t="s">
        <v>84</v>
      </c>
      <c r="S59" s="1"/>
      <c r="T59" s="1"/>
      <c r="U59"/>
      <c r="V59"/>
      <c r="W59"/>
    </row>
    <row r="60" spans="2:24" x14ac:dyDescent="0.25">
      <c r="B60" s="27" t="s">
        <v>85</v>
      </c>
      <c r="S60" s="1"/>
      <c r="T60" s="1"/>
      <c r="U60"/>
      <c r="V60"/>
      <c r="W60"/>
    </row>
    <row r="61" spans="2:24" x14ac:dyDescent="0.25">
      <c r="B61" s="27" t="s">
        <v>180</v>
      </c>
    </row>
    <row r="62" spans="2:24" x14ac:dyDescent="0.25">
      <c r="B62" s="27" t="s">
        <v>86</v>
      </c>
    </row>
    <row r="63" spans="2:24" x14ac:dyDescent="0.25">
      <c r="B63" s="27" t="s">
        <v>87</v>
      </c>
    </row>
    <row r="64" spans="2:24" x14ac:dyDescent="0.25">
      <c r="B64" s="27" t="s">
        <v>88</v>
      </c>
    </row>
    <row r="65" spans="2:2" x14ac:dyDescent="0.25">
      <c r="B65" s="27" t="s">
        <v>89</v>
      </c>
    </row>
    <row r="66" spans="2:2" x14ac:dyDescent="0.25">
      <c r="B66" s="27" t="s">
        <v>90</v>
      </c>
    </row>
    <row r="67" spans="2:2" x14ac:dyDescent="0.25">
      <c r="B67" s="21" t="s">
        <v>91</v>
      </c>
    </row>
    <row r="68" spans="2:2" x14ac:dyDescent="0.25">
      <c r="B68" s="21" t="s">
        <v>386</v>
      </c>
    </row>
    <row r="69" spans="2:2" x14ac:dyDescent="0.25">
      <c r="B69" s="21" t="s">
        <v>387</v>
      </c>
    </row>
    <row r="70" spans="2:2" x14ac:dyDescent="0.25">
      <c r="B70" s="21" t="s">
        <v>388</v>
      </c>
    </row>
    <row r="71" spans="2:2" x14ac:dyDescent="0.25">
      <c r="B71" s="21" t="s">
        <v>199</v>
      </c>
    </row>
    <row r="72" spans="2:2" x14ac:dyDescent="0.25">
      <c r="B72" s="21" t="s">
        <v>200</v>
      </c>
    </row>
    <row r="73" spans="2:2" x14ac:dyDescent="0.25">
      <c r="B73" s="21" t="s">
        <v>245</v>
      </c>
    </row>
    <row r="74" spans="2:2" x14ac:dyDescent="0.25">
      <c r="B74" s="21" t="s">
        <v>246</v>
      </c>
    </row>
    <row r="75" spans="2:2" x14ac:dyDescent="0.25">
      <c r="B75" s="21" t="s">
        <v>201</v>
      </c>
    </row>
    <row r="76" spans="2:2" x14ac:dyDescent="0.25">
      <c r="B76" s="21" t="s">
        <v>202</v>
      </c>
    </row>
    <row r="77" spans="2:2" x14ac:dyDescent="0.25">
      <c r="B77" s="21" t="s">
        <v>396</v>
      </c>
    </row>
    <row r="78" spans="2:2" x14ac:dyDescent="0.25">
      <c r="B78" s="21" t="s">
        <v>203</v>
      </c>
    </row>
    <row r="79" spans="2:2" x14ac:dyDescent="0.25">
      <c r="B79" s="21" t="s">
        <v>247</v>
      </c>
    </row>
    <row r="80" spans="2:2" x14ac:dyDescent="0.25">
      <c r="B80" s="21" t="s">
        <v>397</v>
      </c>
    </row>
    <row r="81" spans="2:2" x14ac:dyDescent="0.25">
      <c r="B81" s="21" t="s">
        <v>204</v>
      </c>
    </row>
    <row r="82" spans="2:2" x14ac:dyDescent="0.25">
      <c r="B82" s="21" t="s">
        <v>206</v>
      </c>
    </row>
    <row r="83" spans="2:2" x14ac:dyDescent="0.25">
      <c r="B83" s="21" t="s">
        <v>207</v>
      </c>
    </row>
    <row r="84" spans="2:2" x14ac:dyDescent="0.25">
      <c r="B84" s="21" t="s">
        <v>398</v>
      </c>
    </row>
    <row r="85" spans="2:2" x14ac:dyDescent="0.25">
      <c r="B85" s="21" t="s">
        <v>208</v>
      </c>
    </row>
    <row r="86" spans="2:2" x14ac:dyDescent="0.25">
      <c r="B86" s="21" t="s">
        <v>248</v>
      </c>
    </row>
    <row r="87" spans="2:2" x14ac:dyDescent="0.25">
      <c r="B87" s="21" t="s">
        <v>209</v>
      </c>
    </row>
    <row r="88" spans="2:2" x14ac:dyDescent="0.25">
      <c r="B88" s="21" t="s">
        <v>390</v>
      </c>
    </row>
    <row r="89" spans="2:2" x14ac:dyDescent="0.25">
      <c r="B89" s="21" t="s">
        <v>389</v>
      </c>
    </row>
    <row r="90" spans="2:2" x14ac:dyDescent="0.25">
      <c r="B90" s="21" t="s">
        <v>249</v>
      </c>
    </row>
    <row r="91" spans="2:2" x14ac:dyDescent="0.25">
      <c r="B91" s="21" t="s">
        <v>211</v>
      </c>
    </row>
    <row r="92" spans="2:2" x14ac:dyDescent="0.25">
      <c r="B92" s="21" t="s">
        <v>212</v>
      </c>
    </row>
    <row r="93" spans="2:2" x14ac:dyDescent="0.25">
      <c r="B93" s="21" t="s">
        <v>213</v>
      </c>
    </row>
    <row r="94" spans="2:2" x14ac:dyDescent="0.25">
      <c r="B94" s="21" t="s">
        <v>250</v>
      </c>
    </row>
    <row r="95" spans="2:2" x14ac:dyDescent="0.25">
      <c r="B95" s="21" t="s">
        <v>251</v>
      </c>
    </row>
    <row r="96" spans="2:2" x14ac:dyDescent="0.25">
      <c r="B96" s="21" t="s">
        <v>399</v>
      </c>
    </row>
    <row r="97" spans="2:2" x14ac:dyDescent="0.25">
      <c r="B97" s="21" t="s">
        <v>214</v>
      </c>
    </row>
    <row r="98" spans="2:2" x14ac:dyDescent="0.25">
      <c r="B98" s="21" t="s">
        <v>215</v>
      </c>
    </row>
    <row r="99" spans="2:2" x14ac:dyDescent="0.25">
      <c r="B99" s="21" t="s">
        <v>216</v>
      </c>
    </row>
    <row r="100" spans="2:2" x14ac:dyDescent="0.25">
      <c r="B100" s="21" t="s">
        <v>217</v>
      </c>
    </row>
    <row r="101" spans="2:2" x14ac:dyDescent="0.25">
      <c r="B101" s="21" t="s">
        <v>400</v>
      </c>
    </row>
    <row r="102" spans="2:2" x14ac:dyDescent="0.25">
      <c r="B102" s="21" t="s">
        <v>218</v>
      </c>
    </row>
    <row r="103" spans="2:2" x14ac:dyDescent="0.25">
      <c r="B103" s="21" t="s">
        <v>253</v>
      </c>
    </row>
    <row r="104" spans="2:2" x14ac:dyDescent="0.25">
      <c r="B104" s="21" t="s">
        <v>219</v>
      </c>
    </row>
    <row r="105" spans="2:2" x14ac:dyDescent="0.25">
      <c r="B105" s="21" t="s">
        <v>220</v>
      </c>
    </row>
    <row r="106" spans="2:2" x14ac:dyDescent="0.25">
      <c r="B106" s="21" t="s">
        <v>221</v>
      </c>
    </row>
    <row r="107" spans="2:2" x14ac:dyDescent="0.25">
      <c r="B107" s="21" t="s">
        <v>222</v>
      </c>
    </row>
    <row r="108" spans="2:2" x14ac:dyDescent="0.25">
      <c r="B108" s="21" t="s">
        <v>254</v>
      </c>
    </row>
    <row r="109" spans="2:2" x14ac:dyDescent="0.25">
      <c r="B109" s="21" t="s">
        <v>255</v>
      </c>
    </row>
    <row r="110" spans="2:2" x14ac:dyDescent="0.25">
      <c r="B110" s="21" t="s">
        <v>223</v>
      </c>
    </row>
    <row r="111" spans="2:2" x14ac:dyDescent="0.25">
      <c r="B111" s="21" t="s">
        <v>224</v>
      </c>
    </row>
    <row r="112" spans="2:2" x14ac:dyDescent="0.25">
      <c r="B112" s="21" t="s">
        <v>225</v>
      </c>
    </row>
    <row r="113" spans="2:8" x14ac:dyDescent="0.25">
      <c r="B113" s="21" t="s">
        <v>226</v>
      </c>
    </row>
    <row r="114" spans="2:8" x14ac:dyDescent="0.25">
      <c r="B114" s="21" t="s">
        <v>227</v>
      </c>
    </row>
    <row r="115" spans="2:8" x14ac:dyDescent="0.25">
      <c r="B115" s="21" t="s">
        <v>228</v>
      </c>
    </row>
    <row r="116" spans="2:8" x14ac:dyDescent="0.25">
      <c r="B116" s="21" t="s">
        <v>229</v>
      </c>
    </row>
    <row r="117" spans="2:8" x14ac:dyDescent="0.25">
      <c r="B117" s="21" t="s">
        <v>256</v>
      </c>
    </row>
    <row r="118" spans="2:8" x14ac:dyDescent="0.25">
      <c r="B118" s="21" t="s">
        <v>230</v>
      </c>
    </row>
    <row r="119" spans="2:8" x14ac:dyDescent="0.25">
      <c r="B119" s="21" t="s">
        <v>401</v>
      </c>
    </row>
    <row r="120" spans="2:8" x14ac:dyDescent="0.25">
      <c r="B120" s="21" t="s">
        <v>257</v>
      </c>
    </row>
    <row r="121" spans="2:8" x14ac:dyDescent="0.25">
      <c r="B121" s="21" t="s">
        <v>231</v>
      </c>
    </row>
    <row r="122" spans="2:8" x14ac:dyDescent="0.25">
      <c r="B122" s="21" t="s">
        <v>258</v>
      </c>
    </row>
    <row r="123" spans="2:8" x14ac:dyDescent="0.25">
      <c r="B123" s="21" t="s">
        <v>232</v>
      </c>
    </row>
    <row r="124" spans="2:8" x14ac:dyDescent="0.25">
      <c r="B124" s="21" t="s">
        <v>233</v>
      </c>
    </row>
    <row r="125" spans="2:8" x14ac:dyDescent="0.25">
      <c r="B125" s="21" t="s">
        <v>259</v>
      </c>
    </row>
    <row r="126" spans="2:8" x14ac:dyDescent="0.25">
      <c r="B126" s="21" t="s">
        <v>235</v>
      </c>
    </row>
    <row r="127" spans="2:8" x14ac:dyDescent="0.25">
      <c r="B127" s="21" t="s">
        <v>236</v>
      </c>
    </row>
    <row r="128" spans="2:8" x14ac:dyDescent="0.25">
      <c r="B128" s="21" t="s">
        <v>237</v>
      </c>
      <c r="C128" s="3" t="s">
        <v>7</v>
      </c>
      <c r="D128" s="3" t="s">
        <v>101</v>
      </c>
      <c r="E128" s="3" t="s">
        <v>121</v>
      </c>
      <c r="F128" s="3" t="s">
        <v>10</v>
      </c>
      <c r="G128" s="3" t="s">
        <v>162</v>
      </c>
      <c r="H128" s="3" t="s">
        <v>296</v>
      </c>
    </row>
    <row r="129" spans="2:23" x14ac:dyDescent="0.25">
      <c r="B129" s="21" t="s">
        <v>238</v>
      </c>
      <c r="C129" s="3" t="s">
        <v>7</v>
      </c>
      <c r="D129" s="3" t="s">
        <v>101</v>
      </c>
      <c r="E129" s="3" t="s">
        <v>121</v>
      </c>
      <c r="F129" s="3" t="s">
        <v>10</v>
      </c>
      <c r="G129" s="3" t="s">
        <v>162</v>
      </c>
      <c r="H129" s="3" t="s">
        <v>182</v>
      </c>
    </row>
    <row r="130" spans="2:23" x14ac:dyDescent="0.25">
      <c r="B130" s="21" t="s">
        <v>239</v>
      </c>
      <c r="C130" s="3" t="s">
        <v>7</v>
      </c>
      <c r="D130" s="3" t="s">
        <v>101</v>
      </c>
      <c r="E130" s="3" t="s">
        <v>121</v>
      </c>
      <c r="F130" s="3" t="s">
        <v>10</v>
      </c>
      <c r="G130" s="3" t="s">
        <v>162</v>
      </c>
      <c r="H130" s="3" t="s">
        <v>191</v>
      </c>
    </row>
    <row r="131" spans="2:23" x14ac:dyDescent="0.25">
      <c r="B131" s="21" t="s">
        <v>402</v>
      </c>
      <c r="C131" s="3" t="s">
        <v>7</v>
      </c>
      <c r="D131" s="3" t="s">
        <v>93</v>
      </c>
      <c r="E131" s="3" t="s">
        <v>113</v>
      </c>
      <c r="F131" s="3" t="s">
        <v>10</v>
      </c>
      <c r="G131" s="3" t="s">
        <v>162</v>
      </c>
      <c r="H131" s="3" t="s">
        <v>191</v>
      </c>
    </row>
    <row r="132" spans="2:23" x14ac:dyDescent="0.25">
      <c r="B132" s="21" t="s">
        <v>240</v>
      </c>
      <c r="C132" s="3" t="s">
        <v>7</v>
      </c>
      <c r="D132" s="30"/>
      <c r="E132" s="30"/>
      <c r="F132" s="30"/>
      <c r="G132" s="30"/>
      <c r="H132" s="30"/>
      <c r="U132" s="621"/>
      <c r="V132" s="621"/>
      <c r="W132" s="621"/>
    </row>
    <row r="133" spans="2:23" x14ac:dyDescent="0.25">
      <c r="B133" s="21" t="s">
        <v>260</v>
      </c>
      <c r="C133" s="3" t="s">
        <v>7</v>
      </c>
    </row>
    <row r="134" spans="2:23" x14ac:dyDescent="0.25">
      <c r="B134" s="21" t="s">
        <v>391</v>
      </c>
      <c r="C134" s="3" t="s">
        <v>7</v>
      </c>
    </row>
    <row r="135" spans="2:23" x14ac:dyDescent="0.25">
      <c r="B135" s="21" t="s">
        <v>392</v>
      </c>
      <c r="C135" s="3" t="s">
        <v>7</v>
      </c>
    </row>
    <row r="136" spans="2:23" x14ac:dyDescent="0.25">
      <c r="B136" s="21" t="s">
        <v>393</v>
      </c>
      <c r="C136" s="3" t="s">
        <v>7</v>
      </c>
    </row>
    <row r="137" spans="2:23" x14ac:dyDescent="0.25">
      <c r="B137" s="21" t="s">
        <v>394</v>
      </c>
      <c r="C137" s="3" t="s">
        <v>7</v>
      </c>
    </row>
    <row r="138" spans="2:23" x14ac:dyDescent="0.25">
      <c r="B138" s="21" t="s">
        <v>261</v>
      </c>
      <c r="C138" s="3" t="s">
        <v>7</v>
      </c>
    </row>
    <row r="139" spans="2:23" x14ac:dyDescent="0.25">
      <c r="B139" s="21" t="s">
        <v>241</v>
      </c>
      <c r="C139" s="3" t="s">
        <v>7</v>
      </c>
    </row>
    <row r="140" spans="2:23" x14ac:dyDescent="0.25">
      <c r="B140" s="21" t="s">
        <v>242</v>
      </c>
      <c r="C140" s="3" t="s">
        <v>7</v>
      </c>
    </row>
    <row r="141" spans="2:23" x14ac:dyDescent="0.25">
      <c r="B141" s="21" t="s">
        <v>243</v>
      </c>
      <c r="C141" s="3" t="s">
        <v>7</v>
      </c>
    </row>
    <row r="142" spans="2:23" x14ac:dyDescent="0.25">
      <c r="B142" s="21" t="s">
        <v>119</v>
      </c>
      <c r="C142" s="3" t="s">
        <v>7</v>
      </c>
    </row>
    <row r="143" spans="2:23" x14ac:dyDescent="0.25">
      <c r="B143" s="21" t="s">
        <v>244</v>
      </c>
      <c r="C143" s="3" t="s">
        <v>7</v>
      </c>
    </row>
    <row r="144" spans="2:23" x14ac:dyDescent="0.25">
      <c r="B144" s="21" t="s">
        <v>304</v>
      </c>
      <c r="C144" s="3" t="s">
        <v>7</v>
      </c>
    </row>
    <row r="145" spans="2:3" x14ac:dyDescent="0.25">
      <c r="B145" s="21" t="s">
        <v>313</v>
      </c>
      <c r="C145" s="3" t="s">
        <v>7</v>
      </c>
    </row>
    <row r="146" spans="2:3" x14ac:dyDescent="0.25">
      <c r="B146" s="21" t="s">
        <v>305</v>
      </c>
      <c r="C146" s="3" t="s">
        <v>7</v>
      </c>
    </row>
    <row r="147" spans="2:3" x14ac:dyDescent="0.25">
      <c r="B147" s="21" t="s">
        <v>306</v>
      </c>
    </row>
    <row r="148" spans="2:3" x14ac:dyDescent="0.25">
      <c r="B148" s="21" t="s">
        <v>308</v>
      </c>
    </row>
    <row r="149" spans="2:3" x14ac:dyDescent="0.25">
      <c r="B149" s="21" t="s">
        <v>307</v>
      </c>
    </row>
  </sheetData>
  <sheetProtection selectLockedCells="1" selectUnlockedCells="1"/>
  <sortState ref="A3:T125">
    <sortCondition ref="B3:B125"/>
  </sortState>
  <phoneticPr fontId="12" type="noConversion"/>
  <dataValidations count="1">
    <dataValidation type="list" allowBlank="1" showInputMessage="1" showErrorMessage="1" error="Please Select a right value from the list" sqref="T22 Z22">
      <formula1>$E$3:$E$31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5B4410-5379-49FA-85FC-DE918EF69C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wells group </vt:lpstr>
      <vt:lpstr>DATA BASE</vt:lpstr>
      <vt:lpstr>FIRST PAGE</vt:lpstr>
      <vt:lpstr>DOWN HOLE PUMP</vt:lpstr>
      <vt:lpstr>w.c</vt:lpstr>
      <vt:lpstr>WELLS BLANCE</vt:lpstr>
      <vt:lpstr>PLT. WELL BLANCE</vt:lpstr>
      <vt:lpstr>total pltf</vt:lpstr>
      <vt:lpstr> Data Lists</vt:lpstr>
      <vt:lpstr>'DOWN HOLE PUMP'!Print_Area</vt:lpstr>
      <vt:lpstr>'FIRST PAGE'!Print_Area</vt:lpstr>
      <vt:lpstr>'PLT. WELL BLANCE'!Print_Area</vt:lpstr>
      <vt:lpstr>'total pltf'!Print_Area</vt:lpstr>
      <vt:lpstr>w.c!Print_Area</vt:lpstr>
      <vt:lpstr>'WELLS BLANCE'!Print_Area</vt:lpstr>
      <vt:lpstr>'wells group '!Print_Area</vt:lpstr>
      <vt:lpstr>'wells group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2026-04-02T07:10:09Z</dcterms:modified>
</cp:coreProperties>
</file>